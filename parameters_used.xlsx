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PUTER\"/>
    </mc:Choice>
  </mc:AlternateContent>
  <xr:revisionPtr revIDLastSave="0" documentId="13_ncr:1_{4943C13B-B69F-499C-9E27-F9E2379E6D8D}" xr6:coauthVersionLast="47" xr6:coauthVersionMax="47" xr10:uidLastSave="{00000000-0000-0000-0000-000000000000}"/>
  <bookViews>
    <workbookView xWindow="-120" yWindow="-120" windowWidth="29040" windowHeight="15720" firstSheet="4" activeTab="6" xr2:uid="{4EF50F1D-A050-491A-B262-0A3ECE22369C}"/>
  </bookViews>
  <sheets>
    <sheet name="Mm3 year" sheetId="1" r:id="rId1"/>
    <sheet name="ORE MIXES " sheetId="2" r:id="rId2"/>
    <sheet name="statistics p2 " sheetId="10" r:id="rId3"/>
    <sheet name="LEACHING RATE " sheetId="4" r:id="rId4"/>
    <sheet name="PRODUCTION" sheetId="5" r:id="rId5"/>
    <sheet name="GRUVBERGET WATER CONC." sheetId="7" r:id="rId6"/>
    <sheet name="DECIMAL DATE" sheetId="11" r:id="rId7"/>
    <sheet name="SEP83 (SP27) " sheetId="8" r:id="rId8"/>
    <sheet name="Länshålln.vatten (SVA79)" sheetId="9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1" i="7" l="1"/>
  <c r="AW10" i="7"/>
  <c r="AW8" i="7"/>
  <c r="AW7" i="7"/>
  <c r="AW6" i="7"/>
  <c r="AW3" i="7"/>
  <c r="AW5" i="7"/>
  <c r="AW4" i="7"/>
  <c r="AT11" i="7"/>
  <c r="AT10" i="7"/>
  <c r="AT8" i="7"/>
  <c r="AT7" i="7"/>
  <c r="AT6" i="7"/>
  <c r="AT5" i="7"/>
  <c r="AT4" i="7"/>
  <c r="AT3" i="7"/>
  <c r="AQ11" i="7"/>
  <c r="AQ10" i="7"/>
  <c r="AQ8" i="7"/>
  <c r="AQ7" i="7"/>
  <c r="AQ6" i="7"/>
  <c r="AQ5" i="7"/>
  <c r="AQ4" i="7"/>
  <c r="AQ3" i="7"/>
  <c r="AN11" i="7"/>
  <c r="AN10" i="7"/>
  <c r="AN8" i="7"/>
  <c r="AN7" i="7"/>
  <c r="AN6" i="7"/>
  <c r="AN5" i="7"/>
  <c r="AN4" i="7"/>
  <c r="AN3" i="7"/>
  <c r="AJ11" i="7"/>
  <c r="AJ10" i="7"/>
  <c r="AJ8" i="7"/>
  <c r="AJ7" i="7"/>
  <c r="AJ6" i="7"/>
  <c r="AJ5" i="7"/>
  <c r="AJ4" i="7"/>
  <c r="AJ3" i="7"/>
  <c r="AF11" i="7"/>
  <c r="AF10" i="7"/>
  <c r="AF8" i="7"/>
  <c r="AF7" i="7"/>
  <c r="AF6" i="7"/>
  <c r="AF5" i="7"/>
  <c r="AF4" i="7"/>
  <c r="AF3" i="7"/>
  <c r="AB11" i="7"/>
  <c r="AB10" i="7"/>
  <c r="AB8" i="7"/>
  <c r="AB7" i="7"/>
  <c r="AB6" i="7"/>
  <c r="AB5" i="7"/>
  <c r="AB4" i="7"/>
  <c r="AB3" i="7"/>
  <c r="X11" i="7"/>
  <c r="X10" i="7"/>
  <c r="X8" i="7"/>
  <c r="X7" i="7"/>
  <c r="X6" i="7"/>
  <c r="X5" i="7"/>
  <c r="X4" i="7"/>
  <c r="X3" i="7"/>
  <c r="T7" i="7"/>
  <c r="T6" i="7"/>
  <c r="T5" i="7"/>
  <c r="T4" i="7"/>
  <c r="T3" i="7"/>
  <c r="P11" i="7"/>
  <c r="P10" i="7"/>
  <c r="P8" i="7"/>
  <c r="P7" i="7"/>
  <c r="P6" i="7"/>
  <c r="P5" i="7"/>
  <c r="P4" i="7"/>
  <c r="P3" i="7"/>
  <c r="L11" i="7"/>
  <c r="L10" i="7"/>
  <c r="L8" i="7"/>
  <c r="L7" i="7"/>
  <c r="L6" i="7"/>
  <c r="L5" i="7"/>
  <c r="L4" i="7"/>
  <c r="L3" i="7"/>
  <c r="H11" i="7"/>
  <c r="H10" i="7"/>
  <c r="H8" i="7"/>
  <c r="H7" i="7"/>
  <c r="H6" i="7"/>
  <c r="H5" i="7"/>
  <c r="H4" i="7"/>
  <c r="H3" i="7"/>
  <c r="D11" i="7"/>
  <c r="D10" i="7"/>
  <c r="D8" i="7"/>
  <c r="D7" i="7"/>
  <c r="D6" i="7"/>
  <c r="D5" i="7"/>
  <c r="D4" i="7"/>
  <c r="D3" i="7"/>
  <c r="G8" i="2" l="1"/>
  <c r="F8" i="2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E26" i="4" l="1"/>
  <c r="AF26" i="4"/>
  <c r="AD26" i="4"/>
  <c r="AC26" i="4"/>
  <c r="AB26" i="4"/>
  <c r="H26" i="4"/>
  <c r="G26" i="4"/>
  <c r="F26" i="4"/>
  <c r="E26" i="4"/>
  <c r="D26" i="4"/>
  <c r="C26" i="4"/>
  <c r="F6" i="1" l="1"/>
  <c r="E5" i="1"/>
  <c r="D7" i="1"/>
  <c r="D5" i="1"/>
  <c r="C6" i="1"/>
  <c r="C5" i="1"/>
  <c r="C3" i="1"/>
  <c r="B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Peinerud Elsa</author>
  </authors>
  <commentList>
    <comment ref="Z9" authorId="0" shapeId="0" xr:uid="{90308425-C8BC-4254-803E-FFC7E8B841DA}">
      <text>
        <r>
          <rPr>
            <b/>
            <sz val="9"/>
            <color indexed="81"/>
            <rFont val="Tahoma"/>
            <family val="2"/>
          </rPr>
          <t>Peinerud Elsa:</t>
        </r>
        <r>
          <rPr>
            <sz val="9"/>
            <color indexed="81"/>
            <rFont val="Tahoma"/>
            <family val="2"/>
          </rPr>
          <t xml:space="preserve">
Outlier? Ta ej med i medelvärden.</t>
        </r>
      </text>
    </comment>
    <comment ref="AD9" authorId="0" shapeId="0" xr:uid="{16B7A2C4-68AD-4DFF-B2B7-26E36D0354C4}">
      <text>
        <r>
          <rPr>
            <b/>
            <sz val="9"/>
            <color indexed="81"/>
            <rFont val="Tahoma"/>
            <family val="2"/>
          </rPr>
          <t>Peinerud Elsa:</t>
        </r>
        <r>
          <rPr>
            <sz val="9"/>
            <color indexed="81"/>
            <rFont val="Tahoma"/>
            <family val="2"/>
          </rPr>
          <t xml:space="preserve">
Outlier? Ta ej med i medelvärde?</t>
        </r>
      </text>
    </comment>
    <comment ref="AH9" authorId="0" shapeId="0" xr:uid="{02DF32F9-7B24-48BE-B428-A683D119640B}">
      <text>
        <r>
          <rPr>
            <b/>
            <sz val="9"/>
            <color indexed="81"/>
            <rFont val="Tahoma"/>
            <family val="2"/>
          </rPr>
          <t>Peinerud Elsa:</t>
        </r>
        <r>
          <rPr>
            <sz val="9"/>
            <color indexed="81"/>
            <rFont val="Tahoma"/>
            <family val="2"/>
          </rPr>
          <t xml:space="preserve">
Outlier? Ta ej med i medelvärde.</t>
        </r>
      </text>
    </comment>
    <comment ref="AL9" authorId="0" shapeId="0" xr:uid="{EC50ABEE-4ED9-4E48-B8B6-D10AB301CC09}">
      <text>
        <r>
          <rPr>
            <b/>
            <sz val="9"/>
            <color indexed="81"/>
            <rFont val="Tahoma"/>
            <family val="2"/>
          </rPr>
          <t>Peinerud Elsa:</t>
        </r>
        <r>
          <rPr>
            <sz val="9"/>
            <color indexed="81"/>
            <rFont val="Tahoma"/>
            <family val="2"/>
          </rPr>
          <t xml:space="preserve">
Outlier? Ta ej med i medelvärde?</t>
        </r>
      </text>
    </comment>
  </commentList>
</comments>
</file>

<file path=xl/sharedStrings.xml><?xml version="1.0" encoding="utf-8"?>
<sst xmlns="http://schemas.openxmlformats.org/spreadsheetml/2006/main" count="686" uniqueCount="280">
  <si>
    <t>Leveaniemi</t>
  </si>
  <si>
    <t>Gruvberget</t>
  </si>
  <si>
    <t xml:space="preserve">dams from Process </t>
    <phoneticPr fontId="0" type="noConversion"/>
  </si>
  <si>
    <t xml:space="preserve">P2 to process </t>
    <phoneticPr fontId="0" type="noConversion"/>
  </si>
  <si>
    <t>Discharge</t>
  </si>
  <si>
    <t>Leakage</t>
  </si>
  <si>
    <t xml:space="preserve">AMD AVERAGES </t>
  </si>
  <si>
    <t xml:space="preserve">AMLB AVERAGES </t>
  </si>
  <si>
    <t>AMD = Kiruna</t>
  </si>
  <si>
    <t>AMLB = Leveäniemi</t>
  </si>
  <si>
    <t>AMGBF = Gruvberget</t>
  </si>
  <si>
    <t>AMMB = Mertainen</t>
  </si>
  <si>
    <t>WITHOUT 0,5</t>
  </si>
  <si>
    <t>Summer (May–Sep)</t>
  </si>
  <si>
    <t>WITH 0,5</t>
  </si>
  <si>
    <t>Winter (Oct–Apr)</t>
  </si>
  <si>
    <t>KIRUNA</t>
  </si>
  <si>
    <t>LEVENIEMI</t>
  </si>
  <si>
    <t>F -mg/L</t>
  </si>
  <si>
    <t>Cl_ mg/L</t>
  </si>
  <si>
    <t>No3 _mg/L</t>
  </si>
  <si>
    <t>Sulfate _mg/L</t>
  </si>
  <si>
    <t xml:space="preserve"> _mg/L</t>
  </si>
  <si>
    <t>Ca _mg/L</t>
  </si>
  <si>
    <t>Cr _ug/L</t>
  </si>
  <si>
    <t>Ni _ug/L</t>
  </si>
  <si>
    <t>Molybdenum  _ug/L</t>
  </si>
  <si>
    <t>Phosphorus  _ug/L</t>
  </si>
  <si>
    <t>zn _ug/L</t>
  </si>
  <si>
    <t>cu _ug/L</t>
  </si>
  <si>
    <t>Co</t>
  </si>
  <si>
    <t>As</t>
  </si>
  <si>
    <t>ug/l to g/ton</t>
  </si>
  <si>
    <t xml:space="preserve">KIRUNA LEACHING RATE </t>
  </si>
  <si>
    <t xml:space="preserve">LEVENIEMI </t>
  </si>
  <si>
    <t>Alkalinitet</t>
  </si>
  <si>
    <t>NH4-N</t>
  </si>
  <si>
    <t>NO3-N</t>
  </si>
  <si>
    <t>Summa N</t>
  </si>
  <si>
    <t>N-tot</t>
  </si>
  <si>
    <t>Fluorid</t>
  </si>
  <si>
    <t>Cl</t>
  </si>
  <si>
    <t>Sulfat</t>
  </si>
  <si>
    <t>Ca</t>
  </si>
  <si>
    <t>K</t>
  </si>
  <si>
    <t>Mg</t>
  </si>
  <si>
    <t>Na</t>
  </si>
  <si>
    <t>Si</t>
  </si>
  <si>
    <t>Al</t>
  </si>
  <si>
    <t>Ba</t>
  </si>
  <si>
    <t>Cd</t>
  </si>
  <si>
    <t>Cr</t>
  </si>
  <si>
    <t>Cu</t>
  </si>
  <si>
    <t>Fe</t>
  </si>
  <si>
    <t>Mn</t>
  </si>
  <si>
    <t>Mo</t>
  </si>
  <si>
    <t>Ni</t>
  </si>
  <si>
    <t>P</t>
  </si>
  <si>
    <t>Pb</t>
  </si>
  <si>
    <t>V</t>
  </si>
  <si>
    <t>Zn</t>
  </si>
  <si>
    <t>Sr</t>
  </si>
  <si>
    <t>U</t>
  </si>
  <si>
    <t>g/ton</t>
  </si>
  <si>
    <t>AMLB 2017</t>
  </si>
  <si>
    <t>Medelvärde 2017: 20-140 s</t>
  </si>
  <si>
    <t>AMLB 2018</t>
  </si>
  <si>
    <t>Medelvärde 2018: 20-140 s</t>
  </si>
  <si>
    <t>AMLB</t>
  </si>
  <si>
    <t>Medelvärde 17-18: 20-140 s</t>
  </si>
  <si>
    <t>Year</t>
  </si>
  <si>
    <t>Rågods (sorted ore into enrichment plant), kton</t>
  </si>
  <si>
    <t>Datum</t>
  </si>
  <si>
    <t>2016-01-11 12:13:00</t>
  </si>
  <si>
    <t>2016-02-23 13:48:00</t>
  </si>
  <si>
    <t>2016-03-21 13:32:00</t>
  </si>
  <si>
    <t>2016-04-13 13:05:00</t>
  </si>
  <si>
    <t>2016-05-31 10:40:00</t>
  </si>
  <si>
    <t>2016-06-28 09:48:00</t>
  </si>
  <si>
    <t>2016-07-12 11:38:00</t>
  </si>
  <si>
    <t>2016-08-24 12:10:00</t>
  </si>
  <si>
    <t>2016-09-21 10:25:00</t>
  </si>
  <si>
    <t>2016-10-26 13:08:00</t>
  </si>
  <si>
    <t>2016-11-28 11:12:00</t>
  </si>
  <si>
    <t>2016-12-12 10:10:00</t>
  </si>
  <si>
    <t>2017-01-16 12:30:00</t>
  </si>
  <si>
    <t>2017-03-08 00:00:00</t>
  </si>
  <si>
    <t>2017-04-18 11:16:00</t>
  </si>
  <si>
    <t>2017-05-22 10:00:00</t>
  </si>
  <si>
    <t>2017-07-03 09:45:00</t>
  </si>
  <si>
    <t>2017-08-14 09:27:00</t>
  </si>
  <si>
    <t>2017-09-26 00:00:00</t>
  </si>
  <si>
    <t>2017-11-06 09:00:00</t>
  </si>
  <si>
    <t>2017-12-05 00:00:00</t>
  </si>
  <si>
    <t>2018-01-29 12:40:00</t>
  </si>
  <si>
    <t>2018-04-17 08:28:00</t>
  </si>
  <si>
    <t>2018-05-22 12:40:00</t>
  </si>
  <si>
    <t>2018-11-06 12:30:00</t>
  </si>
  <si>
    <t>2018-12-11 12:00:00</t>
  </si>
  <si>
    <t>2019-01-21 12:00:00</t>
  </si>
  <si>
    <t>2019-03-05 12:30:00</t>
  </si>
  <si>
    <t>2019-04-15 13:00:00</t>
  </si>
  <si>
    <t>2019-05-21 11:00:00</t>
  </si>
  <si>
    <t>-</t>
  </si>
  <si>
    <t>2019-08-12 12:00:00</t>
  </si>
  <si>
    <t>2019-09-30 10:30:00</t>
  </si>
  <si>
    <t>2019-11-04 00:00:00</t>
  </si>
  <si>
    <t>2019-12-09 12:00:00</t>
  </si>
  <si>
    <t>2020-01-20 12:00:00</t>
  </si>
  <si>
    <t>2020-03-30 12:00:00</t>
  </si>
  <si>
    <t>2020-04-27 13:00:00</t>
  </si>
  <si>
    <t>2020-05-12 07:00:00</t>
  </si>
  <si>
    <t>2020-05-26 08:30:00</t>
  </si>
  <si>
    <t>2020-06-29 12:00:00</t>
  </si>
  <si>
    <t>2020-11-03 13:57:00</t>
  </si>
  <si>
    <t>2020-12-09 09:00:00</t>
  </si>
  <si>
    <t>2021-01-26 09:00:00</t>
  </si>
  <si>
    <t>2021-03-10 09:00:00</t>
  </si>
  <si>
    <t>2021-05-05 09:00:00</t>
  </si>
  <si>
    <t>2021-07-13 10:00:00</t>
  </si>
  <si>
    <t>2121-08-17 09:00:00</t>
  </si>
  <si>
    <t>2021-09-28 12:00:00</t>
  </si>
  <si>
    <t>2021-11-09 13:00:00</t>
  </si>
  <si>
    <t>2023-07-04 13:55:00</t>
  </si>
  <si>
    <t>2023-08-14 10:52:00</t>
  </si>
  <si>
    <t>2023-09-26 12:00:00</t>
  </si>
  <si>
    <t>2023-11-07 11:00:00</t>
  </si>
  <si>
    <t>mg/l</t>
  </si>
  <si>
    <t xml:space="preserve">NO DATA </t>
  </si>
  <si>
    <t>&lt;0.500</t>
  </si>
  <si>
    <t>&lt;0.10</t>
  </si>
  <si>
    <t>&lt;0.015</t>
  </si>
  <si>
    <t>&lt;0.040</t>
  </si>
  <si>
    <t>P_tot</t>
  </si>
  <si>
    <t>&lt;0.030</t>
  </si>
  <si>
    <t>µg/l</t>
  </si>
  <si>
    <t>&lt;0.005</t>
  </si>
  <si>
    <t>&lt;0.01</t>
  </si>
  <si>
    <t>NO DATA</t>
  </si>
  <si>
    <t>No DATA</t>
  </si>
  <si>
    <t>no data</t>
  </si>
  <si>
    <t>&lt;0.05</t>
  </si>
  <si>
    <t xml:space="preserve">no data </t>
  </si>
  <si>
    <t>&lt;0.2</t>
  </si>
  <si>
    <t>0.2</t>
  </si>
  <si>
    <t>no datea</t>
  </si>
  <si>
    <t xml:space="preserve">SEP83 (SP27) </t>
  </si>
  <si>
    <t>Constituent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</si>
  <si>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</si>
  <si>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</si>
  <si>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</si>
  <si>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</si>
  <si>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</si>
  <si>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</si>
  <si>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</si>
  <si>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</si>
  <si>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</si>
  <si>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</si>
  <si>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Temperatur (AM_SSENISO10523:2012) [°C]</t>
  </si>
  <si>
    <t>pH [-]</t>
  </si>
  <si>
    <t>Temperatur (AM_TEMP) [°C]</t>
  </si>
  <si>
    <t>Alkalinitet [mmol/l]</t>
  </si>
  <si>
    <t>—</t>
  </si>
  <si>
    <t>Alkalinitet [mg/l]</t>
  </si>
  <si>
    <t>Kond [mS/m]</t>
  </si>
  <si>
    <t>Susp_ämnen [mg/l]</t>
  </si>
  <si>
    <t>Glödgn.rest [mg/l]</t>
  </si>
  <si>
    <t>Ca [mg/l]</t>
  </si>
  <si>
    <t>K [mg/l]</t>
  </si>
  <si>
    <t>Mg [mg/l]</t>
  </si>
  <si>
    <t>Na [mg/l]</t>
  </si>
  <si>
    <t>Si [mg/l]</t>
  </si>
  <si>
    <t>Fluorid [mg/l]</t>
  </si>
  <si>
    <t>Klorid [mg/l]</t>
  </si>
  <si>
    <t>Sulfat [mg/l]</t>
  </si>
  <si>
    <t>NO3-N [mg/l]</t>
  </si>
  <si>
    <t>NH4-N [mg/l]</t>
  </si>
  <si>
    <t>NO2-N [mg/l]</t>
  </si>
  <si>
    <t>N_tot [mg/l]</t>
  </si>
  <si>
    <t>P_tot [mg/l]</t>
  </si>
  <si>
    <t>PO4P [mg/l]</t>
  </si>
  <si>
    <t>Sr [µg/l]</t>
  </si>
  <si>
    <t>Al [µg/l]</t>
  </si>
  <si>
    <t>As [µg/l]</t>
  </si>
  <si>
    <t>Ba [µg/l]</t>
  </si>
  <si>
    <t>Cd [µg/l]</t>
  </si>
  <si>
    <t>Co [µg/l]</t>
  </si>
  <si>
    <t>Cr [µg/l]</t>
  </si>
  <si>
    <t>Cu [µg/l]</t>
  </si>
  <si>
    <t>Fe [mg/l]</t>
  </si>
  <si>
    <t>Mn [µg/l]</t>
  </si>
  <si>
    <t>Mo [µg/l]</t>
  </si>
  <si>
    <t>Ni [µg/l]</t>
  </si>
  <si>
    <t>P [µg/l]</t>
  </si>
  <si>
    <t>Pb [µg/l]</t>
  </si>
  <si>
    <t>V [µg/l]</t>
  </si>
  <si>
    <t>Zn [µg/l]</t>
  </si>
  <si>
    <t>U [µg/l]</t>
  </si>
  <si>
    <t>TOC [mg/l]</t>
  </si>
  <si>
    <t>DOC [mg/l]</t>
  </si>
  <si>
    <t>Hg [µg/l]</t>
  </si>
  <si>
    <t xml:space="preserve">species </t>
  </si>
  <si>
    <t>Länshålln.vatten (SVA79) — Yearly Average of Constituents</t>
  </si>
  <si>
    <t>Temperatur (AM_SSENISO10523:2012) (°C)</t>
  </si>
  <si>
    <t>pH</t>
  </si>
  <si>
    <t>Temperatur (AM_TEMP) (°C)</t>
  </si>
  <si>
    <t>Alkalinity (mmol/l)</t>
  </si>
  <si>
    <t>Alkalinity (mg/l)</t>
  </si>
  <si>
    <t>Conductivity (mS/m)</t>
  </si>
  <si>
    <t>Suspended_solids (mg/l)</t>
  </si>
  <si>
    <t>Loss_on_ignition (mg/l)</t>
  </si>
  <si>
    <t>Ca (mg/l)</t>
  </si>
  <si>
    <t>K (mg/l)</t>
  </si>
  <si>
    <t>Mg (mg/l)</t>
  </si>
  <si>
    <t>Na (mg/l)</t>
  </si>
  <si>
    <t>Si (mg/l)</t>
  </si>
  <si>
    <t>Fluoride (mg/l)</t>
  </si>
  <si>
    <t>Chloride (mg/l)</t>
  </si>
  <si>
    <t>Sulfate (mg/l)</t>
  </si>
  <si>
    <t>NO3-N (mg/l)</t>
  </si>
  <si>
    <t>NH4-N (mg/l)</t>
  </si>
  <si>
    <t>NO2-N (mg/l)</t>
  </si>
  <si>
    <t>Total_N (mg/l)</t>
  </si>
  <si>
    <t>Total_P (mg/l)</t>
  </si>
  <si>
    <t>Phosphate_P (mg/l)</t>
  </si>
  <si>
    <t>Sr (µg/l)</t>
  </si>
  <si>
    <t>Al (µg/l)</t>
  </si>
  <si>
    <t>As (µg/l)</t>
  </si>
  <si>
    <t>Ba (µg/l)</t>
  </si>
  <si>
    <t>Cd (µg/l)</t>
  </si>
  <si>
    <t>Co (µg/l)</t>
  </si>
  <si>
    <t>Cr (µg/l)</t>
  </si>
  <si>
    <t>Cu (µg/l)</t>
  </si>
  <si>
    <t>Fe (mg/l)</t>
  </si>
  <si>
    <t>Mn (µg/l)</t>
  </si>
  <si>
    <t>Mo (µg/l)</t>
  </si>
  <si>
    <t>Ni (µg/l)</t>
  </si>
  <si>
    <t>P (µg/l)</t>
  </si>
  <si>
    <t>Pb (µg/l)</t>
  </si>
  <si>
    <t>V (µg/l)</t>
  </si>
  <si>
    <t>Zn (µg/l)</t>
  </si>
  <si>
    <t>U (µg/l)</t>
  </si>
  <si>
    <t>TOC (mg/l)</t>
  </si>
  <si>
    <t>DOC (mg/l)</t>
  </si>
  <si>
    <t>Hg (µg/l)</t>
  </si>
  <si>
    <t>Ag (µg/l)</t>
  </si>
  <si>
    <t xml:space="preserve">MEAN </t>
  </si>
  <si>
    <t xml:space="preserve">STD </t>
  </si>
  <si>
    <t xml:space="preserve">MEDIAN </t>
  </si>
  <si>
    <t xml:space="preserve">MIN </t>
  </si>
  <si>
    <t xml:space="preserve">MAX </t>
  </si>
  <si>
    <t xml:space="preserve">STATISTICS </t>
  </si>
  <si>
    <t>PARAMETER</t>
  </si>
  <si>
    <t>Period</t>
  </si>
  <si>
    <t>Season</t>
  </si>
  <si>
    <t>Date Range</t>
  </si>
  <si>
    <t>n</t>
  </si>
  <si>
    <t>SO4</t>
  </si>
  <si>
    <t>PO4P (mg/l)</t>
  </si>
  <si>
    <t>Winter</t>
  </si>
  <si>
    <t>Oct 2015–Apr 2016</t>
  </si>
  <si>
    <t>Summer</t>
  </si>
  <si>
    <t>May–Sep 2016</t>
  </si>
  <si>
    <t>Oct 2016–Apr 2017</t>
  </si>
  <si>
    <t>May–Sep 2017</t>
  </si>
  <si>
    <t>Oct 2017–Apr 2018</t>
  </si>
  <si>
    <t>May–Sep 2018</t>
  </si>
  <si>
    <t>Oct 2018–Apr 2019</t>
  </si>
  <si>
    <t>May–Sep 2019</t>
  </si>
  <si>
    <t>Oct 2019–Apr 2020</t>
  </si>
  <si>
    <t>May–Sep 2020</t>
  </si>
  <si>
    <t>Oct 2020–Apr 2021</t>
  </si>
  <si>
    <t>May–Sep 2021</t>
  </si>
  <si>
    <t>Oct 2021–Apr 2022</t>
  </si>
  <si>
    <t>May–Sep 2022</t>
  </si>
  <si>
    <t>Oct 2022–Apr 2023</t>
  </si>
  <si>
    <t>May–Sep 2023</t>
  </si>
  <si>
    <t>Oct 2023–Apr 2024</t>
  </si>
  <si>
    <t>May–Sep 2024</t>
  </si>
  <si>
    <t>Oct 2024–Apr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</si>
</sst>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"/>
    <numFmt numFmtId="167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9"/>
      <color rgb="FF595959"/>
      <name val="Aptos Narrow"/>
      <family val="2"/>
      <scheme val="minor"/>
    </font>
    <font>
      <b/>
      <sz val="11"/>
      <name val="Calibri"/>
    </font>
    <font>
      <b/>
      <sz val="14"/>
      <color theme="1"/>
      <name val="Calibri"/>
      <family val="2"/>
    </font>
    <font>
      <b/>
      <sz val="14"/>
      <name val="Calibri"/>
      <family val="2"/>
    </font>
    <font>
      <sz val="14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682B4"/>
        <bgColor rgb="FF4682B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64">
    <xf numFmtId="0" fontId="0" fillId="0" borderId="0" xfId="0"/>
    <xf numFmtId="0" fontId="3" fillId="0" borderId="0" xfId="0" applyFont="1" applyAlignment="1">
      <alignment horizontal="justify" vertical="top" wrapText="1"/>
    </xf>
    <xf numFmtId="2" fontId="3" fillId="2" borderId="0" xfId="0" applyNumberFormat="1" applyFont="1" applyFill="1" applyAlignment="1">
      <alignment horizontal="right" vertical="top" wrapText="1"/>
    </xf>
    <xf numFmtId="2" fontId="1" fillId="2" borderId="0" xfId="0" applyNumberFormat="1" applyFont="1" applyFill="1"/>
    <xf numFmtId="0" fontId="3" fillId="2" borderId="0" xfId="0" applyFont="1" applyFill="1" applyAlignment="1">
      <alignment horizontal="right" vertical="top" wrapText="1"/>
    </xf>
    <xf numFmtId="2" fontId="2" fillId="2" borderId="0" xfId="0" applyNumberFormat="1" applyFont="1" applyFill="1"/>
    <xf numFmtId="0" fontId="0" fillId="3" borderId="0" xfId="0" applyFill="1"/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0" xfId="0" applyFont="1" applyFill="1"/>
    <xf numFmtId="2" fontId="4" fillId="4" borderId="0" xfId="0" applyNumberFormat="1" applyFont="1" applyFill="1"/>
    <xf numFmtId="164" fontId="4" fillId="4" borderId="0" xfId="0" applyNumberFormat="1" applyFont="1" applyFill="1"/>
    <xf numFmtId="165" fontId="4" fillId="4" borderId="0" xfId="0" applyNumberFormat="1" applyFont="1" applyFill="1"/>
    <xf numFmtId="166" fontId="4" fillId="4" borderId="0" xfId="0" applyNumberFormat="1" applyFont="1" applyFill="1"/>
    <xf numFmtId="0" fontId="5" fillId="4" borderId="0" xfId="0" applyFont="1" applyFill="1"/>
    <xf numFmtId="2" fontId="5" fillId="4" borderId="0" xfId="0" applyNumberFormat="1" applyFont="1" applyFill="1" applyAlignment="1">
      <alignment horizontal="right"/>
    </xf>
    <xf numFmtId="166" fontId="5" fillId="4" borderId="0" xfId="0" applyNumberFormat="1" applyFont="1" applyFill="1" applyAlignment="1">
      <alignment horizontal="right"/>
    </xf>
    <xf numFmtId="167" fontId="0" fillId="0" borderId="0" xfId="0" applyNumberFormat="1"/>
    <xf numFmtId="2" fontId="0" fillId="0" borderId="0" xfId="0" applyNumberFormat="1"/>
    <xf numFmtId="1" fontId="0" fillId="0" borderId="0" xfId="0" applyNumberFormat="1"/>
    <xf numFmtId="167" fontId="0" fillId="5" borderId="0" xfId="0" applyNumberFormat="1" applyFill="1"/>
    <xf numFmtId="2" fontId="0" fillId="5" borderId="0" xfId="0" applyNumberFormat="1" applyFill="1"/>
    <xf numFmtId="1" fontId="0" fillId="5" borderId="0" xfId="0" applyNumberFormat="1" applyFill="1"/>
    <xf numFmtId="166" fontId="0" fillId="0" borderId="0" xfId="0" applyNumberFormat="1"/>
    <xf numFmtId="0" fontId="0" fillId="6" borderId="0" xfId="0" applyFill="1"/>
    <xf numFmtId="166" fontId="2" fillId="0" borderId="0" xfId="0" applyNumberFormat="1" applyFont="1"/>
    <xf numFmtId="0" fontId="0" fillId="5" borderId="0" xfId="0" applyFill="1"/>
    <xf numFmtId="0" fontId="2" fillId="0" borderId="0" xfId="0" applyFont="1"/>
    <xf numFmtId="0" fontId="6" fillId="6" borderId="0" xfId="0" applyFont="1" applyFill="1"/>
    <xf numFmtId="0" fontId="0" fillId="7" borderId="4" xfId="0" applyFill="1" applyBorder="1"/>
    <xf numFmtId="0" fontId="0" fillId="8" borderId="4" xfId="0" applyFill="1" applyBorder="1"/>
    <xf numFmtId="0" fontId="8" fillId="9" borderId="5" xfId="1" applyFont="1" applyFill="1" applyBorder="1" applyAlignment="1">
      <alignment horizontal="left" vertical="top" readingOrder="1"/>
    </xf>
    <xf numFmtId="14" fontId="8" fillId="9" borderId="5" xfId="1" applyNumberFormat="1" applyFont="1" applyFill="1" applyBorder="1" applyAlignment="1">
      <alignment horizontal="left" vertical="top" readingOrder="1"/>
    </xf>
    <xf numFmtId="0" fontId="8" fillId="9" borderId="5" xfId="0" applyFont="1" applyFill="1" applyBorder="1" applyAlignment="1">
      <alignment horizontal="left" vertical="top" readingOrder="1"/>
    </xf>
    <xf numFmtId="14" fontId="8" fillId="9" borderId="5" xfId="0" applyNumberFormat="1" applyFont="1" applyFill="1" applyBorder="1" applyAlignment="1">
      <alignment horizontal="left" vertical="top" wrapText="1" readingOrder="1"/>
    </xf>
    <xf numFmtId="0" fontId="8" fillId="9" borderId="5" xfId="0" applyFont="1" applyFill="1" applyBorder="1" applyAlignment="1">
      <alignment horizontal="left" vertical="top" wrapText="1" readingOrder="1"/>
    </xf>
    <xf numFmtId="14" fontId="8" fillId="9" borderId="0" xfId="0" applyNumberFormat="1" applyFont="1" applyFill="1" applyAlignment="1">
      <alignment horizontal="left" vertical="top" wrapText="1" readingOrder="1"/>
    </xf>
    <xf numFmtId="0" fontId="8" fillId="9" borderId="5" xfId="0" applyFont="1" applyFill="1" applyBorder="1" applyAlignment="1">
      <alignment horizontal="right" vertical="top" readingOrder="1"/>
    </xf>
    <xf numFmtId="14" fontId="8" fillId="9" borderId="5" xfId="0" applyNumberFormat="1" applyFont="1" applyFill="1" applyBorder="1" applyAlignment="1">
      <alignment horizontal="right" vertical="top" readingOrder="1"/>
    </xf>
    <xf numFmtId="0" fontId="9" fillId="0" borderId="5" xfId="1" applyFont="1" applyBorder="1" applyAlignment="1">
      <alignment horizontal="right" vertical="top" wrapText="1" readingOrder="1"/>
    </xf>
    <xf numFmtId="0" fontId="9" fillId="0" borderId="5" xfId="0" applyFont="1" applyBorder="1" applyAlignment="1">
      <alignment horizontal="right" vertical="top" wrapText="1" readingOrder="1"/>
    </xf>
    <xf numFmtId="0" fontId="9" fillId="0" borderId="5" xfId="0" applyFont="1" applyBorder="1" applyAlignment="1">
      <alignment horizontal="right" vertical="top" readingOrder="1"/>
    </xf>
    <xf numFmtId="0" fontId="9" fillId="0" borderId="0" xfId="0" applyFont="1" applyAlignment="1">
      <alignment horizontal="right" vertical="top" wrapText="1" readingOrder="1"/>
    </xf>
    <xf numFmtId="0" fontId="10" fillId="0" borderId="5" xfId="1" applyFont="1" applyBorder="1" applyAlignment="1">
      <alignment horizontal="right" vertical="top" wrapText="1" readingOrder="1"/>
    </xf>
    <xf numFmtId="0" fontId="10" fillId="0" borderId="5" xfId="0" applyFont="1" applyBorder="1" applyAlignment="1">
      <alignment horizontal="right" vertical="top" readingOrder="1"/>
    </xf>
    <xf numFmtId="0" fontId="10" fillId="0" borderId="0" xfId="1" applyFont="1" applyAlignment="1">
      <alignment horizontal="right" vertical="top" wrapText="1" readingOrder="1"/>
    </xf>
    <xf numFmtId="0" fontId="9" fillId="2" borderId="5" xfId="1" applyFont="1" applyFill="1" applyBorder="1" applyAlignment="1">
      <alignment horizontal="right" vertical="top" wrapText="1" readingOrder="1"/>
    </xf>
    <xf numFmtId="0" fontId="2" fillId="3" borderId="6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left" vertical="center" wrapText="1"/>
    </xf>
    <xf numFmtId="164" fontId="16" fillId="3" borderId="6" xfId="0" applyNumberFormat="1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top"/>
    </xf>
    <xf numFmtId="0" fontId="19" fillId="0" borderId="0" xfId="0" applyFont="1"/>
    <xf numFmtId="0" fontId="20" fillId="0" borderId="6" xfId="0" applyFont="1" applyBorder="1" applyAlignment="1">
      <alignment horizontal="center" vertical="top"/>
    </xf>
    <xf numFmtId="0" fontId="21" fillId="0" borderId="0" xfId="0" applyFont="1"/>
    <xf numFmtId="0" fontId="2" fillId="3" borderId="7" xfId="0" applyFont="1" applyFill="1" applyBorder="1"/>
    <xf numFmtId="0" fontId="2" fillId="3" borderId="0" xfId="0" applyFont="1" applyFill="1"/>
    <xf numFmtId="0" fontId="13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7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A75CCD42-D172-431E-93E6-BD04C7DC14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MPUTER\Data%20and%20reports\Water%20flows\Flowdata_2013-2025.xlsx" TargetMode="External"/><Relationship Id="rId1" Type="http://schemas.openxmlformats.org/officeDocument/2006/relationships/externalLinkPath" Target="Data%20and%20reports/Water%20flows/Flowdata_2013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ADATA"/>
      <sheetName val="2025-01-01 00 00 00_data"/>
      <sheetName val="2024-01-01 00 00 00_data"/>
      <sheetName val="2023-01-01 00 00 00_data"/>
      <sheetName val="2022-01-01 00 00 00_data"/>
      <sheetName val="2021-01-01 00 00 00_data"/>
      <sheetName val="2020-01-01 00 00 00_data "/>
      <sheetName val="2019-01-01 00 00 00_data"/>
      <sheetName val="2018-01-01 00 00 00_data"/>
      <sheetName val="2017-01-01 00 00 00_data"/>
      <sheetName val="2016-01-01 00 00 00_data"/>
      <sheetName val="2015-01-01 00 00 00_data"/>
      <sheetName val="2014-01-01 00 00 00_data"/>
      <sheetName val="2013-01-01 00 00 00_data"/>
      <sheetName val="Blad2"/>
      <sheetName val="Flowdata_2013-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F2192-6F89-4E8A-9026-428ED812AFB4}">
  <dimension ref="A1:L14"/>
  <sheetViews>
    <sheetView workbookViewId="0">
      <selection activeCell="D9" sqref="D9"/>
    </sheetView>
  </sheetViews>
  <sheetFormatPr defaultRowHeight="15" x14ac:dyDescent="0.25"/>
  <cols>
    <col min="1" max="1" width="17.28515625" customWidth="1"/>
    <col min="2" max="2" width="29.7109375" bestFit="1" customWidth="1"/>
    <col min="3" max="3" width="14.5703125" customWidth="1"/>
    <col min="4" max="4" width="13.5703125" customWidth="1"/>
    <col min="5" max="5" width="14.7109375" customWidth="1"/>
    <col min="6" max="6" width="13.7109375" customWidth="1"/>
  </cols>
  <sheetData>
    <row r="1" spans="1:12" s="1" customFormat="1" ht="25.5" x14ac:dyDescent="0.25">
      <c r="A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2" x14ac:dyDescent="0.25">
      <c r="A2">
        <v>2020</v>
      </c>
      <c r="B2" s="2">
        <v>1.6494137771301265</v>
      </c>
      <c r="C2" s="4">
        <v>0.97569728768920816</v>
      </c>
      <c r="D2" s="4">
        <v>15.514869729336255</v>
      </c>
      <c r="E2" s="4">
        <v>16.856448635742183</v>
      </c>
      <c r="F2" s="4">
        <v>3.0016723797970064</v>
      </c>
      <c r="G2" s="4">
        <v>0.8</v>
      </c>
    </row>
    <row r="3" spans="1:12" x14ac:dyDescent="0.25">
      <c r="A3">
        <v>2021</v>
      </c>
      <c r="B3" s="2">
        <v>1.3340072398623781</v>
      </c>
      <c r="C3" s="3">
        <f>(AVERAGE([1]!_2021_01_01_00_00_00_data[SG21FI802 Gruberget minewater])*24*365)/1000000</f>
        <v>0.8976276823672481</v>
      </c>
      <c r="D3" s="4">
        <v>13.713392269275287</v>
      </c>
      <c r="E3" s="4">
        <v>15.95931457677149</v>
      </c>
      <c r="F3" s="4">
        <v>3.1013094623210082</v>
      </c>
      <c r="G3" s="4">
        <v>0.8</v>
      </c>
    </row>
    <row r="4" spans="1:12" x14ac:dyDescent="0.25">
      <c r="A4">
        <v>2022</v>
      </c>
      <c r="B4" s="2">
        <v>1.674913805461453</v>
      </c>
      <c r="C4" s="4">
        <v>1.0460307883530913</v>
      </c>
      <c r="D4" s="4">
        <v>16.834042377080824</v>
      </c>
      <c r="E4" s="4">
        <v>17.318999413559457</v>
      </c>
      <c r="F4" s="4">
        <v>2.9869605991650565</v>
      </c>
      <c r="G4" s="4">
        <v>0.8</v>
      </c>
    </row>
    <row r="5" spans="1:12" x14ac:dyDescent="0.25">
      <c r="A5">
        <v>2023</v>
      </c>
      <c r="B5" s="3">
        <f>(AVERAGE([1]!_2023_01_01_00_00_00_data[SP27FI803 Leveäniemi mine water])*24*365)/1000000</f>
        <v>1.4530193963062363</v>
      </c>
      <c r="C5" s="3">
        <f>(AVERAGE([1]!_2023_01_01_00_00_00_data[SG21FI802 Gruberget minewater])*24*365)/1000000</f>
        <v>1.0172827416558576</v>
      </c>
      <c r="D5" s="3">
        <f>(AVERAGE([1]!_2023_01_01_00_00_00_data[Water to recipientmagasin])*24*365)/1000000</f>
        <v>16.638387249519493</v>
      </c>
      <c r="E5" s="3">
        <f>(AVERAGE([1]!_2023_01_01_00_00_00_data[SP02FI800 P2 water back to process])*24*365)/1000000</f>
        <v>17.928644238049849</v>
      </c>
      <c r="F5" s="4">
        <v>3.2333133105272456</v>
      </c>
      <c r="G5" s="4">
        <v>0.8</v>
      </c>
    </row>
    <row r="6" spans="1:12" x14ac:dyDescent="0.25">
      <c r="A6">
        <v>2024</v>
      </c>
      <c r="B6" s="2">
        <v>1.5407373449249258</v>
      </c>
      <c r="C6" s="3">
        <f>(AVERAGE([1]!_2024_01_01_00_00_00_data[SG21FI802 Gruberget minewater])*24*365)/1000000</f>
        <v>0.99635527093362786</v>
      </c>
      <c r="D6" s="4">
        <v>17.355340867587962</v>
      </c>
      <c r="E6" s="4">
        <v>17.576580591796869</v>
      </c>
      <c r="F6" s="5">
        <f>(AVERAGE([1]!_2024_01_01_00_00_00_data[Discharge total])*24*365)/1000000</f>
        <v>3.305525361937049</v>
      </c>
      <c r="G6" s="4">
        <v>0.8</v>
      </c>
    </row>
    <row r="7" spans="1:12" x14ac:dyDescent="0.25">
      <c r="A7">
        <v>2025</v>
      </c>
      <c r="B7" s="2">
        <v>1.277851658156782</v>
      </c>
      <c r="C7" s="4">
        <v>0.67904661195414351</v>
      </c>
      <c r="D7" s="3">
        <f>(AVERAGE([1]!_2025_01_01_00_00_00_data[Water to recipientmagasin])*24*365)/1000000</f>
        <v>17.355340867587962</v>
      </c>
      <c r="E7" s="4">
        <v>19.155405627327379</v>
      </c>
      <c r="F7" s="4">
        <v>1.9402490845198512</v>
      </c>
      <c r="G7" s="4">
        <v>0.8</v>
      </c>
    </row>
    <row r="14" spans="1:12" x14ac:dyDescent="0.25">
      <c r="B14" s="59"/>
      <c r="C14" s="59"/>
      <c r="D14" s="6"/>
      <c r="E14" s="6"/>
      <c r="F14" s="6"/>
      <c r="G14" s="59"/>
      <c r="H14" s="59"/>
      <c r="I14" s="6"/>
      <c r="J14" s="6"/>
      <c r="K14" s="59"/>
      <c r="L14" s="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19F9A-1331-416C-8166-3D14AD595A8C}">
  <dimension ref="A1:G21"/>
  <sheetViews>
    <sheetView workbookViewId="0">
      <selection activeCell="G8" sqref="G8"/>
    </sheetView>
  </sheetViews>
  <sheetFormatPr defaultRowHeight="15" x14ac:dyDescent="0.25"/>
  <cols>
    <col min="1" max="1" width="18.7109375" bestFit="1" customWidth="1"/>
    <col min="3" max="3" width="14.85546875" bestFit="1" customWidth="1"/>
    <col min="4" max="4" width="15.5703125" bestFit="1" customWidth="1"/>
  </cols>
  <sheetData>
    <row r="1" spans="1:7" x14ac:dyDescent="0.25">
      <c r="C1" t="s">
        <v>6</v>
      </c>
      <c r="D1" t="s">
        <v>7</v>
      </c>
    </row>
    <row r="2" spans="1:7" x14ac:dyDescent="0.25">
      <c r="B2">
        <v>2019</v>
      </c>
      <c r="C2">
        <v>54.172499999999999</v>
      </c>
      <c r="D2">
        <v>33.747500000000002</v>
      </c>
      <c r="F2">
        <v>0.54172500000000001</v>
      </c>
      <c r="G2">
        <v>0.33747500000000002</v>
      </c>
    </row>
    <row r="3" spans="1:7" x14ac:dyDescent="0.25">
      <c r="A3" t="s">
        <v>8</v>
      </c>
      <c r="B3">
        <v>2020</v>
      </c>
      <c r="C3">
        <v>42.412500000000001</v>
      </c>
      <c r="D3">
        <v>35.88095238095238</v>
      </c>
      <c r="F3">
        <v>0.42412500000000003</v>
      </c>
      <c r="G3">
        <v>0.3588095238095238</v>
      </c>
    </row>
    <row r="4" spans="1:7" x14ac:dyDescent="0.25">
      <c r="A4" t="s">
        <v>9</v>
      </c>
      <c r="B4">
        <v>2021</v>
      </c>
      <c r="C4">
        <v>42.833333333333336</v>
      </c>
      <c r="D4">
        <v>53.401041666666664</v>
      </c>
      <c r="F4">
        <v>0.42833333333333334</v>
      </c>
      <c r="G4">
        <v>0.5340104166666666</v>
      </c>
    </row>
    <row r="5" spans="1:7" x14ac:dyDescent="0.25">
      <c r="A5" t="s">
        <v>10</v>
      </c>
      <c r="B5">
        <v>2022</v>
      </c>
      <c r="C5">
        <v>41.480769230769234</v>
      </c>
      <c r="D5">
        <v>55.519230769230766</v>
      </c>
      <c r="F5">
        <v>0.41480769230769232</v>
      </c>
      <c r="G5">
        <v>0.55519230769230765</v>
      </c>
    </row>
    <row r="6" spans="1:7" x14ac:dyDescent="0.25">
      <c r="A6" t="s">
        <v>11</v>
      </c>
      <c r="B6">
        <v>2023</v>
      </c>
      <c r="C6">
        <v>39.75</v>
      </c>
      <c r="D6">
        <v>54.008467741935476</v>
      </c>
      <c r="F6">
        <v>0.39750000000000002</v>
      </c>
      <c r="G6">
        <v>0.54008467741935473</v>
      </c>
    </row>
    <row r="7" spans="1:7" x14ac:dyDescent="0.25">
      <c r="B7">
        <v>2024</v>
      </c>
      <c r="C7">
        <v>39.943951612903227</v>
      </c>
      <c r="D7">
        <v>59.847580645161294</v>
      </c>
      <c r="F7">
        <v>0.39943951612903228</v>
      </c>
      <c r="G7">
        <v>0.59847580645161291</v>
      </c>
    </row>
    <row r="8" spans="1:7" x14ac:dyDescent="0.25">
      <c r="C8">
        <v>43.432175696167633</v>
      </c>
      <c r="D8">
        <v>48.734128867324436</v>
      </c>
      <c r="F8" s="31">
        <f>AVERAGE(F2:F7)</f>
        <v>0.43432175696167635</v>
      </c>
      <c r="G8" s="31">
        <f>AVERAGE(G2:G7)</f>
        <v>0.48734128867324422</v>
      </c>
    </row>
    <row r="11" spans="1:7" x14ac:dyDescent="0.25">
      <c r="A11" t="s">
        <v>12</v>
      </c>
      <c r="B11" t="s">
        <v>13</v>
      </c>
    </row>
    <row r="12" spans="1:7" x14ac:dyDescent="0.25">
      <c r="A12" t="s">
        <v>14</v>
      </c>
      <c r="B12" t="s">
        <v>15</v>
      </c>
      <c r="E12" t="s">
        <v>16</v>
      </c>
      <c r="F12" t="s">
        <v>17</v>
      </c>
    </row>
    <row r="13" spans="1:7" x14ac:dyDescent="0.25">
      <c r="B13">
        <v>2020</v>
      </c>
      <c r="C13">
        <v>58.35</v>
      </c>
      <c r="D13">
        <v>32.450000000000003</v>
      </c>
      <c r="E13">
        <v>0.58350000000000002</v>
      </c>
      <c r="F13">
        <v>0.32450000000000001</v>
      </c>
    </row>
    <row r="14" spans="1:7" x14ac:dyDescent="0.25">
      <c r="B14">
        <v>2020.5</v>
      </c>
      <c r="C14">
        <v>51.028125000000003</v>
      </c>
      <c r="D14">
        <v>34.163888888888891</v>
      </c>
      <c r="E14">
        <v>0.51028125000000002</v>
      </c>
      <c r="F14">
        <v>0.34163888888888894</v>
      </c>
    </row>
    <row r="15" spans="1:7" x14ac:dyDescent="0.25">
      <c r="B15">
        <v>2021</v>
      </c>
      <c r="C15">
        <v>34.75</v>
      </c>
      <c r="D15">
        <v>46.125</v>
      </c>
      <c r="E15">
        <v>0.34749999999999998</v>
      </c>
      <c r="F15">
        <v>0.46124999999999999</v>
      </c>
    </row>
    <row r="16" spans="1:7" x14ac:dyDescent="0.25">
      <c r="B16">
        <v>2021.5</v>
      </c>
      <c r="C16">
        <v>40.71153846153846</v>
      </c>
      <c r="D16">
        <v>36.57692307692308</v>
      </c>
      <c r="E16">
        <v>0.4071153846153846</v>
      </c>
      <c r="F16">
        <v>0.36576923076923079</v>
      </c>
    </row>
    <row r="17" spans="2:6" x14ac:dyDescent="0.25">
      <c r="B17">
        <v>2022</v>
      </c>
      <c r="C17">
        <v>44.892857142857146</v>
      </c>
      <c r="D17">
        <v>53.821428571428569</v>
      </c>
      <c r="E17">
        <v>0.44892857142857145</v>
      </c>
      <c r="F17">
        <v>0.53821428571428565</v>
      </c>
    </row>
    <row r="18" spans="2:6" x14ac:dyDescent="0.25">
      <c r="B18">
        <v>2022.5</v>
      </c>
      <c r="C18">
        <v>40.759259259259267</v>
      </c>
      <c r="D18">
        <v>53.821428571428569</v>
      </c>
      <c r="E18">
        <v>0.40759259259259267</v>
      </c>
      <c r="F18">
        <v>0.53821428571428565</v>
      </c>
    </row>
    <row r="19" spans="2:6" x14ac:dyDescent="0.25">
      <c r="B19">
        <v>2023</v>
      </c>
      <c r="C19">
        <v>39.75</v>
      </c>
      <c r="D19">
        <v>57.249999999999993</v>
      </c>
      <c r="E19">
        <v>0.39750000000000002</v>
      </c>
      <c r="F19">
        <v>0.5724999999999999</v>
      </c>
    </row>
    <row r="20" spans="2:6" x14ac:dyDescent="0.25">
      <c r="B20">
        <v>2023.5</v>
      </c>
      <c r="C20">
        <v>39.75</v>
      </c>
      <c r="D20">
        <v>58</v>
      </c>
      <c r="E20">
        <v>0.39750000000000002</v>
      </c>
      <c r="F20">
        <v>0.57999999999999996</v>
      </c>
    </row>
    <row r="21" spans="2:6" x14ac:dyDescent="0.25">
      <c r="B21">
        <v>2024</v>
      </c>
      <c r="E21">
        <v>0.43748972482956855</v>
      </c>
      <c r="F21">
        <v>0.46526083638583637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E2F33-0186-48EC-B8F9-A132DC0A121C}">
  <dimension ref="A1:AR35"/>
  <sheetViews>
    <sheetView topLeftCell="A24" workbookViewId="0">
      <selection activeCell="D28" sqref="D28"/>
    </sheetView>
  </sheetViews>
  <sheetFormatPr defaultRowHeight="15" x14ac:dyDescent="0.25"/>
  <cols>
    <col min="1" max="1" width="12" customWidth="1"/>
    <col min="2" max="2" width="39.140625" bestFit="1" customWidth="1"/>
    <col min="3" max="3" width="17.140625" bestFit="1" customWidth="1"/>
    <col min="4" max="4" width="26.7109375" bestFit="1" customWidth="1"/>
    <col min="5" max="5" width="18.140625" bestFit="1" customWidth="1"/>
    <col min="6" max="6" width="18.7109375" bestFit="1" customWidth="1"/>
    <col min="7" max="7" width="19.5703125" bestFit="1" customWidth="1"/>
    <col min="8" max="8" width="23.42578125" bestFit="1" customWidth="1"/>
    <col min="9" max="9" width="22.28515625" bestFit="1" customWidth="1"/>
    <col min="10" max="11" width="17.140625" bestFit="1" customWidth="1"/>
    <col min="13" max="14" width="17.140625" bestFit="1" customWidth="1"/>
    <col min="16" max="17" width="17.140625" bestFit="1" customWidth="1"/>
  </cols>
  <sheetData>
    <row r="1" spans="1:44" x14ac:dyDescent="0.25">
      <c r="B1" s="55" t="s">
        <v>203</v>
      </c>
      <c r="C1" s="55" t="s">
        <v>204</v>
      </c>
      <c r="D1" s="55" t="s">
        <v>205</v>
      </c>
      <c r="E1" s="55" t="s">
        <v>206</v>
      </c>
      <c r="F1" s="55" t="s">
        <v>207</v>
      </c>
      <c r="G1" s="55" t="s">
        <v>208</v>
      </c>
      <c r="H1" s="55" t="s">
        <v>209</v>
      </c>
      <c r="I1" s="55" t="s">
        <v>210</v>
      </c>
      <c r="J1" s="55" t="s">
        <v>211</v>
      </c>
      <c r="K1" s="55" t="s">
        <v>212</v>
      </c>
      <c r="L1" s="55" t="s">
        <v>213</v>
      </c>
      <c r="M1" s="55" t="s">
        <v>214</v>
      </c>
      <c r="N1" s="55" t="s">
        <v>215</v>
      </c>
      <c r="O1" s="55" t="s">
        <v>216</v>
      </c>
      <c r="P1" s="55" t="s">
        <v>217</v>
      </c>
      <c r="Q1" s="55" t="s">
        <v>218</v>
      </c>
      <c r="R1" s="55" t="s">
        <v>219</v>
      </c>
      <c r="S1" s="55" t="s">
        <v>220</v>
      </c>
      <c r="T1" s="55" t="s">
        <v>221</v>
      </c>
      <c r="U1" s="55" t="s">
        <v>222</v>
      </c>
      <c r="V1" s="55" t="s">
        <v>223</v>
      </c>
      <c r="W1" s="55" t="s">
        <v>224</v>
      </c>
      <c r="X1" s="55" t="s">
        <v>225</v>
      </c>
      <c r="Y1" s="55" t="s">
        <v>226</v>
      </c>
      <c r="Z1" s="55" t="s">
        <v>227</v>
      </c>
      <c r="AA1" s="55" t="s">
        <v>228</v>
      </c>
      <c r="AB1" s="55" t="s">
        <v>229</v>
      </c>
      <c r="AC1" s="55" t="s">
        <v>230</v>
      </c>
      <c r="AD1" s="55" t="s">
        <v>231</v>
      </c>
      <c r="AE1" s="55" t="s">
        <v>232</v>
      </c>
      <c r="AF1" s="55" t="s">
        <v>233</v>
      </c>
      <c r="AG1" s="55" t="s">
        <v>234</v>
      </c>
      <c r="AH1" s="55" t="s">
        <v>235</v>
      </c>
      <c r="AI1" s="55" t="s">
        <v>236</v>
      </c>
      <c r="AJ1" s="55" t="s">
        <v>237</v>
      </c>
      <c r="AK1" s="55" t="s">
        <v>238</v>
      </c>
      <c r="AL1" s="55" t="s">
        <v>239</v>
      </c>
      <c r="AM1" s="55" t="s">
        <v>240</v>
      </c>
      <c r="AN1" s="55" t="s">
        <v>241</v>
      </c>
      <c r="AO1" s="55" t="s">
        <v>242</v>
      </c>
      <c r="AP1" s="55" t="s">
        <v>243</v>
      </c>
      <c r="AQ1" s="55" t="s">
        <v>244</v>
      </c>
      <c r="AR1" s="55" t="s">
        <v>245</v>
      </c>
    </row>
    <row r="2" spans="1:44" x14ac:dyDescent="0.25">
      <c r="A2" s="31" t="s">
        <v>246</v>
      </c>
      <c r="B2">
        <v>14.109302325581401</v>
      </c>
      <c r="C2">
        <v>7.9901098901098928</v>
      </c>
      <c r="D2">
        <v>13.783950617283947</v>
      </c>
      <c r="E2">
        <v>1.1995375462718141</v>
      </c>
      <c r="F2">
        <v>73.391188235294138</v>
      </c>
      <c r="G2">
        <v>193.36333333333334</v>
      </c>
      <c r="H2">
        <v>7.503921568627451</v>
      </c>
      <c r="I2">
        <v>7.1000000000000005</v>
      </c>
      <c r="J2">
        <v>298.87777777777779</v>
      </c>
      <c r="K2">
        <v>42.848888888888879</v>
      </c>
      <c r="L2">
        <v>28.474444444444437</v>
      </c>
      <c r="M2">
        <v>86.116666666666674</v>
      </c>
      <c r="N2">
        <v>4.2614011111111108</v>
      </c>
      <c r="O2">
        <v>0.7272613636363634</v>
      </c>
      <c r="P2">
        <v>127.94158888888892</v>
      </c>
      <c r="Q2">
        <v>776.04524175824179</v>
      </c>
      <c r="R2">
        <v>6.3015888888888894</v>
      </c>
      <c r="S2">
        <v>7.3722972972972978E-2</v>
      </c>
      <c r="T2">
        <v>5.8373563218390795E-2</v>
      </c>
      <c r="U2">
        <v>7.4337037037037037</v>
      </c>
      <c r="V2">
        <v>1.0236842105263161E-2</v>
      </c>
      <c r="W2">
        <v>1.0640625000000001E-2</v>
      </c>
      <c r="X2">
        <v>850.01111111111106</v>
      </c>
      <c r="Y2">
        <v>5.9527752808988783</v>
      </c>
      <c r="Z2">
        <v>0.31867415730337079</v>
      </c>
      <c r="AA2">
        <v>56.035555555555554</v>
      </c>
      <c r="AB2">
        <v>1.5761481481481477E-2</v>
      </c>
      <c r="AC2">
        <v>0.3599</v>
      </c>
      <c r="AD2">
        <v>6.6981111111111102E-2</v>
      </c>
      <c r="AE2">
        <v>2.1552222222222217</v>
      </c>
      <c r="AF2">
        <v>1.7506155555555555E-2</v>
      </c>
      <c r="AG2">
        <v>52.202544444444449</v>
      </c>
      <c r="AH2">
        <v>14.558666666666669</v>
      </c>
      <c r="AI2">
        <v>1.1098555555555558</v>
      </c>
      <c r="AJ2">
        <v>7.235842696629212</v>
      </c>
      <c r="AK2">
        <v>4.6730232558139531E-2</v>
      </c>
      <c r="AL2">
        <v>0.97860000000000014</v>
      </c>
      <c r="AM2">
        <v>3.0923780487804882</v>
      </c>
      <c r="AN2">
        <v>14.880222222222219</v>
      </c>
      <c r="AO2">
        <v>8.1715384615384625</v>
      </c>
      <c r="AP2">
        <v>4.5152777777777757</v>
      </c>
      <c r="AQ2">
        <v>0.438855</v>
      </c>
      <c r="AR2" t="e">
        <v>#DIV/0!</v>
      </c>
    </row>
    <row r="3" spans="1:44" x14ac:dyDescent="0.25">
      <c r="A3" s="31" t="s">
        <v>247</v>
      </c>
      <c r="B3">
        <v>7.842114831860493</v>
      </c>
      <c r="C3">
        <v>0.36417116886065515</v>
      </c>
      <c r="D3">
        <v>7.6937804591558683</v>
      </c>
      <c r="E3">
        <v>0.36190396313013701</v>
      </c>
      <c r="F3">
        <v>22.543485760210029</v>
      </c>
      <c r="G3">
        <v>49.728196282335645</v>
      </c>
      <c r="H3">
        <v>10.867523261540354</v>
      </c>
      <c r="I3">
        <v>10.500568340993309</v>
      </c>
      <c r="J3">
        <v>104.09334650362999</v>
      </c>
      <c r="K3">
        <v>10.918068947768722</v>
      </c>
      <c r="L3">
        <v>6.3021810477394391</v>
      </c>
      <c r="M3">
        <v>22.73052964675438</v>
      </c>
      <c r="N3">
        <v>1.4668019482102932</v>
      </c>
      <c r="O3">
        <v>0.24192395937465605</v>
      </c>
      <c r="P3">
        <v>35.72748253923136</v>
      </c>
      <c r="Q3">
        <v>282.78346596685037</v>
      </c>
      <c r="R3">
        <v>2.9554082996195796</v>
      </c>
      <c r="S3">
        <v>6.6532154726963499E-2</v>
      </c>
      <c r="T3">
        <v>4.0445242050125119E-2</v>
      </c>
      <c r="U3">
        <v>3.2066190859002317</v>
      </c>
      <c r="V3">
        <v>7.218670966758059E-3</v>
      </c>
      <c r="W3">
        <v>1.1905711880386985E-2</v>
      </c>
      <c r="X3">
        <v>306.98421387785959</v>
      </c>
      <c r="Y3">
        <v>3.2351563992858479</v>
      </c>
      <c r="Z3">
        <v>9.6872857714623839E-2</v>
      </c>
      <c r="AA3">
        <v>14.649016852666119</v>
      </c>
      <c r="AB3">
        <v>1.2111151346425616E-2</v>
      </c>
      <c r="AC3">
        <v>0.17423715617917615</v>
      </c>
      <c r="AD3">
        <v>4.0591952037412171E-2</v>
      </c>
      <c r="AE3">
        <v>0.67595309639248702</v>
      </c>
      <c r="AF3">
        <v>1.0147843459433504E-2</v>
      </c>
      <c r="AG3">
        <v>32.256238159483857</v>
      </c>
      <c r="AH3">
        <v>2.9949346247611772</v>
      </c>
      <c r="AI3">
        <v>0.34406958665941351</v>
      </c>
      <c r="AJ3">
        <v>6.0778029306995061</v>
      </c>
      <c r="AK3">
        <v>7.3756606899387553E-2</v>
      </c>
      <c r="AL3">
        <v>0.52819126988470533</v>
      </c>
      <c r="AM3">
        <v>4.7173383388706993</v>
      </c>
      <c r="AN3">
        <v>4.8757324561676754</v>
      </c>
      <c r="AO3">
        <v>6.1760272091298347</v>
      </c>
      <c r="AP3">
        <v>3.1285980808173144</v>
      </c>
      <c r="AQ3">
        <v>0.35366141154593994</v>
      </c>
      <c r="AR3" t="e">
        <v>#DIV/0!</v>
      </c>
    </row>
    <row r="4" spans="1:44" x14ac:dyDescent="0.25">
      <c r="A4" s="31" t="s">
        <v>248</v>
      </c>
      <c r="B4">
        <v>17.899999999999999</v>
      </c>
      <c r="C4">
        <v>7.9</v>
      </c>
      <c r="D4">
        <v>16.5</v>
      </c>
      <c r="E4">
        <v>1.2868852459016396</v>
      </c>
      <c r="F4">
        <v>79.3</v>
      </c>
      <c r="G4">
        <v>192.55</v>
      </c>
      <c r="H4">
        <v>4.7</v>
      </c>
      <c r="I4">
        <v>4.3000000000000007</v>
      </c>
      <c r="J4">
        <v>298.5</v>
      </c>
      <c r="K4">
        <v>42.45</v>
      </c>
      <c r="L4">
        <v>26.9</v>
      </c>
      <c r="M4">
        <v>85.05</v>
      </c>
      <c r="N4">
        <v>4.58</v>
      </c>
      <c r="O4">
        <v>0.71299999999999997</v>
      </c>
      <c r="P4">
        <v>127</v>
      </c>
      <c r="Q4">
        <v>770</v>
      </c>
      <c r="R4">
        <v>5.6400000000000006</v>
      </c>
      <c r="S4">
        <v>0.06</v>
      </c>
      <c r="T4">
        <v>0.05</v>
      </c>
      <c r="U4">
        <v>7.4</v>
      </c>
      <c r="V4">
        <v>7.0000000000000001E-3</v>
      </c>
      <c r="W4">
        <v>6.5500000000000003E-3</v>
      </c>
      <c r="X4">
        <v>860</v>
      </c>
      <c r="Y4">
        <v>5.83</v>
      </c>
      <c r="Z4">
        <v>0.30099999999999999</v>
      </c>
      <c r="AA4">
        <v>54.6</v>
      </c>
      <c r="AB4">
        <v>1.44E-2</v>
      </c>
      <c r="AC4">
        <v>0.35649999999999998</v>
      </c>
      <c r="AD4">
        <v>5.935E-2</v>
      </c>
      <c r="AE4">
        <v>2.0049999999999999</v>
      </c>
      <c r="AF4">
        <v>1.52E-2</v>
      </c>
      <c r="AG4">
        <v>53.849999999999994</v>
      </c>
      <c r="AH4">
        <v>14.3</v>
      </c>
      <c r="AI4">
        <v>1.08</v>
      </c>
      <c r="AJ4">
        <v>4.0599999999999996</v>
      </c>
      <c r="AK4">
        <v>1.9800000000000002E-2</v>
      </c>
      <c r="AL4">
        <v>0.89250000000000007</v>
      </c>
      <c r="AM4">
        <v>1.6099999999999999</v>
      </c>
      <c r="AN4">
        <v>14.8</v>
      </c>
      <c r="AO4">
        <v>6.6</v>
      </c>
      <c r="AP4">
        <v>3.3</v>
      </c>
      <c r="AQ4">
        <v>0.438855</v>
      </c>
      <c r="AR4" t="e">
        <v>#NUM!</v>
      </c>
    </row>
    <row r="5" spans="1:44" x14ac:dyDescent="0.25">
      <c r="A5" s="31" t="s">
        <v>249</v>
      </c>
      <c r="B5">
        <v>1</v>
      </c>
      <c r="C5">
        <v>6.6</v>
      </c>
      <c r="D5">
        <v>1.2</v>
      </c>
      <c r="E5">
        <v>0.36065573770491799</v>
      </c>
      <c r="F5">
        <v>22</v>
      </c>
      <c r="G5">
        <v>94.7</v>
      </c>
      <c r="H5">
        <v>2</v>
      </c>
      <c r="I5">
        <v>1</v>
      </c>
      <c r="J5">
        <v>104</v>
      </c>
      <c r="K5">
        <v>19.2</v>
      </c>
      <c r="L5">
        <v>16.5</v>
      </c>
      <c r="M5">
        <v>40.200000000000003</v>
      </c>
      <c r="N5">
        <v>1.4999999999999999E-2</v>
      </c>
      <c r="O5">
        <v>0.3</v>
      </c>
      <c r="P5">
        <v>63</v>
      </c>
      <c r="Q5">
        <v>286</v>
      </c>
      <c r="R5">
        <v>0.21099999999999999</v>
      </c>
      <c r="S5">
        <v>-1.0999999999999999E-2</v>
      </c>
      <c r="T5">
        <v>7.4999999999999997E-3</v>
      </c>
      <c r="U5">
        <v>2.4300000000000002</v>
      </c>
      <c r="V5">
        <v>2.5000000000000001E-3</v>
      </c>
      <c r="W5">
        <v>2.5000000000000001E-3</v>
      </c>
      <c r="X5">
        <v>287</v>
      </c>
      <c r="Y5">
        <v>0.26500000000000001</v>
      </c>
      <c r="Z5">
        <v>0.113</v>
      </c>
      <c r="AA5">
        <v>27.9</v>
      </c>
      <c r="AB5">
        <v>2.2200000000000002E-3</v>
      </c>
      <c r="AC5">
        <v>7.1199999999999999E-2</v>
      </c>
      <c r="AD5">
        <v>1.3599999999999999E-2</v>
      </c>
      <c r="AE5">
        <v>1.03</v>
      </c>
      <c r="AF5">
        <v>5.8399999999999999E-4</v>
      </c>
      <c r="AG5">
        <v>0.69899999999999995</v>
      </c>
      <c r="AH5">
        <v>7.72</v>
      </c>
      <c r="AI5">
        <v>0.51500000000000001</v>
      </c>
      <c r="AJ5">
        <v>1.74</v>
      </c>
      <c r="AK5">
        <v>5.0000000000000001E-3</v>
      </c>
      <c r="AL5">
        <v>0.26600000000000001</v>
      </c>
      <c r="AM5">
        <v>0.222</v>
      </c>
      <c r="AN5">
        <v>6.21</v>
      </c>
      <c r="AO5">
        <v>3.8</v>
      </c>
      <c r="AP5">
        <v>1.5</v>
      </c>
      <c r="AQ5">
        <v>5.7099999999999998E-3</v>
      </c>
      <c r="AR5">
        <v>0</v>
      </c>
    </row>
    <row r="6" spans="1:44" x14ac:dyDescent="0.25">
      <c r="A6" s="31" t="s">
        <v>250</v>
      </c>
      <c r="B6">
        <v>24.7</v>
      </c>
      <c r="C6">
        <v>9</v>
      </c>
      <c r="D6">
        <v>25.3</v>
      </c>
      <c r="E6">
        <v>2.1</v>
      </c>
      <c r="F6">
        <v>128.1</v>
      </c>
      <c r="G6">
        <v>370.1</v>
      </c>
      <c r="H6">
        <v>79</v>
      </c>
      <c r="I6">
        <v>59</v>
      </c>
      <c r="J6">
        <v>589</v>
      </c>
      <c r="K6">
        <v>85.6</v>
      </c>
      <c r="L6">
        <v>47.4</v>
      </c>
      <c r="M6">
        <v>175</v>
      </c>
      <c r="N6">
        <v>6.41</v>
      </c>
      <c r="O6">
        <v>1.8</v>
      </c>
      <c r="P6">
        <v>300</v>
      </c>
      <c r="Q6">
        <v>1600</v>
      </c>
      <c r="R6">
        <v>16</v>
      </c>
      <c r="S6">
        <v>0.31900000000000001</v>
      </c>
      <c r="T6">
        <v>0.3</v>
      </c>
      <c r="U6">
        <v>20.5</v>
      </c>
      <c r="V6">
        <v>2.4E-2</v>
      </c>
      <c r="W6">
        <v>5.2999999999999999E-2</v>
      </c>
      <c r="X6">
        <v>1960</v>
      </c>
      <c r="Y6">
        <v>21.7</v>
      </c>
      <c r="Z6">
        <v>0.52700000000000002</v>
      </c>
      <c r="AA6">
        <v>111</v>
      </c>
      <c r="AB6">
        <v>8.8499999999999995E-2</v>
      </c>
      <c r="AC6">
        <v>0.89300000000000002</v>
      </c>
      <c r="AD6">
        <v>0.32800000000000001</v>
      </c>
      <c r="AE6">
        <v>4.26</v>
      </c>
      <c r="AF6">
        <v>5.0200000000000002E-2</v>
      </c>
      <c r="AG6">
        <v>177</v>
      </c>
      <c r="AH6">
        <v>22.8</v>
      </c>
      <c r="AI6">
        <v>2.4300000000000002</v>
      </c>
      <c r="AJ6">
        <v>21.9</v>
      </c>
      <c r="AK6">
        <v>0.33200000000000002</v>
      </c>
      <c r="AL6">
        <v>4.1100000000000003</v>
      </c>
      <c r="AM6">
        <v>31.4</v>
      </c>
      <c r="AN6">
        <v>26.7</v>
      </c>
      <c r="AO6">
        <v>29.6</v>
      </c>
      <c r="AP6">
        <v>21.3</v>
      </c>
      <c r="AQ6">
        <v>0.872</v>
      </c>
      <c r="AR6">
        <v>0</v>
      </c>
    </row>
    <row r="12" spans="1:44" ht="18.75" x14ac:dyDescent="0.3">
      <c r="B12" s="56" t="s">
        <v>251</v>
      </c>
      <c r="C12" s="57" t="s">
        <v>204</v>
      </c>
      <c r="D12" s="57" t="s">
        <v>211</v>
      </c>
      <c r="E12" s="57" t="s">
        <v>218</v>
      </c>
      <c r="F12" s="57" t="s">
        <v>217</v>
      </c>
      <c r="G12" s="57" t="s">
        <v>219</v>
      </c>
      <c r="H12" s="57" t="s">
        <v>220</v>
      </c>
      <c r="I12" s="57" t="s">
        <v>230</v>
      </c>
      <c r="J12" s="57" t="s">
        <v>231</v>
      </c>
      <c r="K12" s="57" t="s">
        <v>232</v>
      </c>
      <c r="L12" s="57" t="s">
        <v>227</v>
      </c>
      <c r="M12" s="57" t="s">
        <v>235</v>
      </c>
      <c r="N12" s="57" t="s">
        <v>236</v>
      </c>
      <c r="O12" s="57" t="s">
        <v>236</v>
      </c>
      <c r="P12" s="57" t="s">
        <v>237</v>
      </c>
      <c r="Q12" s="57" t="s">
        <v>240</v>
      </c>
    </row>
    <row r="13" spans="1:44" ht="18.75" x14ac:dyDescent="0.3">
      <c r="B13" s="56" t="s">
        <v>246</v>
      </c>
      <c r="C13" s="58">
        <v>7.9901098901098928</v>
      </c>
      <c r="D13" s="58">
        <v>298.87777777777779</v>
      </c>
      <c r="E13" s="58">
        <v>776.04524175824179</v>
      </c>
      <c r="F13" s="58">
        <v>127.94158888888892</v>
      </c>
      <c r="G13" s="58">
        <v>6.3015888888888894</v>
      </c>
      <c r="H13" s="58">
        <v>7.3722972972972978E-2</v>
      </c>
      <c r="I13" s="58">
        <v>0.3599</v>
      </c>
      <c r="J13" s="58">
        <v>6.6981111111111102E-2</v>
      </c>
      <c r="K13" s="58">
        <v>2.1552222222222217</v>
      </c>
      <c r="L13" s="58">
        <v>0.31867415730337079</v>
      </c>
      <c r="M13" s="58">
        <v>14.558666666666669</v>
      </c>
      <c r="N13" s="58">
        <v>1.1098555555555558</v>
      </c>
      <c r="O13" s="58">
        <v>1.1098555555555558</v>
      </c>
      <c r="P13" s="58">
        <v>7.235842696629212</v>
      </c>
      <c r="Q13" s="58">
        <v>3.0923780487804882</v>
      </c>
    </row>
    <row r="14" spans="1:44" ht="18.75" x14ac:dyDescent="0.3">
      <c r="B14" s="56" t="s">
        <v>247</v>
      </c>
      <c r="C14" s="58">
        <v>0.36417116886065515</v>
      </c>
      <c r="D14" s="58">
        <v>104.09334650362999</v>
      </c>
      <c r="E14" s="58">
        <v>282.78346596685037</v>
      </c>
      <c r="F14" s="58">
        <v>35.72748253923136</v>
      </c>
      <c r="G14" s="58">
        <v>2.9554082996195796</v>
      </c>
      <c r="H14" s="58">
        <v>6.6532154726963499E-2</v>
      </c>
      <c r="I14" s="58">
        <v>0.17423715617917615</v>
      </c>
      <c r="J14" s="58">
        <v>4.0591952037412171E-2</v>
      </c>
      <c r="K14" s="58">
        <v>0.67595309639248702</v>
      </c>
      <c r="L14" s="58">
        <v>9.6872857714623839E-2</v>
      </c>
      <c r="M14" s="58">
        <v>2.9949346247611772</v>
      </c>
      <c r="N14" s="58">
        <v>0.34406958665941351</v>
      </c>
      <c r="O14" s="58">
        <v>0.34406958665941351</v>
      </c>
      <c r="P14" s="58">
        <v>6.0778029306995061</v>
      </c>
      <c r="Q14" s="58">
        <v>4.7173383388706993</v>
      </c>
    </row>
    <row r="15" spans="1:44" ht="18.75" x14ac:dyDescent="0.3">
      <c r="B15" s="56" t="s">
        <v>248</v>
      </c>
      <c r="C15" s="58">
        <v>7.9</v>
      </c>
      <c r="D15" s="58">
        <v>298.5</v>
      </c>
      <c r="E15" s="58">
        <v>770</v>
      </c>
      <c r="F15" s="58">
        <v>127</v>
      </c>
      <c r="G15" s="58">
        <v>5.6400000000000006</v>
      </c>
      <c r="H15" s="58">
        <v>0.06</v>
      </c>
      <c r="I15" s="58">
        <v>0.35649999999999998</v>
      </c>
      <c r="J15" s="58">
        <v>5.935E-2</v>
      </c>
      <c r="K15" s="58">
        <v>2.0049999999999999</v>
      </c>
      <c r="L15" s="58">
        <v>0.30099999999999999</v>
      </c>
      <c r="M15" s="58">
        <v>14.3</v>
      </c>
      <c r="N15" s="58">
        <v>1.08</v>
      </c>
      <c r="O15" s="58">
        <v>1.08</v>
      </c>
      <c r="P15" s="58">
        <v>4.0599999999999996</v>
      </c>
      <c r="Q15" s="58">
        <v>1.6099999999999999</v>
      </c>
    </row>
    <row r="16" spans="1:44" ht="18.75" x14ac:dyDescent="0.3">
      <c r="B16" s="56" t="s">
        <v>249</v>
      </c>
      <c r="C16" s="58">
        <v>6.6</v>
      </c>
      <c r="D16" s="58">
        <v>104</v>
      </c>
      <c r="E16" s="58">
        <v>286</v>
      </c>
      <c r="F16" s="58">
        <v>63</v>
      </c>
      <c r="G16" s="58">
        <v>0.21099999999999999</v>
      </c>
      <c r="H16" s="58">
        <v>-1.0999999999999999E-2</v>
      </c>
      <c r="I16" s="58">
        <v>7.1199999999999999E-2</v>
      </c>
      <c r="J16" s="58">
        <v>1.3599999999999999E-2</v>
      </c>
      <c r="K16" s="58">
        <v>1.03</v>
      </c>
      <c r="L16" s="58">
        <v>0.113</v>
      </c>
      <c r="M16" s="58">
        <v>7.72</v>
      </c>
      <c r="N16" s="58">
        <v>0.51500000000000001</v>
      </c>
      <c r="O16" s="58">
        <v>0.51500000000000001</v>
      </c>
      <c r="P16" s="58">
        <v>1.74</v>
      </c>
      <c r="Q16" s="58">
        <v>0.222</v>
      </c>
    </row>
    <row r="17" spans="2:17" ht="18.75" x14ac:dyDescent="0.3">
      <c r="B17" s="56" t="s">
        <v>250</v>
      </c>
      <c r="C17" s="58">
        <v>9</v>
      </c>
      <c r="D17" s="58">
        <v>589</v>
      </c>
      <c r="E17" s="58">
        <v>1600</v>
      </c>
      <c r="F17" s="58">
        <v>300</v>
      </c>
      <c r="G17" s="58">
        <v>16</v>
      </c>
      <c r="H17" s="58">
        <v>0.31900000000000001</v>
      </c>
      <c r="I17" s="58">
        <v>0.89300000000000002</v>
      </c>
      <c r="J17" s="58">
        <v>0.32800000000000001</v>
      </c>
      <c r="K17" s="58">
        <v>4.26</v>
      </c>
      <c r="L17" s="58">
        <v>0.52700000000000002</v>
      </c>
      <c r="M17" s="58">
        <v>22.8</v>
      </c>
      <c r="N17" s="58">
        <v>2.4300000000000002</v>
      </c>
      <c r="O17" s="58">
        <v>2.4300000000000002</v>
      </c>
      <c r="P17" s="58">
        <v>21.9</v>
      </c>
      <c r="Q17" s="58">
        <v>31.4</v>
      </c>
    </row>
    <row r="20" spans="2:17" ht="18.75" x14ac:dyDescent="0.3">
      <c r="B20" s="56" t="s">
        <v>252</v>
      </c>
      <c r="C20" s="56" t="s">
        <v>246</v>
      </c>
      <c r="D20" s="56" t="s">
        <v>247</v>
      </c>
      <c r="E20" s="56" t="s">
        <v>248</v>
      </c>
      <c r="F20" s="56" t="s">
        <v>249</v>
      </c>
      <c r="G20" s="56" t="s">
        <v>250</v>
      </c>
    </row>
    <row r="21" spans="2:17" ht="18.75" x14ac:dyDescent="0.3">
      <c r="B21" s="57" t="s">
        <v>204</v>
      </c>
      <c r="C21" s="58">
        <v>7.9901098901098928</v>
      </c>
      <c r="D21" s="58">
        <v>0.36417116886065515</v>
      </c>
      <c r="E21" s="58">
        <v>7.9</v>
      </c>
      <c r="F21" s="58">
        <v>6.6</v>
      </c>
      <c r="G21" s="58">
        <v>9</v>
      </c>
    </row>
    <row r="22" spans="2:17" ht="18.75" x14ac:dyDescent="0.3">
      <c r="B22" s="57" t="s">
        <v>211</v>
      </c>
      <c r="C22" s="58">
        <v>298.87777777777779</v>
      </c>
      <c r="D22" s="58">
        <v>104.09334650362999</v>
      </c>
      <c r="E22" s="58">
        <v>298.5</v>
      </c>
      <c r="F22" s="58">
        <v>104</v>
      </c>
      <c r="G22" s="58">
        <v>589</v>
      </c>
    </row>
    <row r="23" spans="2:17" ht="18.75" x14ac:dyDescent="0.3">
      <c r="B23" s="57" t="s">
        <v>218</v>
      </c>
      <c r="C23" s="58">
        <v>776.04524175824179</v>
      </c>
      <c r="D23" s="58">
        <v>282.78346596685037</v>
      </c>
      <c r="E23" s="58">
        <v>770</v>
      </c>
      <c r="F23" s="58">
        <v>286</v>
      </c>
      <c r="G23" s="58">
        <v>1600</v>
      </c>
    </row>
    <row r="24" spans="2:17" ht="18.75" x14ac:dyDescent="0.3">
      <c r="B24" s="57" t="s">
        <v>217</v>
      </c>
      <c r="C24" s="58">
        <v>127.94158888888892</v>
      </c>
      <c r="D24" s="58">
        <v>35.72748253923136</v>
      </c>
      <c r="E24" s="58">
        <v>127</v>
      </c>
      <c r="F24" s="58">
        <v>63</v>
      </c>
      <c r="G24" s="58">
        <v>300</v>
      </c>
    </row>
    <row r="25" spans="2:17" ht="18.75" x14ac:dyDescent="0.3">
      <c r="B25" s="57" t="s">
        <v>219</v>
      </c>
      <c r="C25" s="58">
        <v>6.3015888888888894</v>
      </c>
      <c r="D25" s="58">
        <v>2.9554082996195796</v>
      </c>
      <c r="E25" s="58">
        <v>5.6400000000000006</v>
      </c>
      <c r="F25" s="58">
        <v>0.21099999999999999</v>
      </c>
      <c r="G25" s="58">
        <v>16</v>
      </c>
    </row>
    <row r="26" spans="2:17" ht="18.75" x14ac:dyDescent="0.3">
      <c r="B26" s="57" t="s">
        <v>220</v>
      </c>
      <c r="C26" s="58">
        <v>7.3722972972972978E-2</v>
      </c>
      <c r="D26" s="58">
        <v>6.6532154726963499E-2</v>
      </c>
      <c r="E26" s="58">
        <v>0.06</v>
      </c>
      <c r="F26" s="58">
        <v>-1.0999999999999999E-2</v>
      </c>
      <c r="G26" s="58">
        <v>0.31900000000000001</v>
      </c>
    </row>
    <row r="27" spans="2:17" ht="18.75" x14ac:dyDescent="0.3">
      <c r="B27" s="57" t="s">
        <v>230</v>
      </c>
      <c r="C27" s="58">
        <v>0.3599</v>
      </c>
      <c r="D27" s="58">
        <v>0.17423715617917615</v>
      </c>
      <c r="E27" s="58">
        <v>0.35649999999999998</v>
      </c>
      <c r="F27" s="58">
        <v>7.1199999999999999E-2</v>
      </c>
      <c r="G27" s="58">
        <v>0.89300000000000002</v>
      </c>
    </row>
    <row r="28" spans="2:17" ht="18.75" x14ac:dyDescent="0.3">
      <c r="B28" s="57" t="s">
        <v>231</v>
      </c>
      <c r="C28" s="58">
        <v>6.6981111111111102E-2</v>
      </c>
      <c r="D28" s="58">
        <v>4.0591952037412171E-2</v>
      </c>
      <c r="E28" s="58">
        <v>5.935E-2</v>
      </c>
      <c r="F28" s="58">
        <v>1.3599999999999999E-2</v>
      </c>
      <c r="G28" s="58">
        <v>0.32800000000000001</v>
      </c>
    </row>
    <row r="29" spans="2:17" ht="18.75" x14ac:dyDescent="0.3">
      <c r="B29" s="57" t="s">
        <v>232</v>
      </c>
      <c r="C29" s="58">
        <v>2.1552222222222217</v>
      </c>
      <c r="D29" s="58">
        <v>0.67595309639248702</v>
      </c>
      <c r="E29" s="58">
        <v>2.0049999999999999</v>
      </c>
      <c r="F29" s="58">
        <v>1.03</v>
      </c>
      <c r="G29" s="58">
        <v>4.26</v>
      </c>
    </row>
    <row r="30" spans="2:17" ht="18.75" x14ac:dyDescent="0.3">
      <c r="B30" s="57" t="s">
        <v>227</v>
      </c>
      <c r="C30" s="58">
        <v>0.31867415730337079</v>
      </c>
      <c r="D30" s="58">
        <v>9.6872857714623839E-2</v>
      </c>
      <c r="E30" s="58">
        <v>0.30099999999999999</v>
      </c>
      <c r="F30" s="58">
        <v>0.113</v>
      </c>
      <c r="G30" s="58">
        <v>0.52700000000000002</v>
      </c>
    </row>
    <row r="31" spans="2:17" ht="18.75" x14ac:dyDescent="0.3">
      <c r="B31" s="57" t="s">
        <v>235</v>
      </c>
      <c r="C31" s="58">
        <v>14.558666666666669</v>
      </c>
      <c r="D31" s="58">
        <v>2.9949346247611772</v>
      </c>
      <c r="E31" s="58">
        <v>14.3</v>
      </c>
      <c r="F31" s="58">
        <v>7.72</v>
      </c>
      <c r="G31" s="58">
        <v>22.8</v>
      </c>
    </row>
    <row r="32" spans="2:17" ht="18.75" x14ac:dyDescent="0.3">
      <c r="B32" s="57" t="s">
        <v>236</v>
      </c>
      <c r="C32" s="58">
        <v>1.1098555555555558</v>
      </c>
      <c r="D32" s="58">
        <v>0.34406958665941351</v>
      </c>
      <c r="E32" s="58">
        <v>1.08</v>
      </c>
      <c r="F32" s="58">
        <v>0.51500000000000001</v>
      </c>
      <c r="G32" s="58">
        <v>2.4300000000000002</v>
      </c>
    </row>
    <row r="33" spans="2:7" ht="18.75" x14ac:dyDescent="0.3">
      <c r="B33" s="57" t="s">
        <v>236</v>
      </c>
      <c r="C33" s="58">
        <v>1.1098555555555558</v>
      </c>
      <c r="D33" s="58">
        <v>0.34406958665941351</v>
      </c>
      <c r="E33" s="58">
        <v>1.08</v>
      </c>
      <c r="F33" s="58">
        <v>0.51500000000000001</v>
      </c>
      <c r="G33" s="58">
        <v>2.4300000000000002</v>
      </c>
    </row>
    <row r="34" spans="2:7" ht="18.75" x14ac:dyDescent="0.3">
      <c r="B34" s="57" t="s">
        <v>237</v>
      </c>
      <c r="C34" s="58">
        <v>7.235842696629212</v>
      </c>
      <c r="D34" s="58">
        <v>6.0778029306995061</v>
      </c>
      <c r="E34" s="58">
        <v>4.0599999999999996</v>
      </c>
      <c r="F34" s="58">
        <v>1.74</v>
      </c>
      <c r="G34" s="58">
        <v>21.9</v>
      </c>
    </row>
    <row r="35" spans="2:7" ht="18.75" x14ac:dyDescent="0.3">
      <c r="B35" s="57" t="s">
        <v>240</v>
      </c>
      <c r="C35" s="58">
        <v>3.0923780487804882</v>
      </c>
      <c r="D35" s="58">
        <v>4.7173383388706993</v>
      </c>
      <c r="E35" s="58">
        <v>1.6099999999999999</v>
      </c>
      <c r="F35" s="58">
        <v>0.222</v>
      </c>
      <c r="G35" s="58">
        <v>31.4</v>
      </c>
    </row>
  </sheetData>
  <pageMargins left="0.7" right="0.7" top="0.75" bottom="0.75" header="0.3" footer="0.3"/>
  <pageSetup paperSize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5E1CC-8F6E-4985-B5C2-1466FBC5BF27}">
  <dimension ref="A1:AI26"/>
  <sheetViews>
    <sheetView workbookViewId="0">
      <selection activeCell="R9" sqref="R9"/>
    </sheetView>
  </sheetViews>
  <sheetFormatPr defaultRowHeight="15" x14ac:dyDescent="0.25"/>
  <cols>
    <col min="1" max="1" width="22.42578125" bestFit="1" customWidth="1"/>
    <col min="18" max="18" width="12" bestFit="1" customWidth="1"/>
  </cols>
  <sheetData>
    <row r="1" spans="1:20" x14ac:dyDescent="0.25">
      <c r="A1" t="s">
        <v>33</v>
      </c>
    </row>
    <row r="2" spans="1:20" x14ac:dyDescent="0.25"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22</v>
      </c>
      <c r="I2" t="s">
        <v>24</v>
      </c>
      <c r="J2" t="s">
        <v>25</v>
      </c>
      <c r="K2" t="s">
        <v>26</v>
      </c>
      <c r="M2" t="s">
        <v>27</v>
      </c>
      <c r="O2" t="s">
        <v>28</v>
      </c>
      <c r="Q2" t="s">
        <v>29</v>
      </c>
      <c r="R2" t="s">
        <v>30</v>
      </c>
      <c r="S2" t="s">
        <v>31</v>
      </c>
      <c r="T2" t="s">
        <v>36</v>
      </c>
    </row>
    <row r="3" spans="1:20" x14ac:dyDescent="0.25">
      <c r="A3">
        <v>2021</v>
      </c>
      <c r="B3" s="21">
        <v>6.2952476425242425</v>
      </c>
      <c r="C3" s="21">
        <v>182.76275894495464</v>
      </c>
      <c r="D3" s="21">
        <v>7.4053743539123502</v>
      </c>
      <c r="E3" s="21">
        <v>2963.3479350080343</v>
      </c>
      <c r="F3" s="22">
        <v>2.4203358978507858</v>
      </c>
      <c r="G3" s="23">
        <v>1136.3581562836575</v>
      </c>
      <c r="H3" s="22">
        <v>6.2733693415862726E-2</v>
      </c>
      <c r="I3" s="22">
        <v>0.7263363288386907</v>
      </c>
      <c r="J3" s="22">
        <v>0.7263363288386907</v>
      </c>
      <c r="K3" s="21">
        <v>35.161745648818581</v>
      </c>
      <c r="M3" s="21">
        <v>96.05863510038408</v>
      </c>
      <c r="O3" s="22">
        <v>0.59057324609735617</v>
      </c>
      <c r="Q3" s="22">
        <v>2.6474506168826033</v>
      </c>
      <c r="R3" s="22">
        <v>6.2733693415862726E-2</v>
      </c>
      <c r="S3" s="22">
        <v>2.4203358978507858</v>
      </c>
      <c r="T3">
        <v>0.81941069379035814</v>
      </c>
    </row>
    <row r="4" spans="1:20" x14ac:dyDescent="0.25">
      <c r="A4">
        <v>2021.5</v>
      </c>
      <c r="B4" s="21">
        <v>6.3260965738654784</v>
      </c>
      <c r="C4" s="21">
        <v>182.76275894495464</v>
      </c>
      <c r="D4" s="21">
        <v>7.4053743539123502</v>
      </c>
      <c r="E4" s="21">
        <v>2963.3479350080343</v>
      </c>
      <c r="F4" s="22">
        <v>2.4203358978507858</v>
      </c>
      <c r="G4" s="23">
        <v>1136.3581562836575</v>
      </c>
      <c r="H4" s="22">
        <v>6.2733693415862726E-2</v>
      </c>
      <c r="I4" s="22">
        <v>0.7263363288386907</v>
      </c>
      <c r="J4" s="22">
        <v>0.7263363288386907</v>
      </c>
      <c r="K4" s="21">
        <v>35.220291121875881</v>
      </c>
      <c r="M4" s="21">
        <v>96.05863510038408</v>
      </c>
      <c r="O4" s="22">
        <v>0.59050864794929936</v>
      </c>
      <c r="Q4" s="22">
        <v>2.6474506168826033</v>
      </c>
      <c r="R4" s="22">
        <v>6.2733693415862726E-2</v>
      </c>
      <c r="S4" s="22">
        <v>2.4203358978507858</v>
      </c>
    </row>
    <row r="5" spans="1:20" x14ac:dyDescent="0.25">
      <c r="A5">
        <v>2022</v>
      </c>
      <c r="B5" s="22">
        <v>6.4352218978029034</v>
      </c>
      <c r="C5" s="21">
        <v>177.61313407205881</v>
      </c>
      <c r="D5" s="21">
        <v>11.946670377572946</v>
      </c>
      <c r="E5" s="21">
        <v>3242.6384044261372</v>
      </c>
      <c r="F5" s="22">
        <v>2.0454137778985015</v>
      </c>
      <c r="G5" s="23">
        <v>1241.5725208723254</v>
      </c>
      <c r="H5" s="22">
        <v>5.5543474507063685E-2</v>
      </c>
      <c r="I5" s="22">
        <v>0.18638871667130325</v>
      </c>
      <c r="J5" s="22">
        <v>0.76237465899557455</v>
      </c>
      <c r="K5" s="21">
        <v>34.299175388398609</v>
      </c>
      <c r="M5" s="21">
        <v>100.71835195727969</v>
      </c>
      <c r="O5" s="22">
        <v>0.9274719427779653</v>
      </c>
      <c r="Q5" s="22">
        <v>3.3033289304179094</v>
      </c>
      <c r="R5" s="22">
        <v>5.5931183528201277E-2</v>
      </c>
      <c r="S5" s="22">
        <v>2.0454137778985015</v>
      </c>
    </row>
    <row r="6" spans="1:20" x14ac:dyDescent="0.25">
      <c r="A6">
        <v>2022.5</v>
      </c>
      <c r="B6" s="22">
        <v>6.4596269959562491</v>
      </c>
      <c r="C6" s="21">
        <v>177.61313407205881</v>
      </c>
      <c r="D6" s="21">
        <v>11.946670377572946</v>
      </c>
      <c r="E6" s="21">
        <v>3242.6384044261372</v>
      </c>
      <c r="F6" s="22">
        <v>2.0454137778985015</v>
      </c>
      <c r="G6" s="23">
        <v>1241.5725208723254</v>
      </c>
      <c r="H6" s="22">
        <v>5.5543474507063685E-2</v>
      </c>
      <c r="I6" s="22">
        <v>0.18638871667130325</v>
      </c>
      <c r="J6" s="22">
        <v>0.76237465899557455</v>
      </c>
      <c r="K6" s="21">
        <v>34.299175388398609</v>
      </c>
      <c r="M6" s="21">
        <v>100.71835195727969</v>
      </c>
      <c r="O6" s="22">
        <v>1.0087653441578528</v>
      </c>
      <c r="Q6" s="22">
        <v>3.3033289304179094</v>
      </c>
      <c r="R6" s="22">
        <v>5.5931183528201277E-2</v>
      </c>
      <c r="S6" s="22">
        <v>2.0454137778985015</v>
      </c>
    </row>
    <row r="7" spans="1:20" x14ac:dyDescent="0.25">
      <c r="A7">
        <v>2023</v>
      </c>
      <c r="B7" s="22">
        <v>6.8865491564299361</v>
      </c>
      <c r="C7" s="22">
        <v>203.80336305704986</v>
      </c>
      <c r="D7" s="22">
        <v>14.703746877093332</v>
      </c>
      <c r="E7" s="22">
        <v>3125.8601430418516</v>
      </c>
      <c r="F7" s="22">
        <v>1.613344545400724</v>
      </c>
      <c r="G7" s="22">
        <v>1201.7149065493866</v>
      </c>
      <c r="H7" s="22">
        <v>5.2958747699479697E-2</v>
      </c>
      <c r="I7" s="22">
        <v>0.54451203391317327</v>
      </c>
      <c r="J7" s="22">
        <v>0.71906663804209126</v>
      </c>
      <c r="K7" s="22">
        <v>36.87511434908</v>
      </c>
      <c r="M7" s="22">
        <v>120.34704440156308</v>
      </c>
      <c r="O7" s="22">
        <v>0.38551593357871378</v>
      </c>
      <c r="Q7" s="22">
        <v>2.0581665833522873</v>
      </c>
      <c r="R7" s="22">
        <v>5.2958747699479697E-2</v>
      </c>
      <c r="S7" s="22">
        <v>1.613344545400724</v>
      </c>
    </row>
    <row r="8" spans="1:20" x14ac:dyDescent="0.25">
      <c r="A8">
        <v>2023.5</v>
      </c>
      <c r="B8" s="22">
        <v>7.2724926347877599</v>
      </c>
      <c r="C8" s="22">
        <v>203.80336305704986</v>
      </c>
      <c r="D8" s="22">
        <v>14.703746877093332</v>
      </c>
      <c r="E8" s="22">
        <v>3125.8601430418516</v>
      </c>
      <c r="F8" s="22">
        <v>1.613344545400724</v>
      </c>
      <c r="G8" s="22">
        <v>1201.7149065493866</v>
      </c>
      <c r="H8" s="22">
        <v>5.2958747699479697E-2</v>
      </c>
      <c r="I8" s="22">
        <v>0.54451203391317327</v>
      </c>
      <c r="J8" s="22">
        <v>0.71906663804209126</v>
      </c>
      <c r="K8" s="22">
        <v>36.87511434908</v>
      </c>
      <c r="M8" s="22">
        <v>120.34704440156308</v>
      </c>
      <c r="O8" s="22">
        <v>0.38551593357871378</v>
      </c>
      <c r="Q8" s="22">
        <v>2.0581665833522873</v>
      </c>
      <c r="R8" s="22">
        <v>5.2958747699479697E-2</v>
      </c>
      <c r="S8" s="22">
        <v>2.0303820742720684</v>
      </c>
    </row>
    <row r="9" spans="1:20" x14ac:dyDescent="0.25">
      <c r="B9" s="24">
        <v>6.6125391502277617</v>
      </c>
      <c r="C9" s="24">
        <v>188.05975202468778</v>
      </c>
      <c r="D9" s="24">
        <v>11.351930536192876</v>
      </c>
      <c r="E9" s="24">
        <v>3110.6154941586742</v>
      </c>
      <c r="F9" s="25">
        <v>2.0263647403833369</v>
      </c>
      <c r="G9" s="26">
        <v>1193.2151945684566</v>
      </c>
      <c r="H9" s="25">
        <v>5.7078638540802029E-2</v>
      </c>
      <c r="I9" s="27">
        <v>7.2633632883869071E-4</v>
      </c>
      <c r="J9">
        <v>7.2633632883869071E-4</v>
      </c>
      <c r="K9" s="28">
        <v>3.5161745648818583E-2</v>
      </c>
      <c r="L9" t="s">
        <v>32</v>
      </c>
      <c r="M9">
        <v>9.6058635100384093E-2</v>
      </c>
      <c r="O9">
        <v>5.905732460973562E-4</v>
      </c>
      <c r="Q9">
        <v>2.6474506168826031E-3</v>
      </c>
      <c r="R9">
        <v>6.2733693415862704E-5</v>
      </c>
      <c r="S9">
        <v>2.4203358978507859E-3</v>
      </c>
    </row>
    <row r="10" spans="1:20" x14ac:dyDescent="0.25">
      <c r="I10" s="27">
        <v>7.2633632883869071E-4</v>
      </c>
      <c r="J10">
        <v>7.2633632883869071E-4</v>
      </c>
      <c r="K10" s="28">
        <v>3.5220291121875878E-2</v>
      </c>
      <c r="M10">
        <v>9.6058635100384079E-2</v>
      </c>
      <c r="O10">
        <v>5.9050864794929936E-4</v>
      </c>
      <c r="Q10">
        <v>2.6474506168826031E-3</v>
      </c>
      <c r="R10">
        <v>6.2733693415862731E-5</v>
      </c>
      <c r="S10">
        <v>2.4203358978507859E-3</v>
      </c>
    </row>
    <row r="11" spans="1:20" x14ac:dyDescent="0.25">
      <c r="I11" s="27">
        <v>1.8638871667130325E-4</v>
      </c>
      <c r="J11">
        <v>7.623746589955746E-4</v>
      </c>
      <c r="K11" s="28">
        <v>3.4299175388398606E-2</v>
      </c>
      <c r="M11">
        <v>0.1007183519572797</v>
      </c>
      <c r="O11">
        <v>9.2747194277796531E-4</v>
      </c>
      <c r="Q11">
        <v>3.3033289304179093E-3</v>
      </c>
      <c r="R11">
        <v>5.593118352820128E-5</v>
      </c>
      <c r="S11">
        <v>2.0454137778985015E-3</v>
      </c>
    </row>
    <row r="12" spans="1:20" x14ac:dyDescent="0.25">
      <c r="I12" s="27">
        <v>1.8638871667130325E-4</v>
      </c>
      <c r="J12">
        <v>7.623746589955746E-4</v>
      </c>
      <c r="K12" s="28">
        <v>3.4299175388398606E-2</v>
      </c>
      <c r="M12">
        <v>0.1007183519572797</v>
      </c>
      <c r="O12">
        <v>1.0087653441578528E-3</v>
      </c>
      <c r="Q12">
        <v>3.3033289304179093E-3</v>
      </c>
      <c r="R12">
        <v>5.593118352820128E-5</v>
      </c>
      <c r="S12">
        <v>2.0454137778985015E-3</v>
      </c>
    </row>
    <row r="13" spans="1:20" x14ac:dyDescent="0.25">
      <c r="I13" s="27">
        <v>5.445120339131733E-4</v>
      </c>
      <c r="J13">
        <v>7.1906663804209125E-4</v>
      </c>
      <c r="K13" s="28">
        <v>3.6875114349080002E-2</v>
      </c>
      <c r="M13">
        <v>0.12034704440156309</v>
      </c>
      <c r="O13">
        <v>3.8551593357871375E-4</v>
      </c>
      <c r="Q13">
        <v>2.0581665833522872E-3</v>
      </c>
      <c r="R13">
        <v>5.29587476994797E-5</v>
      </c>
      <c r="S13">
        <v>1.613344545400724E-3</v>
      </c>
    </row>
    <row r="14" spans="1:20" x14ac:dyDescent="0.25">
      <c r="I14" s="27">
        <v>5.445120339131733E-4</v>
      </c>
      <c r="J14">
        <v>7.1906663804209125E-4</v>
      </c>
      <c r="K14" s="28">
        <v>3.6875114349080002E-2</v>
      </c>
      <c r="M14">
        <v>0.12034704440156309</v>
      </c>
      <c r="O14">
        <v>3.8551593357871375E-4</v>
      </c>
      <c r="Q14">
        <v>2.0581665833522872E-3</v>
      </c>
      <c r="R14">
        <v>5.29587476994797E-5</v>
      </c>
      <c r="S14">
        <v>2.0303820742720684E-3</v>
      </c>
    </row>
    <row r="15" spans="1:20" x14ac:dyDescent="0.25">
      <c r="I15" s="29">
        <v>4.8574569314105577E-4</v>
      </c>
      <c r="J15" s="30">
        <v>7.3592587529211885E-4</v>
      </c>
      <c r="K15" s="30">
        <v>3.5455102707608613E-2</v>
      </c>
      <c r="M15" s="30">
        <v>0.10570801048640895</v>
      </c>
      <c r="O15" s="30">
        <v>6.4805850802331685E-4</v>
      </c>
      <c r="Q15" s="30">
        <v>2.6696487102175997E-3</v>
      </c>
      <c r="R15">
        <v>5.720787488118123E-5</v>
      </c>
      <c r="S15" s="30">
        <v>2.095870995195228E-3</v>
      </c>
    </row>
    <row r="20" spans="1:35" x14ac:dyDescent="0.25">
      <c r="A20" t="s">
        <v>34</v>
      </c>
    </row>
    <row r="22" spans="1:35" s="6" customFormat="1" x14ac:dyDescent="0.25">
      <c r="C22" s="7" t="s">
        <v>35</v>
      </c>
      <c r="D22" s="7" t="s">
        <v>36</v>
      </c>
      <c r="E22" s="7" t="s">
        <v>37</v>
      </c>
      <c r="F22" s="7" t="s">
        <v>38</v>
      </c>
      <c r="G22" s="7" t="s">
        <v>39</v>
      </c>
      <c r="H22" s="7" t="s">
        <v>40</v>
      </c>
      <c r="I22" s="7" t="s">
        <v>41</v>
      </c>
      <c r="J22" s="7" t="s">
        <v>42</v>
      </c>
      <c r="K22" s="7" t="s">
        <v>43</v>
      </c>
      <c r="L22" s="7" t="s">
        <v>44</v>
      </c>
      <c r="M22" s="7" t="s">
        <v>45</v>
      </c>
      <c r="N22" s="7" t="s">
        <v>46</v>
      </c>
      <c r="O22" s="7" t="s">
        <v>47</v>
      </c>
      <c r="P22" s="7" t="s">
        <v>48</v>
      </c>
      <c r="Q22" s="7" t="s">
        <v>31</v>
      </c>
      <c r="R22" s="7" t="s">
        <v>49</v>
      </c>
      <c r="S22" s="7" t="s">
        <v>50</v>
      </c>
      <c r="T22" s="7" t="s">
        <v>30</v>
      </c>
      <c r="U22" s="7" t="s">
        <v>51</v>
      </c>
      <c r="V22" s="7" t="s">
        <v>52</v>
      </c>
      <c r="W22" s="7" t="s">
        <v>53</v>
      </c>
      <c r="X22" s="7" t="s">
        <v>54</v>
      </c>
      <c r="Y22" s="7" t="s">
        <v>55</v>
      </c>
      <c r="Z22" s="7" t="s">
        <v>56</v>
      </c>
      <c r="AA22" s="7" t="s">
        <v>57</v>
      </c>
      <c r="AB22" s="7" t="s">
        <v>58</v>
      </c>
      <c r="AC22" s="7" t="s">
        <v>59</v>
      </c>
      <c r="AD22" s="7" t="s">
        <v>60</v>
      </c>
      <c r="AE22" s="7" t="s">
        <v>61</v>
      </c>
      <c r="AF22" s="7" t="s">
        <v>62</v>
      </c>
      <c r="AG22" s="8"/>
      <c r="AH22" s="9"/>
      <c r="AI22" s="10"/>
    </row>
    <row r="23" spans="1:35" s="6" customFormat="1" ht="15.75" thickBot="1" x14ac:dyDescent="0.3">
      <c r="C23" s="11" t="s">
        <v>63</v>
      </c>
      <c r="D23" s="11" t="s">
        <v>63</v>
      </c>
      <c r="E23" s="11" t="s">
        <v>63</v>
      </c>
      <c r="F23" s="11" t="s">
        <v>63</v>
      </c>
      <c r="G23" s="11" t="s">
        <v>63</v>
      </c>
      <c r="H23" s="11" t="s">
        <v>63</v>
      </c>
      <c r="I23" s="11" t="s">
        <v>63</v>
      </c>
      <c r="J23" s="11" t="s">
        <v>63</v>
      </c>
      <c r="K23" s="11" t="s">
        <v>63</v>
      </c>
      <c r="L23" s="11" t="s">
        <v>63</v>
      </c>
      <c r="M23" s="11" t="s">
        <v>63</v>
      </c>
      <c r="N23" s="11" t="s">
        <v>63</v>
      </c>
      <c r="O23" s="11" t="s">
        <v>63</v>
      </c>
      <c r="P23" s="11" t="s">
        <v>63</v>
      </c>
      <c r="Q23" s="11" t="s">
        <v>63</v>
      </c>
      <c r="R23" s="11" t="s">
        <v>63</v>
      </c>
      <c r="S23" s="11" t="s">
        <v>63</v>
      </c>
      <c r="T23" s="11" t="s">
        <v>63</v>
      </c>
      <c r="U23" s="11" t="s">
        <v>63</v>
      </c>
      <c r="V23" s="11" t="s">
        <v>63</v>
      </c>
      <c r="W23" s="11" t="s">
        <v>63</v>
      </c>
      <c r="X23" s="11" t="s">
        <v>63</v>
      </c>
      <c r="Y23" s="11" t="s">
        <v>63</v>
      </c>
      <c r="Z23" s="11" t="s">
        <v>63</v>
      </c>
      <c r="AA23" s="11" t="s">
        <v>63</v>
      </c>
      <c r="AB23" s="11" t="s">
        <v>63</v>
      </c>
      <c r="AC23" s="11" t="s">
        <v>63</v>
      </c>
      <c r="AD23" s="11" t="s">
        <v>63</v>
      </c>
      <c r="AE23" s="11" t="s">
        <v>63</v>
      </c>
      <c r="AF23" s="11" t="s">
        <v>63</v>
      </c>
      <c r="AG23" s="11"/>
      <c r="AH23" s="11"/>
      <c r="AI23" s="12"/>
    </row>
    <row r="24" spans="1:35" s="13" customFormat="1" x14ac:dyDescent="0.25">
      <c r="A24" s="13" t="s">
        <v>64</v>
      </c>
      <c r="B24" s="13" t="s">
        <v>65</v>
      </c>
      <c r="C24" s="14">
        <v>163.56877881652881</v>
      </c>
      <c r="D24" s="14">
        <v>0.39117653034572947</v>
      </c>
      <c r="E24" s="14">
        <v>0.64946450524284138</v>
      </c>
      <c r="F24" s="14">
        <v>1.0406410355885709</v>
      </c>
      <c r="G24" s="14"/>
      <c r="H24" s="14">
        <v>2.646485429652869</v>
      </c>
      <c r="I24" s="14">
        <v>45.058217094735994</v>
      </c>
      <c r="J24" s="14">
        <v>39.330452629090097</v>
      </c>
      <c r="K24" s="14">
        <v>35.216711815575835</v>
      </c>
      <c r="L24" s="14">
        <v>58.371079845459121</v>
      </c>
      <c r="M24" s="14">
        <v>6.4831832908418052</v>
      </c>
      <c r="N24" s="14">
        <v>35.626436126537463</v>
      </c>
      <c r="O24" s="14">
        <v>15.440133662322296</v>
      </c>
      <c r="P24" s="14">
        <v>0.91643100826567481</v>
      </c>
      <c r="Q24" s="15">
        <v>3.5923275124060475E-3</v>
      </c>
      <c r="R24" s="16">
        <v>5.995708376922515E-2</v>
      </c>
      <c r="S24" s="17">
        <v>1.7663021601656584E-5</v>
      </c>
      <c r="T24" s="17">
        <v>7.5851487963497983E-4</v>
      </c>
      <c r="U24" s="17">
        <v>3.5521913899300167E-4</v>
      </c>
      <c r="V24" s="15">
        <v>3.7885131033112323E-3</v>
      </c>
      <c r="W24" s="17">
        <v>4.5974710005275871E-4</v>
      </c>
      <c r="X24" s="15">
        <v>7.7618132749328831E-3</v>
      </c>
      <c r="Y24" s="15">
        <v>4.7125687637438619E-3</v>
      </c>
      <c r="Z24" s="15">
        <v>1.6319346887883664E-3</v>
      </c>
      <c r="AA24" s="14">
        <v>1.8303867512911491</v>
      </c>
      <c r="AB24" s="17">
        <v>3.2735910284056548E-4</v>
      </c>
      <c r="AC24" s="14">
        <v>9.6754157125990198E-2</v>
      </c>
      <c r="AD24" s="15">
        <v>2.0736736747392851E-3</v>
      </c>
      <c r="AE24" s="16">
        <v>6.914080718344022E-2</v>
      </c>
      <c r="AF24" s="17">
        <v>3.2022588323671911E-4</v>
      </c>
    </row>
    <row r="25" spans="1:35" s="13" customFormat="1" x14ac:dyDescent="0.25">
      <c r="A25" s="13" t="s">
        <v>66</v>
      </c>
      <c r="B25" s="13" t="s">
        <v>67</v>
      </c>
      <c r="C25" s="14">
        <v>135.9228653763945</v>
      </c>
      <c r="D25" s="14">
        <v>0.26382858502995088</v>
      </c>
      <c r="E25" s="14" t="e">
        <v>#VALUE!</v>
      </c>
      <c r="F25" s="14" t="e">
        <v>#VALUE!</v>
      </c>
      <c r="G25" s="14">
        <v>0</v>
      </c>
      <c r="H25" s="14">
        <v>1.3723245930184098</v>
      </c>
      <c r="I25" s="14">
        <v>38.069173307956532</v>
      </c>
      <c r="J25" s="14">
        <v>31.121115360810279</v>
      </c>
      <c r="K25" s="14">
        <v>23.825108280555167</v>
      </c>
      <c r="L25" s="14">
        <v>36.807664491724481</v>
      </c>
      <c r="M25" s="14">
        <v>4.7184385371239452</v>
      </c>
      <c r="N25" s="14">
        <v>26.167916154099558</v>
      </c>
      <c r="O25" s="14">
        <v>9.1604081501146695</v>
      </c>
      <c r="P25" s="14">
        <v>0.65491913877519481</v>
      </c>
      <c r="Q25" s="15">
        <v>1.6417992491091313E-3</v>
      </c>
      <c r="R25" s="16">
        <v>2.7618050834438627E-2</v>
      </c>
      <c r="S25" s="17" t="e">
        <v>#VALUE!</v>
      </c>
      <c r="T25" s="17">
        <v>7.5899070246655581E-4</v>
      </c>
      <c r="U25" s="17" t="e">
        <v>#VALUE!</v>
      </c>
      <c r="V25" s="15">
        <v>5.4867961943687151E-3</v>
      </c>
      <c r="W25" s="17">
        <v>3.4340929474346041E-4</v>
      </c>
      <c r="X25" s="15">
        <v>7.6032109393513554E-3</v>
      </c>
      <c r="Y25" s="15">
        <v>2.8699584571412963E-3</v>
      </c>
      <c r="Z25" s="15">
        <v>8.1037342759898668E-4</v>
      </c>
      <c r="AA25" s="14">
        <v>0.840053942410532</v>
      </c>
      <c r="AB25" s="17">
        <v>1.8669299517951502E-4</v>
      </c>
      <c r="AC25" s="16">
        <v>3.8659020588446107E-2</v>
      </c>
      <c r="AD25" s="15">
        <v>2.2192546495255041E-3</v>
      </c>
      <c r="AE25" s="16">
        <v>6.6013145749920787E-2</v>
      </c>
      <c r="AF25" s="17">
        <v>1.3228241595786679E-4</v>
      </c>
    </row>
    <row r="26" spans="1:35" s="18" customFormat="1" x14ac:dyDescent="0.25">
      <c r="A26" s="18" t="s">
        <v>68</v>
      </c>
      <c r="B26" s="18" t="s">
        <v>69</v>
      </c>
      <c r="C26" s="19">
        <f>AVERAGE(C24:C25)</f>
        <v>149.74582209646167</v>
      </c>
      <c r="D26" s="19">
        <f t="shared" ref="D26:AF26" si="0">AVERAGE(D24:D25)</f>
        <v>0.3275025576878402</v>
      </c>
      <c r="E26" s="19" t="e">
        <f t="shared" si="0"/>
        <v>#VALUE!</v>
      </c>
      <c r="F26" s="19" t="e">
        <f t="shared" si="0"/>
        <v>#VALUE!</v>
      </c>
      <c r="G26" s="19">
        <f t="shared" si="0"/>
        <v>0</v>
      </c>
      <c r="H26" s="19">
        <f t="shared" si="0"/>
        <v>2.0094050113356392</v>
      </c>
      <c r="I26" s="19">
        <f t="shared" si="0"/>
        <v>41.563695201346263</v>
      </c>
      <c r="J26" s="19">
        <f t="shared" si="0"/>
        <v>35.225783994950191</v>
      </c>
      <c r="K26" s="19">
        <f t="shared" si="0"/>
        <v>29.520910048065502</v>
      </c>
      <c r="L26" s="19">
        <f t="shared" si="0"/>
        <v>47.589372168591801</v>
      </c>
      <c r="M26" s="19">
        <f t="shared" si="0"/>
        <v>5.6008109139828752</v>
      </c>
      <c r="N26" s="19">
        <f t="shared" si="0"/>
        <v>30.897176140318511</v>
      </c>
      <c r="O26" s="19">
        <f t="shared" si="0"/>
        <v>12.300270906218483</v>
      </c>
      <c r="P26" s="19">
        <f t="shared" si="0"/>
        <v>0.78567507352043475</v>
      </c>
      <c r="Q26" s="20">
        <f t="shared" si="0"/>
        <v>2.6170633807575893E-3</v>
      </c>
      <c r="R26" s="20">
        <f t="shared" si="0"/>
        <v>4.3787567301831892E-2</v>
      </c>
      <c r="S26" s="20" t="e">
        <f t="shared" si="0"/>
        <v>#VALUE!</v>
      </c>
      <c r="T26" s="20">
        <f t="shared" si="0"/>
        <v>7.5875279105076777E-4</v>
      </c>
      <c r="U26" s="19" t="e">
        <f t="shared" si="0"/>
        <v>#VALUE!</v>
      </c>
      <c r="V26" s="20">
        <f t="shared" si="0"/>
        <v>4.6376546488399737E-3</v>
      </c>
      <c r="W26" s="20">
        <f t="shared" si="0"/>
        <v>4.0157819739810956E-4</v>
      </c>
      <c r="X26" s="20">
        <f t="shared" si="0"/>
        <v>7.6825121071421188E-3</v>
      </c>
      <c r="Y26" s="20">
        <f t="shared" si="0"/>
        <v>3.7912636104425789E-3</v>
      </c>
      <c r="Z26" s="20">
        <f t="shared" si="0"/>
        <v>1.2211540581936766E-3</v>
      </c>
      <c r="AA26" s="19">
        <f t="shared" si="0"/>
        <v>1.3352203468508406</v>
      </c>
      <c r="AB26" s="20">
        <f t="shared" si="0"/>
        <v>2.5702604901004026E-4</v>
      </c>
      <c r="AC26" s="20">
        <f t="shared" si="0"/>
        <v>6.7706588857218156E-2</v>
      </c>
      <c r="AD26" s="20">
        <f t="shared" si="0"/>
        <v>2.1464641621323946E-3</v>
      </c>
      <c r="AE26" s="20">
        <f t="shared" si="0"/>
        <v>6.7576976466680511E-2</v>
      </c>
      <c r="AF26" s="20">
        <f t="shared" si="0"/>
        <v>2.2625414959729295E-4</v>
      </c>
      <c r="AG26" s="19"/>
      <c r="AH26" s="19"/>
      <c r="AI26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EDB39-2F4C-4B63-8F10-9B2D0694DA09}">
  <dimension ref="A1:C11"/>
  <sheetViews>
    <sheetView workbookViewId="0">
      <selection activeCell="C11" sqref="C11"/>
    </sheetView>
  </sheetViews>
  <sheetFormatPr defaultRowHeight="15" x14ac:dyDescent="0.25"/>
  <cols>
    <col min="2" max="2" width="43.5703125" bestFit="1" customWidth="1"/>
  </cols>
  <sheetData>
    <row r="1" spans="1:3" x14ac:dyDescent="0.25">
      <c r="A1" t="s">
        <v>70</v>
      </c>
      <c r="B1" t="s">
        <v>71</v>
      </c>
    </row>
    <row r="2" spans="1:3" x14ac:dyDescent="0.25">
      <c r="A2">
        <v>2016</v>
      </c>
      <c r="B2">
        <v>4286.6266150000001</v>
      </c>
      <c r="C2">
        <v>4.2866266150000003</v>
      </c>
    </row>
    <row r="3" spans="1:3" x14ac:dyDescent="0.25">
      <c r="A3">
        <v>2017</v>
      </c>
      <c r="B3">
        <v>3628.116</v>
      </c>
      <c r="C3">
        <v>3.6281159999999999</v>
      </c>
    </row>
    <row r="4" spans="1:3" x14ac:dyDescent="0.25">
      <c r="A4">
        <v>2018</v>
      </c>
      <c r="B4">
        <v>2771.0279999999998</v>
      </c>
      <c r="C4">
        <v>2.7710279999999998</v>
      </c>
    </row>
    <row r="5" spans="1:3" x14ac:dyDescent="0.25">
      <c r="A5">
        <v>2019</v>
      </c>
      <c r="B5">
        <v>3401.6149999999998</v>
      </c>
      <c r="C5">
        <v>2.7710279999999998</v>
      </c>
    </row>
    <row r="6" spans="1:3" x14ac:dyDescent="0.25">
      <c r="A6">
        <v>2020</v>
      </c>
      <c r="C6">
        <v>0</v>
      </c>
    </row>
    <row r="7" spans="1:3" x14ac:dyDescent="0.25">
      <c r="A7">
        <v>2021</v>
      </c>
      <c r="C7">
        <v>0</v>
      </c>
    </row>
    <row r="8" spans="1:3" x14ac:dyDescent="0.25">
      <c r="A8">
        <v>2022</v>
      </c>
      <c r="B8">
        <v>3210.6</v>
      </c>
      <c r="C8">
        <v>3.2105999999999999</v>
      </c>
    </row>
    <row r="9" spans="1:3" x14ac:dyDescent="0.25">
      <c r="A9">
        <v>2023</v>
      </c>
      <c r="B9">
        <v>3256.6</v>
      </c>
      <c r="C9">
        <v>3.2565999999999997</v>
      </c>
    </row>
    <row r="10" spans="1:3" x14ac:dyDescent="0.25">
      <c r="A10">
        <v>2024</v>
      </c>
      <c r="B10">
        <v>2974.69</v>
      </c>
      <c r="C10">
        <v>3.2565999999999997</v>
      </c>
    </row>
    <row r="11" spans="1:3" x14ac:dyDescent="0.25">
      <c r="A11">
        <v>2025</v>
      </c>
      <c r="B11">
        <v>4266.8530000000001</v>
      </c>
      <c r="C11">
        <v>4.2668530000000002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10BF-18F4-4835-BAF5-A2BF3C627F9A}">
  <dimension ref="A1:AW82"/>
  <sheetViews>
    <sheetView workbookViewId="0">
      <pane xSplit="1" topLeftCell="B1" activePane="topRight" state="frozen"/>
      <selection pane="topRight" activeCell="AJ11" sqref="AJ11"/>
    </sheetView>
  </sheetViews>
  <sheetFormatPr defaultRowHeight="15" x14ac:dyDescent="0.25"/>
  <cols>
    <col min="1" max="1" width="17.85546875" bestFit="1" customWidth="1"/>
    <col min="2" max="2" width="9.85546875" customWidth="1"/>
    <col min="3" max="3" width="5" bestFit="1" customWidth="1"/>
    <col min="4" max="5" width="6.85546875" customWidth="1"/>
    <col min="6" max="6" width="5.28515625" customWidth="1"/>
    <col min="7" max="7" width="7.140625" customWidth="1"/>
    <col min="8" max="8" width="8.42578125" customWidth="1"/>
    <col min="9" max="9" width="7.140625" customWidth="1"/>
    <col min="10" max="10" width="7" bestFit="1" customWidth="1"/>
    <col min="11" max="11" width="6.5703125" customWidth="1"/>
    <col min="12" max="12" width="4.85546875" customWidth="1"/>
    <col min="13" max="13" width="3.85546875" customWidth="1"/>
    <col min="14" max="14" width="8" customWidth="1"/>
    <col min="15" max="15" width="7.85546875" customWidth="1"/>
    <col min="16" max="16" width="7.28515625" customWidth="1"/>
    <col min="17" max="17" width="5.5703125" customWidth="1"/>
    <col min="18" max="18" width="6.5703125" customWidth="1"/>
    <col min="19" max="19" width="6" customWidth="1"/>
    <col min="20" max="20" width="9" customWidth="1"/>
    <col min="21" max="21" width="4.5703125" customWidth="1"/>
    <col min="22" max="22" width="7" bestFit="1" customWidth="1"/>
    <col min="23" max="23" width="5" bestFit="1" customWidth="1"/>
    <col min="24" max="24" width="12" bestFit="1" customWidth="1"/>
    <col min="25" max="25" width="3" customWidth="1"/>
    <col min="26" max="26" width="13.28515625" customWidth="1"/>
    <col min="27" max="27" width="8.28515625" customWidth="1"/>
    <col min="29" max="29" width="5.140625" customWidth="1"/>
    <col min="30" max="30" width="5.42578125" bestFit="1" customWidth="1"/>
    <col min="31" max="31" width="5" bestFit="1" customWidth="1"/>
    <col min="32" max="32" width="3.7109375" customWidth="1"/>
    <col min="33" max="33" width="4" customWidth="1"/>
    <col min="34" max="34" width="7" bestFit="1" customWidth="1"/>
    <col min="35" max="35" width="5" bestFit="1" customWidth="1"/>
    <col min="36" max="36" width="5" customWidth="1"/>
    <col min="37" max="37" width="17.85546875" bestFit="1" customWidth="1"/>
  </cols>
  <sheetData>
    <row r="1" spans="1:49" ht="15.75" x14ac:dyDescent="0.25">
      <c r="A1" s="32"/>
      <c r="B1" s="32"/>
      <c r="F1" s="32"/>
      <c r="J1" s="32"/>
      <c r="N1" s="32"/>
      <c r="R1" s="32"/>
      <c r="V1" s="32"/>
      <c r="Z1" s="32"/>
      <c r="AD1" s="32"/>
      <c r="AH1" s="32"/>
      <c r="AK1" s="32"/>
      <c r="AL1" s="32"/>
      <c r="AO1" s="32"/>
      <c r="AR1" s="32"/>
      <c r="AU1" s="32"/>
    </row>
    <row r="2" spans="1:49" x14ac:dyDescent="0.25">
      <c r="A2" s="33" t="s">
        <v>72</v>
      </c>
      <c r="B2" s="33" t="s">
        <v>43</v>
      </c>
      <c r="C2" s="33" t="s">
        <v>43</v>
      </c>
      <c r="D2" s="33" t="s">
        <v>43</v>
      </c>
      <c r="F2" s="33" t="s">
        <v>42</v>
      </c>
      <c r="G2" s="33" t="s">
        <v>42</v>
      </c>
      <c r="H2" s="33" t="s">
        <v>42</v>
      </c>
      <c r="J2" s="33" t="s">
        <v>37</v>
      </c>
      <c r="K2" s="33" t="s">
        <v>37</v>
      </c>
      <c r="L2" s="33" t="s">
        <v>37</v>
      </c>
      <c r="N2" s="33" t="s">
        <v>36</v>
      </c>
      <c r="O2" s="33" t="s">
        <v>36</v>
      </c>
      <c r="P2" s="33" t="s">
        <v>36</v>
      </c>
      <c r="R2" s="33" t="s">
        <v>133</v>
      </c>
      <c r="S2" s="33" t="s">
        <v>133</v>
      </c>
      <c r="T2" s="33" t="s">
        <v>133</v>
      </c>
      <c r="V2" s="33" t="s">
        <v>31</v>
      </c>
      <c r="W2" s="33" t="s">
        <v>31</v>
      </c>
      <c r="X2" s="33" t="s">
        <v>31</v>
      </c>
      <c r="Z2" s="33" t="s">
        <v>30</v>
      </c>
      <c r="AA2" s="33" t="s">
        <v>30</v>
      </c>
      <c r="AB2" s="33" t="s">
        <v>30</v>
      </c>
      <c r="AD2" s="33" t="s">
        <v>52</v>
      </c>
      <c r="AE2" s="33" t="s">
        <v>52</v>
      </c>
      <c r="AF2" s="33" t="s">
        <v>52</v>
      </c>
      <c r="AH2" s="33" t="s">
        <v>51</v>
      </c>
      <c r="AI2" s="33" t="s">
        <v>51</v>
      </c>
      <c r="AJ2" s="33" t="s">
        <v>51</v>
      </c>
      <c r="AK2" s="33" t="s">
        <v>72</v>
      </c>
      <c r="AL2" s="33" t="s">
        <v>52</v>
      </c>
      <c r="AM2" s="33" t="s">
        <v>52</v>
      </c>
      <c r="AN2" s="33" t="s">
        <v>52</v>
      </c>
      <c r="AO2" s="33" t="s">
        <v>55</v>
      </c>
      <c r="AP2" s="33" t="s">
        <v>55</v>
      </c>
      <c r="AQ2" s="33" t="s">
        <v>55</v>
      </c>
      <c r="AR2" s="33" t="s">
        <v>56</v>
      </c>
      <c r="AS2" s="33" t="s">
        <v>56</v>
      </c>
      <c r="AT2" s="33" t="s">
        <v>56</v>
      </c>
      <c r="AU2" s="33" t="s">
        <v>60</v>
      </c>
      <c r="AV2" s="33" t="s">
        <v>60</v>
      </c>
      <c r="AW2" s="33" t="s">
        <v>60</v>
      </c>
    </row>
    <row r="3" spans="1:49" x14ac:dyDescent="0.25">
      <c r="A3" s="34"/>
      <c r="B3" s="34" t="s">
        <v>127</v>
      </c>
      <c r="C3">
        <v>2016</v>
      </c>
      <c r="D3">
        <f>AVERAGE(B4:B15)</f>
        <v>44.991666666666667</v>
      </c>
      <c r="F3" s="34" t="s">
        <v>127</v>
      </c>
      <c r="G3">
        <v>2016</v>
      </c>
      <c r="H3">
        <f>AVERAGE(F4:F15)</f>
        <v>68.208333333333329</v>
      </c>
      <c r="J3" s="34" t="s">
        <v>127</v>
      </c>
      <c r="K3">
        <v>2016</v>
      </c>
      <c r="L3">
        <f>AVERAGE(J4:J15)</f>
        <v>1.9406666666666668</v>
      </c>
      <c r="N3" s="34" t="s">
        <v>127</v>
      </c>
      <c r="O3">
        <v>2016</v>
      </c>
      <c r="P3">
        <f>AVERAGE(N4:N15)</f>
        <v>0.65374999999999994</v>
      </c>
      <c r="R3" s="34" t="s">
        <v>127</v>
      </c>
      <c r="S3">
        <v>2016</v>
      </c>
      <c r="T3">
        <f>AVERAGE(R4:R15)</f>
        <v>4.9363636363636366E-2</v>
      </c>
      <c r="V3" s="34" t="s">
        <v>135</v>
      </c>
      <c r="W3">
        <v>2016</v>
      </c>
      <c r="X3">
        <f>AVERAGE(V4:V15)</f>
        <v>0.3755</v>
      </c>
      <c r="Z3" s="34" t="s">
        <v>135</v>
      </c>
      <c r="AA3">
        <v>2016</v>
      </c>
      <c r="AB3">
        <f>AVERAGE(Z4:Z15)</f>
        <v>0.18345000000000003</v>
      </c>
      <c r="AD3" s="34" t="s">
        <v>135</v>
      </c>
      <c r="AE3">
        <v>2016</v>
      </c>
      <c r="AF3">
        <f>AVERAGE(AD4:AD15)</f>
        <v>9.6366666666666685</v>
      </c>
      <c r="AH3" s="34" t="s">
        <v>135</v>
      </c>
      <c r="AI3">
        <v>2016</v>
      </c>
      <c r="AJ3">
        <f>AVERAGE(AH4:AH15)</f>
        <v>0.12802499999999997</v>
      </c>
      <c r="AK3" s="34"/>
      <c r="AL3" s="34" t="s">
        <v>135</v>
      </c>
      <c r="AM3">
        <v>2016</v>
      </c>
      <c r="AN3">
        <f>AVERAGE(AL4:AL15)</f>
        <v>9.6366666666666685</v>
      </c>
      <c r="AO3" s="34" t="s">
        <v>135</v>
      </c>
      <c r="AP3">
        <v>2016</v>
      </c>
      <c r="AQ3">
        <f>AVERAGE(AO4:AO15)</f>
        <v>6.0650000000000004</v>
      </c>
      <c r="AR3" s="34" t="s">
        <v>135</v>
      </c>
      <c r="AS3">
        <v>2016</v>
      </c>
      <c r="AT3">
        <f>AVERAGE(AR4:AR15)</f>
        <v>0.30455833333333332</v>
      </c>
      <c r="AU3" s="34" t="s">
        <v>135</v>
      </c>
      <c r="AV3">
        <v>2016</v>
      </c>
      <c r="AW3">
        <f>AVERAGE(AU4:AU15)</f>
        <v>2.8346363636363634</v>
      </c>
    </row>
    <row r="4" spans="1:49" x14ac:dyDescent="0.25">
      <c r="A4" s="35" t="s">
        <v>73</v>
      </c>
      <c r="B4" s="43">
        <v>43.7</v>
      </c>
      <c r="C4">
        <v>2017</v>
      </c>
      <c r="D4">
        <f>AVERAGE(B16:B24)</f>
        <v>47.762499999999996</v>
      </c>
      <c r="F4" s="43">
        <v>66</v>
      </c>
      <c r="G4">
        <v>2017</v>
      </c>
      <c r="H4">
        <f>AVERAGE(F16:F24)</f>
        <v>68.674999999999997</v>
      </c>
      <c r="J4" s="43">
        <v>1.1599999999999999</v>
      </c>
      <c r="K4">
        <v>2017</v>
      </c>
      <c r="L4">
        <f>AVERAGE(J16:J24)</f>
        <v>1.3487500000000001</v>
      </c>
      <c r="N4" s="43">
        <v>0.311</v>
      </c>
      <c r="O4">
        <v>2017</v>
      </c>
      <c r="P4">
        <f>AVERAGE(N16:N24)</f>
        <v>0.71737499999999998</v>
      </c>
      <c r="R4" s="43">
        <v>6.0000000000000001E-3</v>
      </c>
      <c r="S4">
        <v>2017</v>
      </c>
      <c r="T4">
        <f>AVERAGE(R16:R24)</f>
        <v>1.3800000000000002E-2</v>
      </c>
      <c r="V4" s="47">
        <v>0.05</v>
      </c>
      <c r="W4">
        <v>2017</v>
      </c>
      <c r="X4">
        <f>AVERAGE(V15:V24)</f>
        <v>0.34400000000000003</v>
      </c>
      <c r="Z4" s="43">
        <v>0.105</v>
      </c>
      <c r="AA4">
        <v>2017</v>
      </c>
      <c r="AB4">
        <f>AVERAGE(Z16:Z24)</f>
        <v>0.10470000000000002</v>
      </c>
      <c r="AD4" s="43">
        <v>15.7</v>
      </c>
      <c r="AE4">
        <v>2017</v>
      </c>
      <c r="AF4">
        <f>AVERAGE(AD16:AD24)</f>
        <v>3.1727500000000002</v>
      </c>
      <c r="AH4" s="47">
        <v>5.0000000000000001E-3</v>
      </c>
      <c r="AI4">
        <v>2017</v>
      </c>
      <c r="AJ4">
        <f>AVERAGE(AH15:AH24)</f>
        <v>3.9855555555555561E-2</v>
      </c>
      <c r="AK4" s="35" t="s">
        <v>73</v>
      </c>
      <c r="AL4" s="43">
        <v>15.7</v>
      </c>
      <c r="AM4">
        <v>2017</v>
      </c>
      <c r="AN4">
        <f>AVERAGE(AL16:AL24)</f>
        <v>3.1727500000000002</v>
      </c>
      <c r="AO4" s="43">
        <v>5.34</v>
      </c>
      <c r="AP4">
        <v>2017</v>
      </c>
      <c r="AQ4">
        <f>AVERAGE(AO16:AO24)</f>
        <v>6.2062499999999998</v>
      </c>
      <c r="AR4" s="43">
        <v>0.311</v>
      </c>
      <c r="AS4">
        <v>2017</v>
      </c>
      <c r="AT4">
        <f>AVERAGE(AR16:AR24)</f>
        <v>0.22075</v>
      </c>
      <c r="AU4" s="43">
        <v>8.3800000000000008</v>
      </c>
      <c r="AV4">
        <v>2017</v>
      </c>
      <c r="AW4">
        <f>AVERAGE(AU16:AU24)</f>
        <v>13.726749999999999</v>
      </c>
    </row>
    <row r="5" spans="1:49" x14ac:dyDescent="0.25">
      <c r="A5" s="35" t="s">
        <v>74</v>
      </c>
      <c r="B5" s="43">
        <v>48</v>
      </c>
      <c r="C5">
        <v>2018</v>
      </c>
      <c r="D5">
        <f>AVERAGE(B25:B32)</f>
        <v>46.3</v>
      </c>
      <c r="F5" s="43">
        <v>60.6</v>
      </c>
      <c r="G5">
        <v>2018</v>
      </c>
      <c r="H5">
        <f>AVERAGE(F25:F32)</f>
        <v>75.512499999999989</v>
      </c>
      <c r="J5" s="43">
        <v>1.91</v>
      </c>
      <c r="K5">
        <v>2018</v>
      </c>
      <c r="L5">
        <f>AVERAGE(J25:J32)</f>
        <v>0.33512500000000001</v>
      </c>
      <c r="N5" s="43">
        <v>1.73</v>
      </c>
      <c r="O5">
        <v>2018</v>
      </c>
      <c r="P5">
        <f>AVERAGE(N25:N32)</f>
        <v>4.2625000000000003E-2</v>
      </c>
      <c r="R5" s="43">
        <v>2.5000000000000001E-2</v>
      </c>
      <c r="S5">
        <v>2018</v>
      </c>
      <c r="T5">
        <f>AVERAGE(R25:R32)</f>
        <v>4.5000000000000005E-3</v>
      </c>
      <c r="V5" s="47">
        <v>0.45</v>
      </c>
      <c r="W5">
        <v>2018</v>
      </c>
      <c r="X5">
        <f>AVERAGE(V25:V32)</f>
        <v>0.215</v>
      </c>
      <c r="Z5" s="43">
        <v>0.161</v>
      </c>
      <c r="AA5">
        <v>2018</v>
      </c>
      <c r="AB5">
        <f>AVERAGE(Z25:Z32)</f>
        <v>2.8725000000000004E-2</v>
      </c>
      <c r="AD5" s="43">
        <v>8.2100000000000009</v>
      </c>
      <c r="AE5">
        <v>2018</v>
      </c>
      <c r="AF5">
        <f>AVERAGE(AD25:AD32)</f>
        <v>7.6762500000000005</v>
      </c>
      <c r="AH5" s="43">
        <v>4.9399999999999999E-2</v>
      </c>
      <c r="AI5">
        <v>2018</v>
      </c>
      <c r="AJ5">
        <f>AVERAGE(AH25:AH32)</f>
        <v>1.6125E-2</v>
      </c>
      <c r="AK5" s="35" t="s">
        <v>74</v>
      </c>
      <c r="AL5" s="43">
        <v>8.2100000000000009</v>
      </c>
      <c r="AM5">
        <v>2018</v>
      </c>
      <c r="AN5">
        <f>AVERAGE(AL25:AL32)</f>
        <v>7.6762500000000005</v>
      </c>
      <c r="AO5" s="43">
        <v>5.57</v>
      </c>
      <c r="AP5">
        <v>2018</v>
      </c>
      <c r="AQ5">
        <f>AVERAGE(AO25:AO32)</f>
        <v>5.93</v>
      </c>
      <c r="AR5" s="43">
        <v>0.224</v>
      </c>
      <c r="AS5">
        <v>2018</v>
      </c>
      <c r="AT5">
        <f>AVERAGE(AR25:AR32)</f>
        <v>0.15675</v>
      </c>
      <c r="AU5" s="43">
        <v>6.43</v>
      </c>
      <c r="AV5">
        <v>2018</v>
      </c>
      <c r="AW5">
        <f>AVERAGE(AT25:AU32)</f>
        <v>41.1</v>
      </c>
    </row>
    <row r="6" spans="1:49" x14ac:dyDescent="0.25">
      <c r="A6" s="35" t="s">
        <v>75</v>
      </c>
      <c r="B6" s="43">
        <v>42.5</v>
      </c>
      <c r="C6">
        <v>2019</v>
      </c>
      <c r="D6">
        <f>AVERAGE(B33:B41)</f>
        <v>48.787499999999994</v>
      </c>
      <c r="F6" s="43">
        <v>65.8</v>
      </c>
      <c r="G6">
        <v>2019</v>
      </c>
      <c r="H6">
        <f>AVERAGE(F33:F41)</f>
        <v>82.857249999999993</v>
      </c>
      <c r="J6" s="43">
        <v>1.91</v>
      </c>
      <c r="K6">
        <v>2019</v>
      </c>
      <c r="L6">
        <f>AVERAGE(J33:J41)</f>
        <v>0.27187500000000003</v>
      </c>
      <c r="N6" s="43">
        <v>1.21</v>
      </c>
      <c r="O6">
        <v>2019</v>
      </c>
      <c r="P6">
        <f>AVERAGE(N33:N41)</f>
        <v>1.1666666666666667E-2</v>
      </c>
      <c r="R6" s="43">
        <v>6.0000000000000001E-3</v>
      </c>
      <c r="S6">
        <v>2019</v>
      </c>
      <c r="T6">
        <f>AVERAGE(R33:R41)</f>
        <v>2.5000000000000001E-3</v>
      </c>
      <c r="V6" s="43">
        <v>0.313</v>
      </c>
      <c r="W6">
        <v>2019</v>
      </c>
      <c r="X6">
        <f>AVERAGE(V33:V41)</f>
        <v>0.14193750000000002</v>
      </c>
      <c r="Z6" s="43">
        <v>6.2300000000000001E-2</v>
      </c>
      <c r="AA6">
        <v>2019</v>
      </c>
      <c r="AB6">
        <f>AVERAGE(Z33:Z41)</f>
        <v>2.0812500000000001E-2</v>
      </c>
      <c r="AD6" s="43">
        <v>6.73</v>
      </c>
      <c r="AE6">
        <v>2019</v>
      </c>
      <c r="AF6">
        <f>AVERAGE(AD33:AD41)</f>
        <v>5.2837500000000004</v>
      </c>
      <c r="AH6" s="47">
        <v>5.0000000000000001E-3</v>
      </c>
      <c r="AI6">
        <v>2019</v>
      </c>
      <c r="AJ6">
        <f>AVERAGE(AH33:AH41)</f>
        <v>2.1475000000000001E-2</v>
      </c>
      <c r="AK6" s="35" t="s">
        <v>75</v>
      </c>
      <c r="AL6" s="43">
        <v>6.73</v>
      </c>
      <c r="AM6">
        <v>2019</v>
      </c>
      <c r="AN6">
        <f>AVERAGE(AL33:AL41)</f>
        <v>5.2837500000000004</v>
      </c>
      <c r="AO6" s="43">
        <v>5.5</v>
      </c>
      <c r="AP6">
        <v>2019</v>
      </c>
      <c r="AQ6">
        <f>AVERAGE(AO33:AO41)</f>
        <v>6.7325000000000008</v>
      </c>
      <c r="AR6" s="43">
        <v>0.17799999999999999</v>
      </c>
      <c r="AS6">
        <v>2019</v>
      </c>
      <c r="AT6">
        <f>AVERAGE(AR33:AR41)</f>
        <v>0.177375</v>
      </c>
      <c r="AU6" s="43">
        <v>1.57</v>
      </c>
      <c r="AV6">
        <v>2019</v>
      </c>
      <c r="AW6">
        <f>AVERAGE(AU33:AU41)</f>
        <v>26.400000000000002</v>
      </c>
    </row>
    <row r="7" spans="1:49" x14ac:dyDescent="0.25">
      <c r="A7" s="35" t="s">
        <v>76</v>
      </c>
      <c r="B7" s="43">
        <v>44.5</v>
      </c>
      <c r="C7">
        <v>2020</v>
      </c>
      <c r="D7">
        <f>AVERAGE(B42:B52)</f>
        <v>49.172727272727272</v>
      </c>
      <c r="F7" s="43">
        <v>72.3</v>
      </c>
      <c r="G7">
        <v>2020</v>
      </c>
      <c r="H7">
        <f>AVERAGE(F42:F52)</f>
        <v>85.254545454545465</v>
      </c>
      <c r="J7" s="43">
        <v>1.98</v>
      </c>
      <c r="K7">
        <v>2020</v>
      </c>
      <c r="L7">
        <f>AVERAGE(J42:J52)</f>
        <v>0.20827272727272728</v>
      </c>
      <c r="N7" s="43">
        <v>0.497</v>
      </c>
      <c r="O7">
        <v>2020</v>
      </c>
      <c r="P7">
        <f>AVERAGE(N42:N52)</f>
        <v>5.3055555555555557E-2</v>
      </c>
      <c r="R7" s="47">
        <v>2.5000000000000001E-3</v>
      </c>
      <c r="S7">
        <v>2020</v>
      </c>
      <c r="T7">
        <f>AVERAGE(R42)</f>
        <v>8.6999999999999994E-3</v>
      </c>
      <c r="V7" s="43">
        <v>0.26700000000000002</v>
      </c>
      <c r="W7">
        <v>2020</v>
      </c>
      <c r="X7">
        <f>AVERAGE(V42:V52)</f>
        <v>0.15263636363636363</v>
      </c>
      <c r="Z7" s="43">
        <v>8.6499999999999994E-2</v>
      </c>
      <c r="AA7">
        <v>2020</v>
      </c>
      <c r="AB7">
        <f>AVERAGE(Z41:Z52)</f>
        <v>1.8158333333333332E-2</v>
      </c>
      <c r="AD7" s="43">
        <v>9.33</v>
      </c>
      <c r="AE7">
        <v>2020</v>
      </c>
      <c r="AF7">
        <f>AVERAGE(AD42:AD52)</f>
        <v>3.9363636363636361</v>
      </c>
      <c r="AH7" s="43">
        <v>1.66E-2</v>
      </c>
      <c r="AI7">
        <v>2020</v>
      </c>
      <c r="AJ7">
        <f>AVERAGE(AH42:AH52)</f>
        <v>2.12E-2</v>
      </c>
      <c r="AK7" s="35" t="s">
        <v>76</v>
      </c>
      <c r="AL7" s="43">
        <v>9.33</v>
      </c>
      <c r="AM7">
        <v>2020</v>
      </c>
      <c r="AN7">
        <f>AVERAGE(AL42:AL52)</f>
        <v>3.9363636363636361</v>
      </c>
      <c r="AO7" s="43">
        <v>6.62</v>
      </c>
      <c r="AP7">
        <v>2020</v>
      </c>
      <c r="AQ7">
        <f>AVERAGE(AO42:AO52)</f>
        <v>6.9645454545454548</v>
      </c>
      <c r="AR7" s="43">
        <v>0.14199999999999999</v>
      </c>
      <c r="AS7">
        <v>2020</v>
      </c>
      <c r="AT7">
        <f>AVERAGE(AR42:AR52)</f>
        <v>0.14204545454545456</v>
      </c>
      <c r="AU7" s="43">
        <v>4.51</v>
      </c>
      <c r="AV7">
        <v>2020</v>
      </c>
      <c r="AW7">
        <f>AVERAGE(AU42:AU52)</f>
        <v>11.789090909090907</v>
      </c>
    </row>
    <row r="8" spans="1:49" x14ac:dyDescent="0.25">
      <c r="A8" s="35" t="s">
        <v>77</v>
      </c>
      <c r="B8" s="43">
        <v>45.4</v>
      </c>
      <c r="C8">
        <v>2021</v>
      </c>
      <c r="D8">
        <f>AVERAGE(B53:B62)</f>
        <v>51.100000000000009</v>
      </c>
      <c r="F8" s="43">
        <v>71.3</v>
      </c>
      <c r="G8">
        <v>2021</v>
      </c>
      <c r="H8">
        <f>AVERAGE(F53:F62)</f>
        <v>88.44</v>
      </c>
      <c r="J8" s="43">
        <v>2.02</v>
      </c>
      <c r="K8">
        <v>2021</v>
      </c>
      <c r="L8">
        <f>AVERAGE(J53:J62)</f>
        <v>0.17779999999999999</v>
      </c>
      <c r="N8" s="43">
        <v>0.56399999999999995</v>
      </c>
      <c r="O8">
        <v>2021</v>
      </c>
      <c r="P8">
        <f>AVERAGE(N53:N62)</f>
        <v>3.0000000000000001E-3</v>
      </c>
      <c r="R8" s="43">
        <v>1.4999999999999999E-2</v>
      </c>
      <c r="S8">
        <v>2021</v>
      </c>
      <c r="V8" s="43">
        <v>0.38600000000000001</v>
      </c>
      <c r="W8">
        <v>2021</v>
      </c>
      <c r="X8">
        <f>AVERAGE(V53:V62)</f>
        <v>0.13220000000000001</v>
      </c>
      <c r="Z8" s="43">
        <v>5.4399999999999997E-2</v>
      </c>
      <c r="AA8">
        <v>2021</v>
      </c>
      <c r="AB8">
        <f>AVERAGE(Z53:Z62)</f>
        <v>2.2079999999999999E-2</v>
      </c>
      <c r="AD8" s="43">
        <v>1.34</v>
      </c>
      <c r="AE8">
        <v>2021</v>
      </c>
      <c r="AF8">
        <f>AVERAGE(AD53:AD62)</f>
        <v>4.2370000000000001</v>
      </c>
      <c r="AH8" s="43">
        <v>2.5600000000000001E-2</v>
      </c>
      <c r="AI8">
        <v>2021</v>
      </c>
      <c r="AJ8">
        <f>AVERAGE(AH53:AH62)</f>
        <v>3.075E-2</v>
      </c>
      <c r="AK8" s="35" t="s">
        <v>77</v>
      </c>
      <c r="AL8" s="43">
        <v>1.34</v>
      </c>
      <c r="AM8">
        <v>2021</v>
      </c>
      <c r="AN8">
        <f>AVERAGE(AL53:AL62)</f>
        <v>4.2370000000000001</v>
      </c>
      <c r="AO8" s="43">
        <v>6.23</v>
      </c>
      <c r="AP8">
        <v>2021</v>
      </c>
      <c r="AQ8">
        <f>AVERAGE(AO53:AO62)</f>
        <v>7.4659999999999993</v>
      </c>
      <c r="AR8" s="43">
        <v>0.129</v>
      </c>
      <c r="AS8">
        <v>2021</v>
      </c>
      <c r="AT8">
        <f>AVERAGE(AR52:AR62)</f>
        <v>0.12640999999999999</v>
      </c>
      <c r="AU8" s="43">
        <v>0.39300000000000002</v>
      </c>
      <c r="AV8">
        <v>2021</v>
      </c>
      <c r="AW8">
        <f>AVERAGE(AU53:AV62)</f>
        <v>4.6459999999999999</v>
      </c>
    </row>
    <row r="9" spans="1:49" x14ac:dyDescent="0.25">
      <c r="A9" s="35" t="s">
        <v>78</v>
      </c>
      <c r="B9" s="43">
        <v>46.1</v>
      </c>
      <c r="C9">
        <v>2022</v>
      </c>
      <c r="D9" t="s">
        <v>128</v>
      </c>
      <c r="F9" s="43">
        <v>76.099999999999994</v>
      </c>
      <c r="G9">
        <v>2022</v>
      </c>
      <c r="H9" t="s">
        <v>128</v>
      </c>
      <c r="J9" s="43">
        <v>2.71</v>
      </c>
      <c r="K9">
        <v>2022</v>
      </c>
      <c r="L9" t="s">
        <v>128</v>
      </c>
      <c r="N9" s="43">
        <v>0.64800000000000002</v>
      </c>
      <c r="O9">
        <v>2022</v>
      </c>
      <c r="P9" t="s">
        <v>138</v>
      </c>
      <c r="R9" s="43">
        <v>0.45</v>
      </c>
      <c r="S9">
        <v>2022</v>
      </c>
      <c r="V9" s="43">
        <v>0.54500000000000004</v>
      </c>
      <c r="W9">
        <v>2022</v>
      </c>
      <c r="X9" t="s">
        <v>128</v>
      </c>
      <c r="Z9" s="50">
        <v>1.3</v>
      </c>
      <c r="AA9">
        <v>2022</v>
      </c>
      <c r="AB9" t="s">
        <v>128</v>
      </c>
      <c r="AD9" s="50">
        <v>29.5</v>
      </c>
      <c r="AE9">
        <v>2022</v>
      </c>
      <c r="AF9" t="s">
        <v>138</v>
      </c>
      <c r="AH9" s="50">
        <v>0.94099999999999995</v>
      </c>
      <c r="AI9">
        <v>2022</v>
      </c>
      <c r="AJ9" t="s">
        <v>140</v>
      </c>
      <c r="AK9" s="35" t="s">
        <v>78</v>
      </c>
      <c r="AL9" s="50">
        <v>29.5</v>
      </c>
      <c r="AM9">
        <v>2022</v>
      </c>
      <c r="AO9" s="43">
        <v>6.67</v>
      </c>
      <c r="AP9">
        <v>2022</v>
      </c>
      <c r="AR9" s="43">
        <v>1.76</v>
      </c>
      <c r="AS9">
        <v>2022</v>
      </c>
      <c r="AT9" t="s">
        <v>142</v>
      </c>
      <c r="AU9" s="43">
        <v>3.38</v>
      </c>
      <c r="AV9">
        <v>2022</v>
      </c>
      <c r="AW9" t="s">
        <v>145</v>
      </c>
    </row>
    <row r="10" spans="1:49" x14ac:dyDescent="0.25">
      <c r="A10" s="35" t="s">
        <v>79</v>
      </c>
      <c r="B10" s="43">
        <v>47.4</v>
      </c>
      <c r="C10">
        <v>2023</v>
      </c>
      <c r="D10">
        <f>AVERAGE(B63:B66)</f>
        <v>51.900000000000006</v>
      </c>
      <c r="F10" s="43">
        <v>76.2</v>
      </c>
      <c r="G10">
        <v>2023</v>
      </c>
      <c r="H10">
        <f>AVERAGE(F63:F66)</f>
        <v>94.65</v>
      </c>
      <c r="J10" s="43">
        <v>3.61</v>
      </c>
      <c r="K10">
        <v>2023</v>
      </c>
      <c r="L10">
        <f>AVERAGE(J63:J66)</f>
        <v>0.13</v>
      </c>
      <c r="N10" s="43">
        <v>0.622</v>
      </c>
      <c r="O10">
        <v>2023</v>
      </c>
      <c r="P10">
        <f>AVERAGE(N63:N66)</f>
        <v>8.0000000000000002E-3</v>
      </c>
      <c r="R10" s="47">
        <v>5.0000000000000001E-3</v>
      </c>
      <c r="S10">
        <v>2023</v>
      </c>
      <c r="V10" s="43">
        <v>0.40799999999999997</v>
      </c>
      <c r="W10">
        <v>2023</v>
      </c>
      <c r="X10">
        <f>AVERAGE(V62:V66
)</f>
        <v>0.127</v>
      </c>
      <c r="Z10" s="43">
        <v>7.4800000000000005E-2</v>
      </c>
      <c r="AA10">
        <v>2023</v>
      </c>
      <c r="AB10">
        <f>AVERAGE(Z63:AA66)</f>
        <v>9.2849999999999999E-3</v>
      </c>
      <c r="AD10" s="43">
        <v>2.98</v>
      </c>
      <c r="AE10">
        <v>2023</v>
      </c>
      <c r="AF10">
        <f>AVERAGE(AD63:AD66)</f>
        <v>2.2224999999999997</v>
      </c>
      <c r="AH10" s="47">
        <v>5.0000000000000001E-3</v>
      </c>
      <c r="AI10">
        <v>2023</v>
      </c>
      <c r="AJ10">
        <f>AVERAGE(AH63:AH67)</f>
        <v>3.8579999999999996E-2</v>
      </c>
      <c r="AK10" s="35" t="s">
        <v>79</v>
      </c>
      <c r="AL10" s="43">
        <v>2.98</v>
      </c>
      <c r="AM10">
        <v>2023</v>
      </c>
      <c r="AN10">
        <f>AVERAGE(AL63:AL66)</f>
        <v>2.2224999999999997</v>
      </c>
      <c r="AO10" s="43">
        <v>7.15</v>
      </c>
      <c r="AP10">
        <v>2023</v>
      </c>
      <c r="AQ10">
        <f>AVERAGE(AO63:AO68)</f>
        <v>7.7033333333333331</v>
      </c>
      <c r="AR10" s="43">
        <v>0.126</v>
      </c>
      <c r="AS10">
        <v>2023</v>
      </c>
      <c r="AT10">
        <f>AVERAGE(AR63:AR66)</f>
        <v>0.14000000000000001</v>
      </c>
      <c r="AU10" s="43">
        <v>2.2200000000000002</v>
      </c>
      <c r="AV10">
        <v>2023</v>
      </c>
      <c r="AW10">
        <f>AVERAGE(AU63:AU66)</f>
        <v>0.62849999999999995</v>
      </c>
    </row>
    <row r="11" spans="1:49" x14ac:dyDescent="0.25">
      <c r="A11" s="35" t="s">
        <v>80</v>
      </c>
      <c r="B11" s="43">
        <v>46.7</v>
      </c>
      <c r="C11">
        <v>2024</v>
      </c>
      <c r="D11">
        <f>AVERAGE(B69:B82)</f>
        <v>50.866666666666667</v>
      </c>
      <c r="F11" s="43">
        <v>74.099999999999994</v>
      </c>
      <c r="G11">
        <v>2024</v>
      </c>
      <c r="H11">
        <f>AVERAGE(F69:F82)</f>
        <v>414.95</v>
      </c>
      <c r="J11" s="43">
        <v>3.67</v>
      </c>
      <c r="K11">
        <v>2024</v>
      </c>
      <c r="L11">
        <f>AVERAGE(J69:J81)</f>
        <v>4.7012499999999999</v>
      </c>
      <c r="N11" s="43">
        <v>1.07</v>
      </c>
      <c r="O11">
        <v>2024</v>
      </c>
      <c r="P11">
        <f>AVERAGE(N69:N82)</f>
        <v>0.44499999999999995</v>
      </c>
      <c r="R11" s="43"/>
      <c r="S11">
        <v>2024</v>
      </c>
      <c r="V11" s="43">
        <v>0.40899999999999997</v>
      </c>
      <c r="W11">
        <v>2024</v>
      </c>
      <c r="X11">
        <f>AVERAGE(V69:V82)</f>
        <v>0.14785000000000001</v>
      </c>
      <c r="Z11" s="43">
        <v>0.10299999999999999</v>
      </c>
      <c r="AA11">
        <v>2024</v>
      </c>
      <c r="AB11">
        <f>AVERAGE(Z69:Z81)</f>
        <v>9.2350000000000019E-3</v>
      </c>
      <c r="AD11" s="43">
        <v>2.66</v>
      </c>
      <c r="AE11">
        <v>2024</v>
      </c>
      <c r="AF11">
        <f>AVERAGE(AD69:AD79)</f>
        <v>2.8200000000000003</v>
      </c>
      <c r="AH11" s="43">
        <v>3.6700000000000003E-2</v>
      </c>
      <c r="AI11">
        <v>2024</v>
      </c>
      <c r="AJ11">
        <f>AVERAGE(AH69:AH80)</f>
        <v>3.2016666666666665E-2</v>
      </c>
      <c r="AK11" s="35" t="s">
        <v>80</v>
      </c>
      <c r="AL11" s="43">
        <v>2.66</v>
      </c>
      <c r="AM11">
        <v>2024</v>
      </c>
      <c r="AN11">
        <f>AVERAGE(AL69:AL78)</f>
        <v>2.8200000000000003</v>
      </c>
      <c r="AO11" s="43">
        <v>8.1</v>
      </c>
      <c r="AP11">
        <v>2024</v>
      </c>
      <c r="AQ11">
        <f>AVERAGE(AO69:AO78)</f>
        <v>7.1116666666666672</v>
      </c>
      <c r="AR11" s="43">
        <v>0.18099999999999999</v>
      </c>
      <c r="AS11">
        <v>2024</v>
      </c>
      <c r="AT11">
        <f>AVERAGE(AR69:AR79)</f>
        <v>0.11441666666666667</v>
      </c>
      <c r="AU11" s="43">
        <v>0.999</v>
      </c>
      <c r="AV11">
        <v>2024</v>
      </c>
      <c r="AW11">
        <f>AVERAGE(AU72:AU78)</f>
        <v>0.58599999999999997</v>
      </c>
    </row>
    <row r="12" spans="1:49" x14ac:dyDescent="0.25">
      <c r="A12" s="35" t="s">
        <v>81</v>
      </c>
      <c r="B12" s="43">
        <v>49.9</v>
      </c>
      <c r="C12">
        <v>2025</v>
      </c>
      <c r="D12" t="s">
        <v>128</v>
      </c>
      <c r="F12" s="43">
        <v>70.900000000000006</v>
      </c>
      <c r="G12">
        <v>2025</v>
      </c>
      <c r="H12" t="s">
        <v>128</v>
      </c>
      <c r="J12" s="43">
        <v>1.1399999999999999</v>
      </c>
      <c r="K12">
        <v>2025</v>
      </c>
      <c r="L12" t="s">
        <v>128</v>
      </c>
      <c r="N12" s="43">
        <v>4.9000000000000002E-2</v>
      </c>
      <c r="O12">
        <v>2025</v>
      </c>
      <c r="R12" s="43">
        <v>0.01</v>
      </c>
      <c r="S12">
        <v>2025</v>
      </c>
      <c r="V12" s="43">
        <v>0.20399999999999999</v>
      </c>
      <c r="W12">
        <v>2025</v>
      </c>
      <c r="Z12" s="43">
        <v>4.3700000000000003E-2</v>
      </c>
      <c r="AA12">
        <v>2025</v>
      </c>
      <c r="AD12" s="43">
        <v>4.8600000000000003</v>
      </c>
      <c r="AE12">
        <v>2025</v>
      </c>
      <c r="AF12" t="s">
        <v>139</v>
      </c>
      <c r="AH12" s="43">
        <v>2.8799999999999999E-2</v>
      </c>
      <c r="AI12">
        <v>2025</v>
      </c>
      <c r="AK12" s="35" t="s">
        <v>81</v>
      </c>
      <c r="AL12" s="43">
        <v>4.8600000000000003</v>
      </c>
      <c r="AM12">
        <v>2025</v>
      </c>
      <c r="AO12" s="43">
        <v>4.04</v>
      </c>
      <c r="AP12">
        <v>2025</v>
      </c>
      <c r="AR12" s="43">
        <v>7.8700000000000006E-2</v>
      </c>
      <c r="AS12">
        <v>2025</v>
      </c>
      <c r="AU12" s="43">
        <v>0.70899999999999996</v>
      </c>
      <c r="AV12">
        <v>2025</v>
      </c>
    </row>
    <row r="13" spans="1:49" x14ac:dyDescent="0.25">
      <c r="A13" s="35" t="s">
        <v>82</v>
      </c>
      <c r="B13" s="43">
        <v>39.6</v>
      </c>
      <c r="F13" s="43">
        <v>62.3</v>
      </c>
      <c r="J13" s="43">
        <v>1.72</v>
      </c>
      <c r="N13" s="43">
        <v>0.69199999999999995</v>
      </c>
      <c r="R13" s="43">
        <v>1.0999999999999999E-2</v>
      </c>
      <c r="V13" s="43">
        <v>0.56000000000000005</v>
      </c>
      <c r="Z13" s="43">
        <v>6.1199999999999997E-2</v>
      </c>
      <c r="AD13" s="43">
        <v>1.73</v>
      </c>
      <c r="AH13" s="47">
        <v>5.0000000000000001E-3</v>
      </c>
      <c r="AK13" s="35" t="s">
        <v>82</v>
      </c>
      <c r="AL13" s="43">
        <v>1.73</v>
      </c>
      <c r="AO13" s="43">
        <v>5.77</v>
      </c>
      <c r="AR13" s="43">
        <v>0.114</v>
      </c>
      <c r="AU13" s="43" t="s">
        <v>144</v>
      </c>
    </row>
    <row r="14" spans="1:49" x14ac:dyDescent="0.25">
      <c r="A14" s="35" t="s">
        <v>83</v>
      </c>
      <c r="B14" s="43">
        <v>44.1</v>
      </c>
      <c r="F14" s="43">
        <v>61.2</v>
      </c>
      <c r="J14" s="43">
        <v>0.82299999999999995</v>
      </c>
      <c r="N14" s="43">
        <v>6.2E-2</v>
      </c>
      <c r="R14" s="43">
        <v>0.01</v>
      </c>
      <c r="V14" s="43">
        <v>0.51</v>
      </c>
      <c r="Z14" s="43">
        <v>7.2400000000000006E-2</v>
      </c>
      <c r="AD14" s="43">
        <v>13.4</v>
      </c>
      <c r="AH14" s="43">
        <v>0.36899999999999999</v>
      </c>
      <c r="AK14" s="35" t="s">
        <v>83</v>
      </c>
      <c r="AL14" s="43">
        <v>13.4</v>
      </c>
      <c r="AO14" s="43">
        <v>5.92</v>
      </c>
      <c r="AR14" s="43">
        <v>0.21299999999999999</v>
      </c>
      <c r="AU14" s="43">
        <v>1.18</v>
      </c>
    </row>
    <row r="15" spans="1:49" x14ac:dyDescent="0.25">
      <c r="A15" s="35" t="s">
        <v>84</v>
      </c>
      <c r="B15" s="43">
        <v>42</v>
      </c>
      <c r="F15" s="43">
        <v>61.7</v>
      </c>
      <c r="J15" s="43">
        <v>0.63500000000000001</v>
      </c>
      <c r="N15" s="43">
        <v>0.39</v>
      </c>
      <c r="R15" s="47">
        <v>2.5000000000000001E-3</v>
      </c>
      <c r="V15" s="43">
        <v>0.40400000000000003</v>
      </c>
      <c r="Z15" s="43">
        <v>7.7100000000000002E-2</v>
      </c>
      <c r="AD15" s="43">
        <v>19.2</v>
      </c>
      <c r="AH15" s="43">
        <v>4.9200000000000001E-2</v>
      </c>
      <c r="AK15" s="35" t="s">
        <v>84</v>
      </c>
      <c r="AL15" s="43">
        <v>19.2</v>
      </c>
      <c r="AO15" s="43">
        <v>5.87</v>
      </c>
      <c r="AR15" s="43">
        <v>0.19800000000000001</v>
      </c>
      <c r="AU15" s="43">
        <v>1.41</v>
      </c>
    </row>
    <row r="16" spans="1:49" x14ac:dyDescent="0.25">
      <c r="A16" s="35" t="s">
        <v>85</v>
      </c>
      <c r="B16" s="43">
        <v>48.9</v>
      </c>
      <c r="F16" s="43">
        <v>62.5</v>
      </c>
      <c r="J16" s="43">
        <v>2.37</v>
      </c>
      <c r="N16" s="43">
        <v>1.1299999999999999</v>
      </c>
      <c r="R16" s="43">
        <v>1.4999999999999999E-2</v>
      </c>
      <c r="V16" s="43">
        <v>0.41699999999999998</v>
      </c>
      <c r="Z16" s="43">
        <v>0.11</v>
      </c>
      <c r="AD16" s="43">
        <v>7.33</v>
      </c>
      <c r="AH16" s="43">
        <v>2.6599999999999999E-2</v>
      </c>
      <c r="AK16" s="35" t="s">
        <v>85</v>
      </c>
      <c r="AL16" s="43">
        <v>7.33</v>
      </c>
      <c r="AO16" s="43">
        <v>5.43</v>
      </c>
      <c r="AR16" s="43">
        <v>0.16400000000000001</v>
      </c>
      <c r="AU16" s="43">
        <v>0.88300000000000001</v>
      </c>
    </row>
    <row r="17" spans="1:47" x14ac:dyDescent="0.25">
      <c r="A17" s="35" t="s">
        <v>86</v>
      </c>
      <c r="B17" s="43">
        <v>46.6</v>
      </c>
      <c r="F17" s="43">
        <v>60.8</v>
      </c>
      <c r="J17" s="43">
        <v>0.86499999999999999</v>
      </c>
      <c r="N17" s="43">
        <v>0.28999999999999998</v>
      </c>
      <c r="R17" s="43">
        <v>5.0000000000000001E-3</v>
      </c>
      <c r="V17" s="43">
        <v>0.45300000000000001</v>
      </c>
      <c r="Z17" s="43">
        <v>0.109</v>
      </c>
      <c r="AD17" s="43">
        <v>3.75</v>
      </c>
      <c r="AH17" s="43">
        <v>1.67E-2</v>
      </c>
      <c r="AK17" s="35" t="s">
        <v>86</v>
      </c>
      <c r="AL17" s="43">
        <v>3.75</v>
      </c>
      <c r="AO17" s="43">
        <v>5.12</v>
      </c>
      <c r="AR17" s="43">
        <v>0.20899999999999999</v>
      </c>
      <c r="AU17" s="43">
        <v>1.1399999999999999</v>
      </c>
    </row>
    <row r="18" spans="1:47" x14ac:dyDescent="0.25">
      <c r="A18" s="35" t="s">
        <v>87</v>
      </c>
      <c r="B18" s="43">
        <v>47.3</v>
      </c>
      <c r="F18" s="43">
        <v>65.7</v>
      </c>
      <c r="J18" s="43">
        <v>0.51100000000000001</v>
      </c>
      <c r="N18" s="43">
        <v>0.35</v>
      </c>
      <c r="R18" s="43">
        <v>1.2999999999999999E-2</v>
      </c>
      <c r="V18" s="43">
        <v>0.33500000000000002</v>
      </c>
      <c r="Z18" s="43">
        <v>6.9099999999999995E-2</v>
      </c>
      <c r="AD18" s="43">
        <v>0.91200000000000003</v>
      </c>
      <c r="AH18" s="43">
        <v>0.13400000000000001</v>
      </c>
      <c r="AK18" s="35" t="s">
        <v>87</v>
      </c>
      <c r="AL18" s="43">
        <v>0.91200000000000003</v>
      </c>
      <c r="AO18" s="43">
        <v>5.84</v>
      </c>
      <c r="AR18" s="43">
        <v>0.26</v>
      </c>
      <c r="AU18" s="43">
        <v>0.441</v>
      </c>
    </row>
    <row r="19" spans="1:47" x14ac:dyDescent="0.25">
      <c r="A19" s="35" t="s">
        <v>88</v>
      </c>
      <c r="B19" s="43">
        <v>48.9</v>
      </c>
      <c r="F19" s="43">
        <v>80.099999999999994</v>
      </c>
      <c r="J19" s="43">
        <v>1.06</v>
      </c>
      <c r="N19" s="43">
        <v>0.44</v>
      </c>
      <c r="R19" s="43">
        <v>8.0000000000000002E-3</v>
      </c>
      <c r="V19" s="43">
        <v>0.30399999999999999</v>
      </c>
      <c r="Z19" s="43">
        <v>8.3699999999999997E-2</v>
      </c>
      <c r="AD19" s="43">
        <v>1.33</v>
      </c>
      <c r="AH19" s="43">
        <v>7.5399999999999995E-2</v>
      </c>
      <c r="AK19" s="35" t="s">
        <v>88</v>
      </c>
      <c r="AL19" s="43">
        <v>1.33</v>
      </c>
      <c r="AO19" s="43">
        <v>7.56</v>
      </c>
      <c r="AR19" s="43">
        <v>0.28399999999999997</v>
      </c>
      <c r="AU19" s="43">
        <v>0.94</v>
      </c>
    </row>
    <row r="20" spans="1:47" x14ac:dyDescent="0.25">
      <c r="A20" s="35" t="s">
        <v>89</v>
      </c>
      <c r="B20" s="43">
        <v>49.3</v>
      </c>
      <c r="F20" s="43">
        <v>70</v>
      </c>
      <c r="J20" s="43">
        <v>1.26</v>
      </c>
      <c r="N20" s="43">
        <v>0.499</v>
      </c>
      <c r="R20" s="43"/>
      <c r="V20" s="43">
        <v>0.23300000000000001</v>
      </c>
      <c r="Z20" s="43">
        <v>0.14599999999999999</v>
      </c>
      <c r="AD20" s="43">
        <v>1.98</v>
      </c>
      <c r="AH20" s="47">
        <v>5.0000000000000001E-3</v>
      </c>
      <c r="AK20" s="35" t="s">
        <v>89</v>
      </c>
      <c r="AL20" s="43">
        <v>1.98</v>
      </c>
      <c r="AO20" s="43">
        <v>6.37</v>
      </c>
      <c r="AR20" s="43">
        <v>0.17899999999999999</v>
      </c>
      <c r="AU20" s="43">
        <v>1.52</v>
      </c>
    </row>
    <row r="21" spans="1:47" x14ac:dyDescent="0.25">
      <c r="A21" s="35" t="s">
        <v>90</v>
      </c>
      <c r="B21" s="43">
        <v>50</v>
      </c>
      <c r="F21" s="43">
        <v>78.900000000000006</v>
      </c>
      <c r="J21" s="43">
        <v>2.42</v>
      </c>
      <c r="N21" s="43">
        <v>2</v>
      </c>
      <c r="R21" s="43">
        <v>2.8000000000000001E-2</v>
      </c>
      <c r="V21" s="43">
        <v>0.48799999999999999</v>
      </c>
      <c r="Z21" s="43">
        <v>0.16</v>
      </c>
      <c r="AD21" s="43">
        <v>3.18</v>
      </c>
      <c r="AH21" s="43">
        <v>2.63E-2</v>
      </c>
      <c r="AK21" s="35" t="s">
        <v>90</v>
      </c>
      <c r="AL21" s="43">
        <v>3.18</v>
      </c>
      <c r="AO21" s="43">
        <v>7.05</v>
      </c>
      <c r="AR21" s="43">
        <v>0.31</v>
      </c>
      <c r="AU21" s="43">
        <v>4.09</v>
      </c>
    </row>
    <row r="22" spans="1:47" x14ac:dyDescent="0.25">
      <c r="A22" s="35" t="s">
        <v>91</v>
      </c>
      <c r="B22" s="43"/>
      <c r="F22" s="43"/>
      <c r="J22" s="43"/>
      <c r="N22" s="47"/>
      <c r="R22" s="43"/>
      <c r="V22" s="43"/>
      <c r="Z22" s="43"/>
      <c r="AD22" s="43"/>
      <c r="AH22" s="43"/>
      <c r="AK22" s="35" t="s">
        <v>91</v>
      </c>
      <c r="AL22" s="43"/>
      <c r="AO22" s="43"/>
      <c r="AR22" s="43"/>
      <c r="AU22" s="43"/>
    </row>
    <row r="23" spans="1:47" x14ac:dyDescent="0.25">
      <c r="A23" s="35" t="s">
        <v>92</v>
      </c>
      <c r="B23" s="43">
        <v>45.4</v>
      </c>
      <c r="F23" s="43">
        <v>67.8</v>
      </c>
      <c r="J23" s="43">
        <v>0.33400000000000002</v>
      </c>
      <c r="N23" s="43">
        <v>0.15</v>
      </c>
      <c r="R23" s="43"/>
      <c r="V23" s="43">
        <v>0.216</v>
      </c>
      <c r="Z23" s="43">
        <v>7.1499999999999994E-2</v>
      </c>
      <c r="AD23" s="43">
        <v>2.13</v>
      </c>
      <c r="AH23" s="43">
        <v>1.29E-2</v>
      </c>
      <c r="AK23" s="35" t="s">
        <v>92</v>
      </c>
      <c r="AL23" s="43">
        <v>2.13</v>
      </c>
      <c r="AO23" s="43">
        <v>6.47</v>
      </c>
      <c r="AR23" s="43">
        <v>0.152</v>
      </c>
      <c r="AU23" s="43">
        <v>59</v>
      </c>
    </row>
    <row r="24" spans="1:47" x14ac:dyDescent="0.25">
      <c r="A24" s="35" t="s">
        <v>93</v>
      </c>
      <c r="B24" s="43">
        <v>45.7</v>
      </c>
      <c r="F24" s="43">
        <v>63.6</v>
      </c>
      <c r="J24" s="43">
        <v>1.97</v>
      </c>
      <c r="N24" s="43">
        <v>0.88</v>
      </c>
      <c r="R24" s="43"/>
      <c r="V24" s="43">
        <v>0.246</v>
      </c>
      <c r="Z24" s="43">
        <v>8.8300000000000003E-2</v>
      </c>
      <c r="AD24" s="43">
        <v>4.7699999999999996</v>
      </c>
      <c r="AH24" s="43">
        <v>1.26E-2</v>
      </c>
      <c r="AK24" s="35" t="s">
        <v>93</v>
      </c>
      <c r="AL24" s="43">
        <v>4.7699999999999996</v>
      </c>
      <c r="AO24" s="43">
        <v>5.81</v>
      </c>
      <c r="AR24" s="43">
        <v>0.20799999999999999</v>
      </c>
      <c r="AU24" s="43">
        <v>41.8</v>
      </c>
    </row>
    <row r="25" spans="1:47" x14ac:dyDescent="0.25">
      <c r="A25" s="35" t="s">
        <v>94</v>
      </c>
      <c r="B25" s="43">
        <v>42.4</v>
      </c>
      <c r="F25" s="43">
        <v>62.4</v>
      </c>
      <c r="J25" s="43">
        <v>0.25</v>
      </c>
      <c r="N25" s="43">
        <v>0.18</v>
      </c>
      <c r="R25" s="43"/>
      <c r="V25" s="43">
        <v>0.28199999999999997</v>
      </c>
      <c r="Z25" s="43">
        <v>3.7199999999999997E-2</v>
      </c>
      <c r="AD25" s="43">
        <v>3.19</v>
      </c>
      <c r="AH25" s="43">
        <v>1.2699999999999999E-2</v>
      </c>
      <c r="AK25" s="35" t="s">
        <v>94</v>
      </c>
      <c r="AL25" s="43">
        <v>3.19</v>
      </c>
      <c r="AO25" s="43">
        <v>5.24</v>
      </c>
      <c r="AR25" s="43">
        <v>0.125</v>
      </c>
      <c r="AU25" s="43">
        <v>28.4</v>
      </c>
    </row>
    <row r="26" spans="1:47" x14ac:dyDescent="0.25">
      <c r="A26" s="36">
        <v>43165</v>
      </c>
      <c r="B26" s="43">
        <v>43.1</v>
      </c>
      <c r="F26" s="43">
        <v>74.099999999999994</v>
      </c>
      <c r="J26" s="43">
        <v>0.151</v>
      </c>
      <c r="N26" s="43">
        <v>7.0000000000000007E-2</v>
      </c>
      <c r="R26" s="43">
        <v>7.0000000000000001E-3</v>
      </c>
      <c r="V26" s="43">
        <v>0.22500000000000001</v>
      </c>
      <c r="Z26" s="43">
        <v>2.0799999999999999E-2</v>
      </c>
      <c r="AD26" s="43">
        <v>5.03</v>
      </c>
      <c r="AH26" s="43">
        <v>1.41E-2</v>
      </c>
      <c r="AK26" s="36">
        <v>43165</v>
      </c>
      <c r="AL26" s="43">
        <v>5.03</v>
      </c>
      <c r="AO26" s="43">
        <v>5.0599999999999996</v>
      </c>
      <c r="AR26" s="43">
        <v>0.12</v>
      </c>
      <c r="AU26" s="43">
        <v>34.200000000000003</v>
      </c>
    </row>
    <row r="27" spans="1:47" x14ac:dyDescent="0.25">
      <c r="A27" s="35" t="s">
        <v>95</v>
      </c>
      <c r="B27" s="43">
        <v>49.4</v>
      </c>
      <c r="F27" s="43">
        <v>88.8</v>
      </c>
      <c r="J27" s="43">
        <v>0.59199999999999997</v>
      </c>
      <c r="N27" s="43">
        <v>4.1000000000000002E-2</v>
      </c>
      <c r="R27" s="43">
        <v>6.0000000000000001E-3</v>
      </c>
      <c r="V27" s="43">
        <v>0.23699999999999999</v>
      </c>
      <c r="Z27" s="43">
        <v>4.8000000000000001E-2</v>
      </c>
      <c r="AD27" s="43">
        <v>9.31</v>
      </c>
      <c r="AH27" s="43">
        <v>2.3900000000000001E-2</v>
      </c>
      <c r="AK27" s="35" t="s">
        <v>95</v>
      </c>
      <c r="AL27" s="43">
        <v>9.31</v>
      </c>
      <c r="AO27" s="43">
        <v>5.48</v>
      </c>
      <c r="AR27" s="43">
        <v>0.14399999999999999</v>
      </c>
      <c r="AU27" s="43">
        <v>35.200000000000003</v>
      </c>
    </row>
    <row r="28" spans="1:47" x14ac:dyDescent="0.25">
      <c r="A28" s="35" t="s">
        <v>96</v>
      </c>
      <c r="B28" s="43">
        <v>44.9</v>
      </c>
      <c r="F28" s="43">
        <v>73.5</v>
      </c>
      <c r="J28" s="43">
        <v>0.38600000000000001</v>
      </c>
      <c r="N28" s="43">
        <v>0.02</v>
      </c>
      <c r="R28" s="47">
        <v>2.5000000000000001E-3</v>
      </c>
      <c r="V28" s="43">
        <v>0.215</v>
      </c>
      <c r="Z28" s="43">
        <v>3.2800000000000003E-2</v>
      </c>
      <c r="AD28" s="43">
        <v>10.9</v>
      </c>
      <c r="AH28" s="43">
        <v>1.5299999999999999E-2</v>
      </c>
      <c r="AK28" s="35" t="s">
        <v>96</v>
      </c>
      <c r="AL28" s="43">
        <v>10.9</v>
      </c>
      <c r="AO28" s="43">
        <v>5.81</v>
      </c>
      <c r="AR28" s="43">
        <v>0.154</v>
      </c>
      <c r="AU28" s="43">
        <v>35.5</v>
      </c>
    </row>
    <row r="29" spans="1:47" x14ac:dyDescent="0.25">
      <c r="A29" s="36">
        <v>43283</v>
      </c>
      <c r="B29" s="43">
        <v>47.1</v>
      </c>
      <c r="F29" s="43">
        <v>73.599999999999994</v>
      </c>
      <c r="J29" s="43">
        <v>0.42399999999999999</v>
      </c>
      <c r="N29" s="47">
        <v>7.4999999999999997E-3</v>
      </c>
      <c r="R29" s="43"/>
      <c r="V29" s="43">
        <v>0.215</v>
      </c>
      <c r="Z29" s="43">
        <v>3.1699999999999999E-2</v>
      </c>
      <c r="AD29" s="43">
        <v>10.1</v>
      </c>
      <c r="AH29" s="47">
        <v>5.0000000000000001E-3</v>
      </c>
      <c r="AK29" s="36">
        <v>43283</v>
      </c>
      <c r="AL29" s="43">
        <v>10.1</v>
      </c>
      <c r="AO29" s="43">
        <v>7.42</v>
      </c>
      <c r="AR29" s="43">
        <v>0.13400000000000001</v>
      </c>
      <c r="AU29" s="43">
        <v>37.200000000000003</v>
      </c>
    </row>
    <row r="30" spans="1:47" x14ac:dyDescent="0.25">
      <c r="A30" s="36">
        <v>43326</v>
      </c>
      <c r="B30" s="43">
        <v>46.1</v>
      </c>
      <c r="F30" s="43">
        <v>78.8</v>
      </c>
      <c r="J30" s="43">
        <v>0.313</v>
      </c>
      <c r="N30" s="47">
        <v>7.4999999999999997E-3</v>
      </c>
      <c r="R30" s="43"/>
      <c r="V30" s="43">
        <v>0.217</v>
      </c>
      <c r="Z30" s="43">
        <v>2.1600000000000001E-2</v>
      </c>
      <c r="AD30" s="43">
        <v>7.1</v>
      </c>
      <c r="AH30" s="43">
        <v>2.8400000000000002E-2</v>
      </c>
      <c r="AK30" s="36">
        <v>43326</v>
      </c>
      <c r="AL30" s="43">
        <v>7.1</v>
      </c>
      <c r="AO30" s="43">
        <v>6.48</v>
      </c>
      <c r="AR30" s="43">
        <v>0.20699999999999999</v>
      </c>
      <c r="AU30" s="43">
        <v>46.1</v>
      </c>
    </row>
    <row r="31" spans="1:47" x14ac:dyDescent="0.25">
      <c r="A31" s="36" t="s">
        <v>97</v>
      </c>
      <c r="B31" s="44">
        <v>49.2</v>
      </c>
      <c r="F31" s="44">
        <v>76.099999999999994</v>
      </c>
      <c r="J31" s="44">
        <v>0.31900000000000001</v>
      </c>
      <c r="N31" s="47">
        <v>7.4999999999999997E-3</v>
      </c>
      <c r="R31" s="47">
        <v>2.5000000000000001E-3</v>
      </c>
      <c r="V31" s="44">
        <v>0.16900000000000001</v>
      </c>
      <c r="Z31" s="44">
        <v>1.8800000000000001E-2</v>
      </c>
      <c r="AD31" s="44">
        <v>7.43</v>
      </c>
      <c r="AH31" s="44">
        <v>1.7600000000000001E-2</v>
      </c>
      <c r="AK31" s="36" t="s">
        <v>97</v>
      </c>
      <c r="AL31" s="44">
        <v>7.43</v>
      </c>
      <c r="AO31" s="44">
        <v>6.25</v>
      </c>
      <c r="AR31" s="44">
        <v>0.18099999999999999</v>
      </c>
      <c r="AU31" s="44">
        <v>53.7</v>
      </c>
    </row>
    <row r="32" spans="1:47" x14ac:dyDescent="0.25">
      <c r="A32" s="36" t="s">
        <v>98</v>
      </c>
      <c r="B32" s="44">
        <v>48.2</v>
      </c>
      <c r="F32" s="44">
        <v>76.8</v>
      </c>
      <c r="J32" s="44">
        <v>0.246</v>
      </c>
      <c r="N32" s="47">
        <v>7.4999999999999997E-3</v>
      </c>
      <c r="R32" s="44"/>
      <c r="V32" s="44">
        <v>0.16</v>
      </c>
      <c r="Z32" s="44">
        <v>1.89E-2</v>
      </c>
      <c r="AD32" s="44">
        <v>8.35</v>
      </c>
      <c r="AH32" s="44">
        <v>1.2E-2</v>
      </c>
      <c r="AK32" s="36" t="s">
        <v>98</v>
      </c>
      <c r="AL32" s="44">
        <v>8.35</v>
      </c>
      <c r="AO32" s="44">
        <v>5.7</v>
      </c>
      <c r="AR32" s="44">
        <v>0.189</v>
      </c>
      <c r="AU32" s="44">
        <v>58.5</v>
      </c>
    </row>
    <row r="33" spans="1:47" x14ac:dyDescent="0.25">
      <c r="A33" s="36" t="s">
        <v>99</v>
      </c>
      <c r="B33" s="44">
        <v>47.5</v>
      </c>
      <c r="F33" s="44">
        <v>78.900000000000006</v>
      </c>
      <c r="J33" s="44">
        <v>0.16700000000000001</v>
      </c>
      <c r="N33" s="47">
        <v>7.4999999999999997E-3</v>
      </c>
      <c r="R33" s="44"/>
      <c r="V33" s="44">
        <v>0.13500000000000001</v>
      </c>
      <c r="Z33" s="44">
        <v>1.6400000000000001E-2</v>
      </c>
      <c r="AD33" s="44">
        <v>8.84</v>
      </c>
      <c r="AH33" s="44">
        <v>1.3299999999999999E-2</v>
      </c>
      <c r="AK33" s="36" t="s">
        <v>99</v>
      </c>
      <c r="AL33" s="44">
        <v>8.84</v>
      </c>
      <c r="AO33" s="44">
        <v>5.01</v>
      </c>
      <c r="AR33" s="44">
        <v>0.19900000000000001</v>
      </c>
      <c r="AU33" s="44">
        <v>46.1</v>
      </c>
    </row>
    <row r="34" spans="1:47" x14ac:dyDescent="0.25">
      <c r="A34" s="36" t="s">
        <v>100</v>
      </c>
      <c r="B34" s="44"/>
      <c r="F34" s="44"/>
      <c r="J34" s="44"/>
      <c r="N34" s="47">
        <v>7.4999999999999997E-3</v>
      </c>
      <c r="R34" s="44"/>
      <c r="V34" s="44"/>
      <c r="Z34" s="44"/>
      <c r="AD34" s="44"/>
      <c r="AH34" s="44"/>
      <c r="AK34" s="36" t="s">
        <v>100</v>
      </c>
      <c r="AL34" s="44"/>
      <c r="AO34" s="44"/>
      <c r="AR34" s="44"/>
      <c r="AU34" s="44"/>
    </row>
    <row r="35" spans="1:47" x14ac:dyDescent="0.25">
      <c r="A35" s="36" t="s">
        <v>101</v>
      </c>
      <c r="B35" s="44">
        <v>50.5</v>
      </c>
      <c r="F35" s="44">
        <v>83.658000000000001</v>
      </c>
      <c r="J35" s="44">
        <v>0.16600000000000001</v>
      </c>
      <c r="N35" s="47">
        <v>7.4999999999999997E-3</v>
      </c>
      <c r="R35" s="44"/>
      <c r="V35" s="44">
        <v>0.14899999999999999</v>
      </c>
      <c r="Z35" s="44">
        <v>1.32E-2</v>
      </c>
      <c r="AD35" s="44">
        <v>7.19</v>
      </c>
      <c r="AH35" s="44">
        <v>1.0999999999999999E-2</v>
      </c>
      <c r="AK35" s="36" t="s">
        <v>101</v>
      </c>
      <c r="AL35" s="44">
        <v>7.19</v>
      </c>
      <c r="AO35" s="44">
        <v>5.75</v>
      </c>
      <c r="AR35" s="44">
        <v>0.21299999999999999</v>
      </c>
      <c r="AU35" s="44">
        <v>32.9</v>
      </c>
    </row>
    <row r="36" spans="1:47" x14ac:dyDescent="0.25">
      <c r="A36" s="36" t="s">
        <v>102</v>
      </c>
      <c r="B36" s="44">
        <v>50.1</v>
      </c>
      <c r="F36" s="44">
        <v>82.3</v>
      </c>
      <c r="J36" s="44">
        <v>0.23599999999999999</v>
      </c>
      <c r="N36" s="44"/>
      <c r="R36" s="47">
        <v>2.5000000000000001E-3</v>
      </c>
      <c r="V36" s="44">
        <v>0.16900000000000001</v>
      </c>
      <c r="Z36" s="44">
        <v>3.04E-2</v>
      </c>
      <c r="AD36" s="44">
        <v>3.71</v>
      </c>
      <c r="AH36" s="44">
        <v>2.64E-2</v>
      </c>
      <c r="AK36" s="36" t="s">
        <v>102</v>
      </c>
      <c r="AL36" s="44">
        <v>3.71</v>
      </c>
      <c r="AO36" s="44">
        <v>7.36</v>
      </c>
      <c r="AR36" s="44">
        <v>0.16700000000000001</v>
      </c>
      <c r="AU36" s="44">
        <v>35.6</v>
      </c>
    </row>
    <row r="37" spans="1:47" x14ac:dyDescent="0.25">
      <c r="A37" s="36" t="s">
        <v>103</v>
      </c>
      <c r="B37" s="44">
        <v>49.3</v>
      </c>
      <c r="F37" s="44">
        <v>95.2</v>
      </c>
      <c r="J37" s="44">
        <v>0.376</v>
      </c>
      <c r="N37" s="44"/>
      <c r="R37" s="47">
        <v>2.5000000000000001E-3</v>
      </c>
      <c r="V37" s="44">
        <v>0.191</v>
      </c>
      <c r="Z37" s="44">
        <v>2.75E-2</v>
      </c>
      <c r="AD37" s="44">
        <v>3.09</v>
      </c>
      <c r="AH37" s="44">
        <v>2.5399999999999999E-2</v>
      </c>
      <c r="AK37" s="36" t="s">
        <v>103</v>
      </c>
      <c r="AL37" s="44">
        <v>3.09</v>
      </c>
      <c r="AO37" s="44">
        <v>9.2200000000000006</v>
      </c>
      <c r="AR37" s="44">
        <v>0.20200000000000001</v>
      </c>
      <c r="AU37" s="44">
        <v>19.5</v>
      </c>
    </row>
    <row r="38" spans="1:47" x14ac:dyDescent="0.25">
      <c r="A38" s="36" t="s">
        <v>104</v>
      </c>
      <c r="B38" s="44">
        <v>47.7</v>
      </c>
      <c r="F38" s="44">
        <v>79.7</v>
      </c>
      <c r="J38" s="44">
        <v>0.20599999999999999</v>
      </c>
      <c r="N38" s="44"/>
      <c r="R38" s="47">
        <v>2.5000000000000001E-3</v>
      </c>
      <c r="V38" s="44">
        <v>0.14799999999999999</v>
      </c>
      <c r="Z38" s="44">
        <v>2.2599999999999999E-2</v>
      </c>
      <c r="AD38" s="44">
        <v>4.38</v>
      </c>
      <c r="AH38" s="44">
        <v>2.1700000000000001E-2</v>
      </c>
      <c r="AK38" s="36" t="s">
        <v>104</v>
      </c>
      <c r="AL38" s="44">
        <v>4.38</v>
      </c>
      <c r="AO38" s="44">
        <v>6.56</v>
      </c>
      <c r="AR38" s="44">
        <v>0.151</v>
      </c>
      <c r="AU38" s="44">
        <v>23.3</v>
      </c>
    </row>
    <row r="39" spans="1:47" x14ac:dyDescent="0.25">
      <c r="A39" s="37" t="s">
        <v>105</v>
      </c>
      <c r="B39" s="45">
        <v>48.1</v>
      </c>
      <c r="F39" s="45">
        <v>81.3</v>
      </c>
      <c r="J39" s="45">
        <v>0.34799999999999998</v>
      </c>
      <c r="N39" s="48">
        <v>0.02</v>
      </c>
      <c r="R39" s="45"/>
      <c r="V39" s="45">
        <v>0.15</v>
      </c>
      <c r="Z39" s="45">
        <v>2.63E-2</v>
      </c>
      <c r="AD39" s="45">
        <v>3.89</v>
      </c>
      <c r="AH39" s="45">
        <v>3.6499999999999998E-2</v>
      </c>
      <c r="AK39" s="37" t="s">
        <v>105</v>
      </c>
      <c r="AL39" s="45">
        <v>3.89</v>
      </c>
      <c r="AO39" s="45">
        <v>6.86</v>
      </c>
      <c r="AR39" s="45">
        <v>0.15</v>
      </c>
      <c r="AU39" s="45">
        <v>16.8</v>
      </c>
    </row>
    <row r="40" spans="1:47" x14ac:dyDescent="0.25">
      <c r="A40" s="37" t="s">
        <v>106</v>
      </c>
      <c r="B40" s="45">
        <v>49.4</v>
      </c>
      <c r="F40" s="45">
        <v>80.8</v>
      </c>
      <c r="J40" s="45">
        <v>0.34599999999999997</v>
      </c>
      <c r="N40" s="47">
        <v>0.02</v>
      </c>
      <c r="R40" s="45" t="s">
        <v>134</v>
      </c>
      <c r="V40" s="45">
        <v>0.123</v>
      </c>
      <c r="Z40" s="45">
        <v>1.9599999999999999E-2</v>
      </c>
      <c r="AD40" s="45">
        <v>5.22</v>
      </c>
      <c r="AH40" s="45">
        <v>2.1600000000000001E-2</v>
      </c>
      <c r="AK40" s="37" t="s">
        <v>106</v>
      </c>
      <c r="AL40" s="45">
        <v>5.22</v>
      </c>
      <c r="AO40" s="45">
        <v>6.93</v>
      </c>
      <c r="AR40" s="45">
        <v>0.20100000000000001</v>
      </c>
      <c r="AU40" s="45">
        <v>18.600000000000001</v>
      </c>
    </row>
    <row r="41" spans="1:47" x14ac:dyDescent="0.25">
      <c r="A41" s="37" t="s">
        <v>107</v>
      </c>
      <c r="B41" s="45">
        <v>47.7</v>
      </c>
      <c r="F41" s="45">
        <v>81</v>
      </c>
      <c r="J41" s="45">
        <v>0.33</v>
      </c>
      <c r="N41" s="47">
        <v>7.4999999999999997E-3</v>
      </c>
      <c r="R41" s="45"/>
      <c r="V41" s="45">
        <v>7.0499999999999993E-2</v>
      </c>
      <c r="Z41" s="45">
        <v>1.0500000000000001E-2</v>
      </c>
      <c r="AD41" s="45">
        <v>5.95</v>
      </c>
      <c r="AH41" s="45">
        <v>1.5900000000000001E-2</v>
      </c>
      <c r="AK41" s="37" t="s">
        <v>107</v>
      </c>
      <c r="AL41" s="45">
        <v>5.95</v>
      </c>
      <c r="AO41" s="45">
        <v>6.17</v>
      </c>
      <c r="AR41" s="45">
        <v>0.13600000000000001</v>
      </c>
      <c r="AU41" s="45">
        <v>18.399999999999999</v>
      </c>
    </row>
    <row r="42" spans="1:47" x14ac:dyDescent="0.25">
      <c r="A42" s="37" t="s">
        <v>108</v>
      </c>
      <c r="B42" s="45">
        <v>50.5</v>
      </c>
      <c r="F42" s="45">
        <v>81</v>
      </c>
      <c r="J42" s="45">
        <v>0.28000000000000003</v>
      </c>
      <c r="N42" s="47">
        <v>7.4999999999999997E-3</v>
      </c>
      <c r="R42" s="45">
        <v>8.6999999999999994E-3</v>
      </c>
      <c r="V42" s="45">
        <v>0.156</v>
      </c>
      <c r="Z42" s="45">
        <v>1.4999999999999999E-2</v>
      </c>
      <c r="AD42" s="45">
        <v>5.0999999999999996</v>
      </c>
      <c r="AH42" s="48">
        <v>5.0000000000000001E-3</v>
      </c>
      <c r="AK42" s="37" t="s">
        <v>108</v>
      </c>
      <c r="AL42" s="45">
        <v>5.0999999999999996</v>
      </c>
      <c r="AO42" s="45">
        <v>6.36</v>
      </c>
      <c r="AR42" s="45">
        <v>0.11600000000000001</v>
      </c>
      <c r="AU42" s="45">
        <v>25.6</v>
      </c>
    </row>
    <row r="43" spans="1:47" x14ac:dyDescent="0.25">
      <c r="A43" s="38">
        <v>43893</v>
      </c>
      <c r="B43" s="44">
        <v>48.2</v>
      </c>
      <c r="F43" s="44">
        <v>90</v>
      </c>
      <c r="J43" s="44">
        <v>0.26</v>
      </c>
      <c r="N43" s="44">
        <v>0.02</v>
      </c>
      <c r="R43" s="44"/>
      <c r="V43" s="44">
        <v>0.112</v>
      </c>
      <c r="Z43" s="44">
        <v>1.2800000000000001E-2</v>
      </c>
      <c r="AD43" s="44">
        <v>4.9800000000000004</v>
      </c>
      <c r="AH43" s="44">
        <v>1.7399999999999999E-2</v>
      </c>
      <c r="AK43" s="38">
        <v>43893</v>
      </c>
      <c r="AL43" s="44">
        <v>4.9800000000000004</v>
      </c>
      <c r="AO43" s="44">
        <v>5.45</v>
      </c>
      <c r="AR43" s="44">
        <v>0.16200000000000001</v>
      </c>
      <c r="AU43" s="44">
        <v>13.7</v>
      </c>
    </row>
    <row r="44" spans="1:47" x14ac:dyDescent="0.25">
      <c r="A44" s="39" t="s">
        <v>109</v>
      </c>
      <c r="B44" s="44">
        <v>48.9</v>
      </c>
      <c r="F44" s="44">
        <v>73.2</v>
      </c>
      <c r="J44" s="44">
        <v>0.126</v>
      </c>
      <c r="N44" s="47">
        <v>0.02</v>
      </c>
      <c r="R44" s="44"/>
      <c r="V44" s="44">
        <v>0.13800000000000001</v>
      </c>
      <c r="Z44" s="44">
        <v>1.9099999999999999E-2</v>
      </c>
      <c r="AD44" s="44">
        <v>2.15</v>
      </c>
      <c r="AH44" s="44">
        <v>1.11E-2</v>
      </c>
      <c r="AK44" s="39" t="s">
        <v>109</v>
      </c>
      <c r="AL44" s="44">
        <v>2.15</v>
      </c>
      <c r="AO44" s="44">
        <v>5.65</v>
      </c>
      <c r="AR44" s="44">
        <v>0.14399999999999999</v>
      </c>
      <c r="AU44" s="44">
        <v>16.3</v>
      </c>
    </row>
    <row r="45" spans="1:47" x14ac:dyDescent="0.25">
      <c r="A45" s="39" t="s">
        <v>110</v>
      </c>
      <c r="B45" s="44">
        <v>50.5</v>
      </c>
      <c r="F45" s="44">
        <v>87</v>
      </c>
      <c r="J45" s="44">
        <v>0.2</v>
      </c>
      <c r="N45" s="47">
        <v>7.4999999999999997E-3</v>
      </c>
      <c r="R45" s="44"/>
      <c r="V45" s="44">
        <v>0.14000000000000001</v>
      </c>
      <c r="Z45" s="44">
        <v>2.23E-2</v>
      </c>
      <c r="AD45" s="44">
        <v>5.24</v>
      </c>
      <c r="AH45" s="44">
        <v>1.7000000000000001E-2</v>
      </c>
      <c r="AK45" s="39" t="s">
        <v>110</v>
      </c>
      <c r="AL45" s="44">
        <v>5.24</v>
      </c>
      <c r="AO45" s="44">
        <v>6.9</v>
      </c>
      <c r="AR45" s="44">
        <v>0.19900000000000001</v>
      </c>
      <c r="AU45" s="44">
        <v>20.8</v>
      </c>
    </row>
    <row r="46" spans="1:47" x14ac:dyDescent="0.25">
      <c r="A46" s="39" t="s">
        <v>111</v>
      </c>
      <c r="B46" s="44">
        <v>50.7</v>
      </c>
      <c r="F46" s="44">
        <v>89</v>
      </c>
      <c r="J46" s="44">
        <v>0.21</v>
      </c>
      <c r="N46" s="47">
        <v>7.4999999999999997E-3</v>
      </c>
      <c r="R46" s="44"/>
      <c r="V46" s="44">
        <v>0.18</v>
      </c>
      <c r="Z46" s="44">
        <v>2.2800000000000001E-2</v>
      </c>
      <c r="AD46" s="44">
        <v>2.39</v>
      </c>
      <c r="AH46" s="44">
        <v>1.7999999999999999E-2</v>
      </c>
      <c r="AK46" s="39" t="s">
        <v>111</v>
      </c>
      <c r="AL46" s="44">
        <v>2.39</v>
      </c>
      <c r="AO46" s="44">
        <v>8.73</v>
      </c>
      <c r="AR46" s="44">
        <v>0.125</v>
      </c>
      <c r="AU46" s="44">
        <v>11</v>
      </c>
    </row>
    <row r="47" spans="1:47" x14ac:dyDescent="0.25">
      <c r="A47" s="39" t="s">
        <v>112</v>
      </c>
      <c r="B47" s="44">
        <v>48.1</v>
      </c>
      <c r="F47" s="44">
        <v>87</v>
      </c>
      <c r="J47" s="44">
        <v>0.19</v>
      </c>
      <c r="N47" s="44">
        <v>0.38</v>
      </c>
      <c r="R47" s="44"/>
      <c r="V47" s="44">
        <v>0.17599999999999999</v>
      </c>
      <c r="Z47" s="44">
        <v>2.2700000000000001E-2</v>
      </c>
      <c r="AD47" s="44">
        <v>4.04</v>
      </c>
      <c r="AH47" s="44">
        <v>1.7399999999999999E-2</v>
      </c>
      <c r="AK47" s="39" t="s">
        <v>112</v>
      </c>
      <c r="AL47" s="44">
        <v>4.04</v>
      </c>
      <c r="AO47" s="44">
        <v>8.27</v>
      </c>
      <c r="AR47" s="44">
        <v>8.9499999999999996E-2</v>
      </c>
      <c r="AU47" s="44">
        <v>8.08</v>
      </c>
    </row>
    <row r="48" spans="1:47" x14ac:dyDescent="0.25">
      <c r="A48" s="39" t="s">
        <v>113</v>
      </c>
      <c r="B48" s="44">
        <v>47.7</v>
      </c>
      <c r="F48" s="44">
        <v>80</v>
      </c>
      <c r="J48" s="44">
        <v>0.15</v>
      </c>
      <c r="N48" s="47">
        <v>7.4999999999999997E-3</v>
      </c>
      <c r="R48" s="44"/>
      <c r="V48" s="44">
        <v>0.184</v>
      </c>
      <c r="Z48" s="44">
        <v>1.2E-2</v>
      </c>
      <c r="AD48" s="44">
        <v>3.75</v>
      </c>
      <c r="AH48" s="44">
        <v>3.4799999999999998E-2</v>
      </c>
      <c r="AK48" s="39" t="s">
        <v>113</v>
      </c>
      <c r="AL48" s="44">
        <v>3.75</v>
      </c>
      <c r="AO48" s="44">
        <v>6.7</v>
      </c>
      <c r="AR48" s="44">
        <v>6.6799999999999998E-2</v>
      </c>
      <c r="AU48" s="44">
        <v>6.6</v>
      </c>
    </row>
    <row r="49" spans="1:47" x14ac:dyDescent="0.25">
      <c r="A49" s="38">
        <v>44053</v>
      </c>
      <c r="B49" s="46">
        <v>46.2</v>
      </c>
      <c r="F49" s="46">
        <v>82</v>
      </c>
      <c r="J49" s="46">
        <v>0.21</v>
      </c>
      <c r="N49" s="47">
        <v>7.4999999999999997E-3</v>
      </c>
      <c r="R49" s="46"/>
      <c r="V49" s="46">
        <v>0.16200000000000001</v>
      </c>
      <c r="Z49" s="46">
        <v>1.49E-2</v>
      </c>
      <c r="AD49" s="46">
        <v>1.58</v>
      </c>
      <c r="AH49" s="46">
        <v>4.3299999999999998E-2</v>
      </c>
      <c r="AK49" s="38">
        <v>44053</v>
      </c>
      <c r="AL49" s="46">
        <v>1.58</v>
      </c>
      <c r="AO49" s="46">
        <v>7.58</v>
      </c>
      <c r="AR49" s="46">
        <v>0.26700000000000002</v>
      </c>
      <c r="AU49" s="46">
        <v>5.98</v>
      </c>
    </row>
    <row r="50" spans="1:47" x14ac:dyDescent="0.25">
      <c r="A50" s="38">
        <v>44095</v>
      </c>
      <c r="B50" s="46">
        <v>48.5</v>
      </c>
      <c r="F50" s="46">
        <v>80.099999999999994</v>
      </c>
      <c r="J50" s="46">
        <v>0.155</v>
      </c>
      <c r="N50" s="47">
        <v>0.02</v>
      </c>
      <c r="R50" s="46"/>
      <c r="V50" s="46">
        <v>0.106</v>
      </c>
      <c r="Z50" s="46">
        <v>1.77E-2</v>
      </c>
      <c r="AD50" s="46">
        <v>4.79</v>
      </c>
      <c r="AH50" s="46">
        <v>2.3E-2</v>
      </c>
      <c r="AK50" s="38">
        <v>44095</v>
      </c>
      <c r="AL50" s="46">
        <v>4.79</v>
      </c>
      <c r="AO50" s="46">
        <v>6.33</v>
      </c>
      <c r="AR50" s="46">
        <v>9.8199999999999996E-2</v>
      </c>
      <c r="AU50" s="46">
        <v>8.19</v>
      </c>
    </row>
    <row r="51" spans="1:47" x14ac:dyDescent="0.25">
      <c r="A51" s="40" t="s">
        <v>114</v>
      </c>
      <c r="B51" s="46">
        <v>50.8</v>
      </c>
      <c r="F51" s="46">
        <v>95.5</v>
      </c>
      <c r="J51" s="46">
        <v>0.30599999999999999</v>
      </c>
      <c r="N51" s="49" t="s">
        <v>131</v>
      </c>
      <c r="R51" s="46"/>
      <c r="V51" s="46">
        <v>0.218</v>
      </c>
      <c r="Z51" s="46">
        <v>3.2899999999999999E-2</v>
      </c>
      <c r="AD51" s="46">
        <v>4.5999999999999996</v>
      </c>
      <c r="AH51" s="46">
        <v>2.7699999999999999E-2</v>
      </c>
      <c r="AK51" s="40" t="s">
        <v>114</v>
      </c>
      <c r="AL51" s="46">
        <v>4.5999999999999996</v>
      </c>
      <c r="AO51" s="46">
        <v>8.49</v>
      </c>
      <c r="AR51" s="46">
        <v>0.16200000000000001</v>
      </c>
      <c r="AU51" s="46">
        <v>5.54</v>
      </c>
    </row>
    <row r="52" spans="1:47" x14ac:dyDescent="0.25">
      <c r="A52" s="41" t="s">
        <v>115</v>
      </c>
      <c r="B52" s="45">
        <v>50.8</v>
      </c>
      <c r="F52" s="45">
        <v>93</v>
      </c>
      <c r="J52" s="45">
        <v>0.20399999999999999</v>
      </c>
      <c r="N52" s="45" t="s">
        <v>131</v>
      </c>
      <c r="R52" s="45"/>
      <c r="V52" s="45">
        <v>0.107</v>
      </c>
      <c r="Z52" s="45">
        <v>1.52E-2</v>
      </c>
      <c r="AD52" s="45">
        <v>4.68</v>
      </c>
      <c r="AH52" s="45">
        <v>1.8499999999999999E-2</v>
      </c>
      <c r="AK52" s="41" t="s">
        <v>115</v>
      </c>
      <c r="AL52" s="45">
        <v>4.68</v>
      </c>
      <c r="AO52" s="45">
        <v>6.15</v>
      </c>
      <c r="AR52" s="45">
        <v>0.13300000000000001</v>
      </c>
      <c r="AU52" s="45">
        <v>7.89</v>
      </c>
    </row>
    <row r="53" spans="1:47" x14ac:dyDescent="0.25">
      <c r="A53" s="41" t="s">
        <v>116</v>
      </c>
      <c r="B53" s="45">
        <v>50.3</v>
      </c>
      <c r="F53" s="45">
        <v>89.2</v>
      </c>
      <c r="J53" s="45">
        <v>0.187</v>
      </c>
      <c r="N53" s="45" t="s">
        <v>131</v>
      </c>
      <c r="R53" s="45"/>
      <c r="V53" s="45">
        <v>0.122</v>
      </c>
      <c r="Z53" s="45">
        <v>1.37E-2</v>
      </c>
      <c r="AD53" s="45">
        <v>5.46</v>
      </c>
      <c r="AH53" s="45">
        <v>1.5699999999999999E-2</v>
      </c>
      <c r="AK53" s="41" t="s">
        <v>116</v>
      </c>
      <c r="AL53" s="45">
        <v>5.46</v>
      </c>
      <c r="AO53" s="45">
        <v>5.88</v>
      </c>
      <c r="AR53" s="45" t="s">
        <v>141</v>
      </c>
      <c r="AU53" s="45">
        <v>8.4600000000000009</v>
      </c>
    </row>
    <row r="54" spans="1:47" x14ac:dyDescent="0.25">
      <c r="A54" s="41" t="s">
        <v>117</v>
      </c>
      <c r="B54" s="45">
        <v>52.9</v>
      </c>
      <c r="F54" s="45">
        <v>86</v>
      </c>
      <c r="J54" s="45">
        <v>0.17</v>
      </c>
      <c r="N54" s="45" t="s">
        <v>131</v>
      </c>
      <c r="R54" s="45"/>
      <c r="V54" s="45">
        <v>0.124</v>
      </c>
      <c r="Z54" s="45">
        <v>1.55E-2</v>
      </c>
      <c r="AD54" s="45">
        <v>5</v>
      </c>
      <c r="AH54" s="45" t="s">
        <v>137</v>
      </c>
      <c r="AK54" s="41" t="s">
        <v>117</v>
      </c>
      <c r="AL54" s="45">
        <v>5</v>
      </c>
      <c r="AO54" s="45">
        <v>6.09</v>
      </c>
      <c r="AR54" s="45">
        <v>0.16900000000000001</v>
      </c>
      <c r="AU54" s="45">
        <v>8.66</v>
      </c>
    </row>
    <row r="55" spans="1:47" x14ac:dyDescent="0.25">
      <c r="A55" s="41" t="s">
        <v>103</v>
      </c>
      <c r="B55" s="45">
        <v>50.5</v>
      </c>
      <c r="F55" s="45">
        <v>90</v>
      </c>
      <c r="J55" s="45">
        <v>0.13200000000000001</v>
      </c>
      <c r="N55" s="45" t="s">
        <v>131</v>
      </c>
      <c r="R55" s="45"/>
      <c r="V55" s="45">
        <v>0.13100000000000001</v>
      </c>
      <c r="Z55" s="45">
        <v>2.5899999999999999E-2</v>
      </c>
      <c r="AD55" s="45">
        <v>4.25</v>
      </c>
      <c r="AH55" s="45">
        <v>3.0499999999999999E-2</v>
      </c>
      <c r="AK55" s="41" t="s">
        <v>103</v>
      </c>
      <c r="AL55" s="45">
        <v>4.25</v>
      </c>
      <c r="AO55" s="45">
        <v>7.25</v>
      </c>
      <c r="AR55" s="45">
        <v>9.8199999999999996E-2</v>
      </c>
      <c r="AU55" s="45">
        <v>5.7</v>
      </c>
    </row>
    <row r="56" spans="1:47" x14ac:dyDescent="0.25">
      <c r="A56" s="41" t="s">
        <v>118</v>
      </c>
      <c r="B56" s="45">
        <v>51.8</v>
      </c>
      <c r="F56" s="45">
        <v>93.1</v>
      </c>
      <c r="J56" s="45">
        <v>9.8000000000000004E-2</v>
      </c>
      <c r="N56" s="45" t="s">
        <v>131</v>
      </c>
      <c r="R56" s="45"/>
      <c r="V56" s="45">
        <v>0.10100000000000001</v>
      </c>
      <c r="Z56" s="45">
        <v>1.2800000000000001E-2</v>
      </c>
      <c r="AD56" s="45">
        <v>5.26</v>
      </c>
      <c r="AH56" s="45" t="s">
        <v>137</v>
      </c>
      <c r="AK56" s="41" t="s">
        <v>118</v>
      </c>
      <c r="AL56" s="45">
        <v>5.26</v>
      </c>
      <c r="AO56" s="45">
        <v>6.84</v>
      </c>
      <c r="AR56" s="45">
        <v>0.13</v>
      </c>
      <c r="AU56" s="45">
        <v>5.4</v>
      </c>
    </row>
    <row r="57" spans="1:47" x14ac:dyDescent="0.25">
      <c r="A57" s="41" t="s">
        <v>103</v>
      </c>
      <c r="B57" s="45">
        <v>45</v>
      </c>
      <c r="F57" s="45">
        <v>77</v>
      </c>
      <c r="J57" s="45">
        <v>0.19</v>
      </c>
      <c r="N57" s="45" t="s">
        <v>131</v>
      </c>
      <c r="R57" s="45"/>
      <c r="V57" s="45">
        <v>0.15</v>
      </c>
      <c r="Z57" s="45">
        <v>3.78E-2</v>
      </c>
      <c r="AD57" s="45">
        <v>3.02</v>
      </c>
      <c r="AH57" s="45">
        <v>3.0800000000000001E-2</v>
      </c>
      <c r="AK57" s="41" t="s">
        <v>103</v>
      </c>
      <c r="AL57" s="45">
        <v>3.02</v>
      </c>
      <c r="AO57" s="45">
        <v>8.31</v>
      </c>
      <c r="AR57" s="45">
        <v>0.115</v>
      </c>
      <c r="AU57" s="45">
        <v>1.84</v>
      </c>
    </row>
    <row r="58" spans="1:47" x14ac:dyDescent="0.25">
      <c r="A58" s="41" t="s">
        <v>103</v>
      </c>
      <c r="B58" s="45">
        <v>47.8</v>
      </c>
      <c r="F58" s="45">
        <v>81.5</v>
      </c>
      <c r="J58" s="45">
        <v>0.185</v>
      </c>
      <c r="N58" s="45" t="s">
        <v>132</v>
      </c>
      <c r="R58" s="45"/>
      <c r="V58" s="45">
        <v>0.17499999999999999</v>
      </c>
      <c r="Z58" s="45">
        <v>3.5299999999999998E-2</v>
      </c>
      <c r="AD58" s="45">
        <v>2.36</v>
      </c>
      <c r="AH58" s="45">
        <v>3.3000000000000002E-2</v>
      </c>
      <c r="AK58" s="41" t="s">
        <v>103</v>
      </c>
      <c r="AL58" s="45">
        <v>2.36</v>
      </c>
      <c r="AO58" s="45">
        <v>9.02</v>
      </c>
      <c r="AR58" s="45">
        <v>0.17399999999999999</v>
      </c>
      <c r="AU58" s="45">
        <v>5.69</v>
      </c>
    </row>
    <row r="59" spans="1:47" x14ac:dyDescent="0.25">
      <c r="A59" s="41" t="s">
        <v>119</v>
      </c>
      <c r="B59" s="45">
        <v>49.3</v>
      </c>
      <c r="F59" s="45">
        <v>89.6</v>
      </c>
      <c r="J59" s="45">
        <v>0.16600000000000001</v>
      </c>
      <c r="N59" s="45" t="s">
        <v>132</v>
      </c>
      <c r="R59" s="45"/>
      <c r="V59" s="45">
        <v>0.12</v>
      </c>
      <c r="Z59" s="45">
        <v>1.84E-2</v>
      </c>
      <c r="AD59" s="45">
        <v>3.91</v>
      </c>
      <c r="AH59" s="45">
        <v>3.7699999999999997E-2</v>
      </c>
      <c r="AK59" s="41" t="s">
        <v>119</v>
      </c>
      <c r="AL59" s="45">
        <v>3.91</v>
      </c>
      <c r="AO59" s="45">
        <v>6.46</v>
      </c>
      <c r="AR59" s="45">
        <v>0.128</v>
      </c>
      <c r="AU59" s="45">
        <v>4.4800000000000004</v>
      </c>
    </row>
    <row r="60" spans="1:47" x14ac:dyDescent="0.25">
      <c r="A60" s="41" t="s">
        <v>120</v>
      </c>
      <c r="B60" s="45">
        <v>54.1</v>
      </c>
      <c r="F60" s="45">
        <v>90</v>
      </c>
      <c r="J60" s="45">
        <v>0.18</v>
      </c>
      <c r="N60" s="45" t="s">
        <v>131</v>
      </c>
      <c r="R60" s="45"/>
      <c r="V60" s="45">
        <v>0.115</v>
      </c>
      <c r="Z60" s="45">
        <v>1.29E-2</v>
      </c>
      <c r="AD60" s="45">
        <v>4.0199999999999996</v>
      </c>
      <c r="AH60" s="45">
        <v>3.27E-2</v>
      </c>
      <c r="AK60" s="41" t="s">
        <v>120</v>
      </c>
      <c r="AL60" s="45">
        <v>4.0199999999999996</v>
      </c>
      <c r="AO60" s="45">
        <v>7.05</v>
      </c>
      <c r="AR60" s="45">
        <v>9.5899999999999999E-2</v>
      </c>
      <c r="AU60" s="45">
        <v>2.12</v>
      </c>
    </row>
    <row r="61" spans="1:47" x14ac:dyDescent="0.25">
      <c r="A61" s="41" t="s">
        <v>121</v>
      </c>
      <c r="B61" s="45">
        <v>55.5</v>
      </c>
      <c r="F61" s="45">
        <v>95</v>
      </c>
      <c r="J61" s="45">
        <v>0.21</v>
      </c>
      <c r="N61" s="45" t="s">
        <v>131</v>
      </c>
      <c r="R61" s="45"/>
      <c r="V61" s="45">
        <v>0.151</v>
      </c>
      <c r="Z61" s="45">
        <v>2.07E-2</v>
      </c>
      <c r="AD61" s="45">
        <v>4.54</v>
      </c>
      <c r="AH61" s="45">
        <v>2.98E-2</v>
      </c>
      <c r="AK61" s="41" t="s">
        <v>121</v>
      </c>
      <c r="AL61" s="45">
        <v>4.54</v>
      </c>
      <c r="AO61" s="45">
        <v>8.48</v>
      </c>
      <c r="AR61" s="45">
        <v>0.08</v>
      </c>
      <c r="AU61" s="45">
        <v>1.75</v>
      </c>
    </row>
    <row r="62" spans="1:47" x14ac:dyDescent="0.25">
      <c r="A62" s="41" t="s">
        <v>122</v>
      </c>
      <c r="B62" s="45">
        <v>53.8</v>
      </c>
      <c r="F62" s="45">
        <v>93</v>
      </c>
      <c r="J62" s="45">
        <v>0.26</v>
      </c>
      <c r="N62" s="45">
        <v>3.0000000000000001E-3</v>
      </c>
      <c r="R62" s="45"/>
      <c r="V62" s="45">
        <v>0.13300000000000001</v>
      </c>
      <c r="Z62" s="45">
        <v>2.7799999999999998E-2</v>
      </c>
      <c r="AD62" s="45">
        <v>4.55</v>
      </c>
      <c r="AH62" s="45">
        <v>3.5799999999999998E-2</v>
      </c>
      <c r="AK62" s="41" t="s">
        <v>122</v>
      </c>
      <c r="AL62" s="45">
        <v>4.55</v>
      </c>
      <c r="AO62" s="45">
        <v>9.2799999999999994</v>
      </c>
      <c r="AR62" s="45">
        <v>0.14099999999999999</v>
      </c>
      <c r="AU62" s="45">
        <v>2.36</v>
      </c>
    </row>
    <row r="63" spans="1:47" x14ac:dyDescent="0.25">
      <c r="A63" s="41" t="s">
        <v>123</v>
      </c>
      <c r="B63" s="45">
        <v>53.1</v>
      </c>
      <c r="F63" s="45">
        <v>103</v>
      </c>
      <c r="J63" s="45" t="s">
        <v>129</v>
      </c>
      <c r="N63" s="45" t="s">
        <v>132</v>
      </c>
      <c r="R63" s="45"/>
      <c r="V63" s="45">
        <v>0.13500000000000001</v>
      </c>
      <c r="Z63" s="45">
        <v>1.17E-2</v>
      </c>
      <c r="AD63" s="45">
        <v>2.88</v>
      </c>
      <c r="AH63" s="45">
        <v>2.86E-2</v>
      </c>
      <c r="AK63" s="41" t="s">
        <v>123</v>
      </c>
      <c r="AL63" s="45">
        <v>2.88</v>
      </c>
      <c r="AO63" s="45">
        <v>6.89</v>
      </c>
      <c r="AR63" s="45">
        <v>0.11799999999999999</v>
      </c>
      <c r="AU63" s="45" t="s">
        <v>143</v>
      </c>
    </row>
    <row r="64" spans="1:47" x14ac:dyDescent="0.25">
      <c r="A64" s="41" t="s">
        <v>124</v>
      </c>
      <c r="B64" s="45">
        <v>53.3</v>
      </c>
      <c r="F64" s="45">
        <v>98</v>
      </c>
      <c r="J64" s="45" t="s">
        <v>130</v>
      </c>
      <c r="N64" s="45" t="s">
        <v>131</v>
      </c>
      <c r="R64" s="45"/>
      <c r="V64" s="45">
        <v>0.14099999999999999</v>
      </c>
      <c r="Z64" s="45">
        <v>6.8700000000000002E-3</v>
      </c>
      <c r="AD64" s="45">
        <v>2.9</v>
      </c>
      <c r="AH64" s="45">
        <v>6.4600000000000005E-2</v>
      </c>
      <c r="AK64" s="41" t="s">
        <v>124</v>
      </c>
      <c r="AL64" s="45">
        <v>2.9</v>
      </c>
      <c r="AO64" s="45">
        <v>10.1</v>
      </c>
      <c r="AR64" s="45">
        <v>0.189</v>
      </c>
      <c r="AU64" s="45">
        <v>0.94399999999999995</v>
      </c>
    </row>
    <row r="65" spans="1:47" x14ac:dyDescent="0.25">
      <c r="A65" s="41" t="s">
        <v>125</v>
      </c>
      <c r="B65" s="45">
        <v>49.7</v>
      </c>
      <c r="F65" s="45">
        <v>89.6</v>
      </c>
      <c r="J65" s="45" t="s">
        <v>129</v>
      </c>
      <c r="N65" s="45" t="s">
        <v>132</v>
      </c>
      <c r="R65" s="45"/>
      <c r="V65" s="45">
        <v>0.11600000000000001</v>
      </c>
      <c r="Z65" s="45" t="s">
        <v>136</v>
      </c>
      <c r="AD65" s="45">
        <v>1.79</v>
      </c>
      <c r="AH65" s="45">
        <v>3.9399999999999998E-2</v>
      </c>
      <c r="AK65" s="41" t="s">
        <v>125</v>
      </c>
      <c r="AL65" s="45">
        <v>1.79</v>
      </c>
      <c r="AO65" s="45">
        <v>7.88</v>
      </c>
      <c r="AR65" s="45">
        <v>0.126</v>
      </c>
      <c r="AU65" s="45">
        <v>0.313</v>
      </c>
    </row>
    <row r="66" spans="1:47" x14ac:dyDescent="0.25">
      <c r="A66" s="41" t="s">
        <v>126</v>
      </c>
      <c r="B66" s="45">
        <v>51.5</v>
      </c>
      <c r="F66" s="45">
        <v>88</v>
      </c>
      <c r="J66" s="45">
        <v>0.13</v>
      </c>
      <c r="N66" s="45">
        <v>8.0000000000000002E-3</v>
      </c>
      <c r="R66" s="45"/>
      <c r="V66" s="45">
        <v>0.11</v>
      </c>
      <c r="Z66" s="45" t="s">
        <v>136</v>
      </c>
      <c r="AD66" s="45">
        <v>1.32</v>
      </c>
      <c r="AH66" s="45">
        <v>2.47E-2</v>
      </c>
      <c r="AK66" s="41" t="s">
        <v>126</v>
      </c>
      <c r="AL66" s="45">
        <v>1.32</v>
      </c>
      <c r="AO66" s="45">
        <v>7.57</v>
      </c>
      <c r="AR66" s="45">
        <v>0.127</v>
      </c>
      <c r="AU66" s="45" t="s">
        <v>143</v>
      </c>
    </row>
    <row r="67" spans="1:47" x14ac:dyDescent="0.25">
      <c r="A67" s="41" t="s">
        <v>103</v>
      </c>
      <c r="B67" s="45">
        <v>51.1</v>
      </c>
      <c r="F67" s="45">
        <v>91.5</v>
      </c>
      <c r="J67" s="45" t="s">
        <v>129</v>
      </c>
      <c r="N67" s="45" t="s">
        <v>131</v>
      </c>
      <c r="R67" s="45"/>
      <c r="V67" s="45">
        <v>0.10100000000000001</v>
      </c>
      <c r="Z67" s="45" t="s">
        <v>136</v>
      </c>
      <c r="AD67" s="45">
        <v>1.69</v>
      </c>
      <c r="AH67" s="45">
        <v>3.56E-2</v>
      </c>
      <c r="AK67" s="41" t="s">
        <v>103</v>
      </c>
      <c r="AL67" s="45">
        <v>1.69</v>
      </c>
      <c r="AO67" s="45">
        <v>6.93</v>
      </c>
      <c r="AR67" s="45">
        <v>9.2600000000000002E-2</v>
      </c>
      <c r="AU67" s="45">
        <v>0.38700000000000001</v>
      </c>
    </row>
    <row r="68" spans="1:47" x14ac:dyDescent="0.25">
      <c r="A68" s="41" t="s">
        <v>103</v>
      </c>
      <c r="B68" s="45">
        <v>48.7</v>
      </c>
      <c r="F68" s="45">
        <v>92.4</v>
      </c>
      <c r="J68" s="45" t="s">
        <v>129</v>
      </c>
      <c r="N68" s="45" t="s">
        <v>131</v>
      </c>
      <c r="R68" s="45"/>
      <c r="V68" s="45">
        <v>0.122</v>
      </c>
      <c r="Z68" s="45">
        <v>8.6800000000000002E-3</v>
      </c>
      <c r="AD68" s="45">
        <v>2.09</v>
      </c>
      <c r="AH68" s="45">
        <v>2.5700000000000001E-2</v>
      </c>
      <c r="AK68" s="41" t="s">
        <v>103</v>
      </c>
      <c r="AL68" s="45">
        <v>2.09</v>
      </c>
      <c r="AO68" s="45">
        <v>6.85</v>
      </c>
      <c r="AR68" s="45">
        <v>0.155</v>
      </c>
      <c r="AU68" s="45">
        <v>0.41199999999999998</v>
      </c>
    </row>
    <row r="69" spans="1:47" x14ac:dyDescent="0.25">
      <c r="A69" s="42">
        <v>45355</v>
      </c>
      <c r="F69">
        <v>94</v>
      </c>
      <c r="J69">
        <v>0.17</v>
      </c>
      <c r="N69" t="s">
        <v>131</v>
      </c>
      <c r="AK69" s="42">
        <v>45355</v>
      </c>
    </row>
    <row r="70" spans="1:47" x14ac:dyDescent="0.25">
      <c r="A70" s="42">
        <v>45355</v>
      </c>
      <c r="F70">
        <v>140</v>
      </c>
      <c r="J70">
        <v>2.5</v>
      </c>
      <c r="N70">
        <v>1.2</v>
      </c>
      <c r="AK70" s="42">
        <v>45355</v>
      </c>
    </row>
    <row r="71" spans="1:47" x14ac:dyDescent="0.25">
      <c r="A71" s="42">
        <v>45355</v>
      </c>
      <c r="F71">
        <v>1500</v>
      </c>
      <c r="J71">
        <v>15</v>
      </c>
      <c r="N71">
        <v>0.41</v>
      </c>
      <c r="AK71" s="42">
        <v>45355</v>
      </c>
    </row>
    <row r="72" spans="1:47" x14ac:dyDescent="0.25">
      <c r="A72" s="42">
        <v>45398</v>
      </c>
      <c r="B72">
        <v>51</v>
      </c>
      <c r="F72">
        <v>92.3</v>
      </c>
      <c r="J72" t="s">
        <v>129</v>
      </c>
      <c r="N72" t="s">
        <v>131</v>
      </c>
      <c r="V72">
        <v>0.14000000000000001</v>
      </c>
      <c r="Z72">
        <v>1.24E-2</v>
      </c>
      <c r="AD72">
        <v>2.37</v>
      </c>
      <c r="AH72">
        <v>2.35E-2</v>
      </c>
      <c r="AK72" s="42">
        <v>45398</v>
      </c>
      <c r="AL72">
        <v>2.37</v>
      </c>
      <c r="AO72">
        <v>5.85</v>
      </c>
      <c r="AR72">
        <v>0.11600000000000001</v>
      </c>
      <c r="AU72">
        <v>0.72499999999999998</v>
      </c>
    </row>
    <row r="73" spans="1:47" x14ac:dyDescent="0.25">
      <c r="A73" s="42">
        <v>45412</v>
      </c>
      <c r="B73">
        <v>51.6</v>
      </c>
      <c r="N73">
        <v>0.03</v>
      </c>
      <c r="V73">
        <v>9.6100000000000005E-2</v>
      </c>
      <c r="Z73">
        <v>1.4800000000000001E-2</v>
      </c>
      <c r="AD73">
        <v>5.07</v>
      </c>
      <c r="AH73">
        <v>2.3900000000000001E-2</v>
      </c>
      <c r="AK73" s="42">
        <v>45412</v>
      </c>
      <c r="AL73">
        <v>5.07</v>
      </c>
      <c r="AO73">
        <v>6.88</v>
      </c>
      <c r="AR73">
        <v>9.9000000000000005E-2</v>
      </c>
      <c r="AU73">
        <v>0.44500000000000001</v>
      </c>
    </row>
    <row r="74" spans="1:47" x14ac:dyDescent="0.25">
      <c r="A74" s="42">
        <v>45426</v>
      </c>
      <c r="B74">
        <v>45.6</v>
      </c>
      <c r="F74">
        <v>85</v>
      </c>
      <c r="J74" t="s">
        <v>130</v>
      </c>
      <c r="N74" t="s">
        <v>131</v>
      </c>
      <c r="V74">
        <v>0.30599999999999999</v>
      </c>
      <c r="Z74">
        <v>8.0300000000000007E-3</v>
      </c>
      <c r="AD74">
        <v>3.47</v>
      </c>
      <c r="AH74">
        <v>4.1099999999999998E-2</v>
      </c>
      <c r="AK74" s="42">
        <v>45426</v>
      </c>
      <c r="AL74">
        <v>3.47</v>
      </c>
      <c r="AO74">
        <v>6.29</v>
      </c>
      <c r="AR74">
        <v>0.127</v>
      </c>
      <c r="AU74">
        <v>0.52800000000000002</v>
      </c>
    </row>
    <row r="75" spans="1:47" x14ac:dyDescent="0.25">
      <c r="A75" s="42">
        <v>45475</v>
      </c>
      <c r="B75">
        <v>51.5</v>
      </c>
      <c r="F75">
        <v>93</v>
      </c>
      <c r="J75">
        <v>0.59</v>
      </c>
      <c r="N75" t="s">
        <v>131</v>
      </c>
      <c r="V75">
        <v>0.112</v>
      </c>
      <c r="Z75">
        <v>5.3299999999999997E-3</v>
      </c>
      <c r="AD75">
        <v>1.62</v>
      </c>
      <c r="AH75">
        <v>3.9E-2</v>
      </c>
      <c r="AK75" s="42">
        <v>45475</v>
      </c>
      <c r="AL75">
        <v>1.62</v>
      </c>
      <c r="AO75">
        <v>8.2100000000000009</v>
      </c>
      <c r="AR75">
        <v>9.2499999999999999E-2</v>
      </c>
      <c r="AU75">
        <v>0.64600000000000002</v>
      </c>
    </row>
    <row r="76" spans="1:47" x14ac:dyDescent="0.25">
      <c r="A76" s="42">
        <v>45525</v>
      </c>
      <c r="B76">
        <v>52.2</v>
      </c>
      <c r="F76">
        <v>1200</v>
      </c>
      <c r="J76">
        <v>8.3000000000000007</v>
      </c>
      <c r="N76" t="s">
        <v>131</v>
      </c>
      <c r="V76">
        <v>0.11899999999999999</v>
      </c>
      <c r="Z76">
        <v>6.6699999999999997E-3</v>
      </c>
      <c r="AD76">
        <v>2.39</v>
      </c>
      <c r="AH76">
        <v>3.4599999999999999E-2</v>
      </c>
      <c r="AK76" s="42">
        <v>45525</v>
      </c>
      <c r="AL76">
        <v>2.39</v>
      </c>
      <c r="AO76">
        <v>7.58</v>
      </c>
      <c r="AR76">
        <v>0.14599999999999999</v>
      </c>
      <c r="AU76" t="s">
        <v>143</v>
      </c>
    </row>
    <row r="77" spans="1:47" x14ac:dyDescent="0.25">
      <c r="A77" s="42">
        <v>45559</v>
      </c>
      <c r="F77">
        <v>91.1</v>
      </c>
      <c r="J77" t="s">
        <v>129</v>
      </c>
      <c r="N77" t="s">
        <v>131</v>
      </c>
      <c r="AK77" s="42">
        <v>45559</v>
      </c>
    </row>
    <row r="78" spans="1:47" x14ac:dyDescent="0.25">
      <c r="A78" s="42">
        <v>45594</v>
      </c>
      <c r="B78">
        <v>53.3</v>
      </c>
      <c r="F78">
        <v>98</v>
      </c>
      <c r="J78">
        <v>0.5</v>
      </c>
      <c r="N78" t="s">
        <v>131</v>
      </c>
      <c r="V78">
        <v>0.114</v>
      </c>
      <c r="Z78">
        <v>8.1799999999999998E-3</v>
      </c>
      <c r="AD78">
        <v>2</v>
      </c>
      <c r="AH78">
        <v>0.03</v>
      </c>
      <c r="AK78" s="42">
        <v>45594</v>
      </c>
      <c r="AL78">
        <v>2</v>
      </c>
      <c r="AO78">
        <v>7.86</v>
      </c>
      <c r="AR78">
        <v>0.106</v>
      </c>
      <c r="AU78" t="s">
        <v>143</v>
      </c>
    </row>
    <row r="79" spans="1:47" x14ac:dyDescent="0.25">
      <c r="A79" s="42"/>
      <c r="F79">
        <v>93</v>
      </c>
      <c r="J79" t="s">
        <v>130</v>
      </c>
      <c r="N79" t="s">
        <v>131</v>
      </c>
      <c r="AK79" s="42"/>
    </row>
    <row r="80" spans="1:47" x14ac:dyDescent="0.25">
      <c r="A80" s="42"/>
      <c r="F80">
        <v>93</v>
      </c>
      <c r="J80">
        <v>0.75</v>
      </c>
      <c r="N80" t="s">
        <v>131</v>
      </c>
      <c r="AK80" s="42"/>
    </row>
    <row r="81" spans="1:37" x14ac:dyDescent="0.25">
      <c r="A81" s="42"/>
      <c r="F81">
        <v>1400</v>
      </c>
      <c r="J81">
        <v>9.8000000000000007</v>
      </c>
      <c r="N81">
        <v>0.14000000000000001</v>
      </c>
      <c r="AK81" s="42"/>
    </row>
    <row r="82" spans="1:37" x14ac:dyDescent="0.25">
      <c r="A82" s="42">
        <v>45762</v>
      </c>
      <c r="N82" t="s">
        <v>131</v>
      </c>
      <c r="AK82" s="42">
        <v>45762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2A6D-7FAA-451D-B454-AEF964E2F218}">
  <dimension ref="A1:R20"/>
  <sheetViews>
    <sheetView tabSelected="1" workbookViewId="0">
      <selection activeCell="V17" sqref="V17"/>
    </sheetView>
  </sheetViews>
  <sheetFormatPr defaultRowHeight="15" x14ac:dyDescent="0.25"/>
  <sheetData>
    <row r="1" spans="1:18" x14ac:dyDescent="0.25">
      <c r="A1" t="s">
        <v>253</v>
      </c>
      <c r="B1" t="s">
        <v>254</v>
      </c>
      <c r="C1" t="s">
        <v>255</v>
      </c>
      <c r="D1" t="s">
        <v>256</v>
      </c>
      <c r="E1" t="s">
        <v>43</v>
      </c>
      <c r="F1" t="s">
        <v>41</v>
      </c>
      <c r="G1" t="s">
        <v>257</v>
      </c>
      <c r="H1" t="s">
        <v>37</v>
      </c>
      <c r="I1" t="s">
        <v>36</v>
      </c>
      <c r="J1" t="s">
        <v>31</v>
      </c>
      <c r="K1" t="s">
        <v>30</v>
      </c>
      <c r="L1" t="s">
        <v>51</v>
      </c>
      <c r="M1" t="s">
        <v>52</v>
      </c>
      <c r="N1" t="s">
        <v>56</v>
      </c>
      <c r="O1" t="s">
        <v>60</v>
      </c>
      <c r="P1" t="s">
        <v>235</v>
      </c>
      <c r="Q1" t="s">
        <v>237</v>
      </c>
      <c r="R1" t="s">
        <v>258</v>
      </c>
    </row>
    <row r="2" spans="1:18" x14ac:dyDescent="0.25">
      <c r="A2">
        <v>2016</v>
      </c>
      <c r="B2" t="s">
        <v>259</v>
      </c>
      <c r="C2" t="s">
        <v>260</v>
      </c>
      <c r="D2">
        <v>3</v>
      </c>
      <c r="E2">
        <v>196.66666666666671</v>
      </c>
      <c r="F2">
        <v>152.33333333333329</v>
      </c>
      <c r="G2">
        <v>498.66666666666669</v>
      </c>
      <c r="H2">
        <v>10.596666666666669</v>
      </c>
      <c r="I2">
        <v>0.1791666666666667</v>
      </c>
      <c r="J2">
        <v>0.38300000000000001</v>
      </c>
      <c r="K2">
        <v>0.27066666666666672</v>
      </c>
      <c r="L2">
        <v>4.8933333333333329E-2</v>
      </c>
      <c r="M2">
        <v>2.14</v>
      </c>
      <c r="N2">
        <v>1.111</v>
      </c>
      <c r="O2">
        <v>1.9396666666666671</v>
      </c>
      <c r="P2">
        <v>12.47</v>
      </c>
      <c r="Q2">
        <v>12.65</v>
      </c>
      <c r="R2">
        <v>1.0800000000000001E-2</v>
      </c>
    </row>
    <row r="3" spans="1:18" x14ac:dyDescent="0.25">
      <c r="A3">
        <v>2016.5</v>
      </c>
      <c r="B3" t="s">
        <v>261</v>
      </c>
      <c r="C3" t="s">
        <v>262</v>
      </c>
      <c r="D3">
        <v>5</v>
      </c>
      <c r="E3">
        <v>111</v>
      </c>
      <c r="F3">
        <v>87.97999999999999</v>
      </c>
      <c r="G3">
        <v>305.8</v>
      </c>
      <c r="H3">
        <v>3.6280000000000001</v>
      </c>
      <c r="I3">
        <v>2.9100000000000001E-2</v>
      </c>
      <c r="J3">
        <v>0.314</v>
      </c>
      <c r="K3">
        <v>0.13175999999999999</v>
      </c>
      <c r="L3">
        <v>5.416E-2</v>
      </c>
      <c r="M3">
        <v>3.024</v>
      </c>
      <c r="N3">
        <v>0.63040000000000007</v>
      </c>
      <c r="O3">
        <v>2.1848000000000001</v>
      </c>
      <c r="P3">
        <v>11.58</v>
      </c>
      <c r="Q3">
        <v>4.51</v>
      </c>
      <c r="R3">
        <v>2.5000000000000001E-3</v>
      </c>
    </row>
    <row r="4" spans="1:18" x14ac:dyDescent="0.25">
      <c r="A4">
        <v>2017</v>
      </c>
      <c r="B4" t="s">
        <v>259</v>
      </c>
      <c r="C4" t="s">
        <v>263</v>
      </c>
      <c r="D4">
        <v>6</v>
      </c>
      <c r="E4">
        <v>187.16666666666671</v>
      </c>
      <c r="F4">
        <v>115.05</v>
      </c>
      <c r="G4">
        <v>438.83333333333331</v>
      </c>
      <c r="H4">
        <v>8.9633333333333329</v>
      </c>
      <c r="I4">
        <v>0.10174999999999999</v>
      </c>
      <c r="J4">
        <v>0.39116666666666672</v>
      </c>
      <c r="K4">
        <v>0.3793333333333333</v>
      </c>
      <c r="L4">
        <v>0.12385</v>
      </c>
      <c r="M4">
        <v>2.8666666666666671</v>
      </c>
      <c r="N4">
        <v>1.0269999999999999</v>
      </c>
      <c r="O4">
        <v>1.668333333333333</v>
      </c>
      <c r="P4">
        <v>13.52</v>
      </c>
      <c r="Q4">
        <v>9.5399999999999991</v>
      </c>
      <c r="R4">
        <v>5.4000000000000003E-3</v>
      </c>
    </row>
    <row r="5" spans="1:18" x14ac:dyDescent="0.25">
      <c r="A5">
        <v>2017.5</v>
      </c>
      <c r="B5" t="s">
        <v>261</v>
      </c>
      <c r="C5" t="s">
        <v>264</v>
      </c>
      <c r="D5">
        <v>3</v>
      </c>
      <c r="E5">
        <v>174.33333333333329</v>
      </c>
      <c r="F5">
        <v>104.1333333333333</v>
      </c>
      <c r="G5">
        <v>469.66666666666669</v>
      </c>
      <c r="H5">
        <v>5.126666666666666</v>
      </c>
      <c r="I5">
        <v>2.183333333333333E-2</v>
      </c>
      <c r="J5">
        <v>0.34266666666666667</v>
      </c>
      <c r="K5">
        <v>0.40233333333333338</v>
      </c>
      <c r="L5">
        <v>3.9966666666666671E-2</v>
      </c>
      <c r="M5">
        <v>2.46</v>
      </c>
      <c r="N5">
        <v>0.87733333333333341</v>
      </c>
      <c r="O5">
        <v>2.0066666666666659</v>
      </c>
      <c r="P5">
        <v>16.100000000000001</v>
      </c>
      <c r="Q5">
        <v>3.77</v>
      </c>
      <c r="R5">
        <v>2.5000000000000001E-3</v>
      </c>
    </row>
    <row r="6" spans="1:18" x14ac:dyDescent="0.25">
      <c r="A6">
        <v>2018</v>
      </c>
      <c r="B6" t="s">
        <v>259</v>
      </c>
      <c r="C6" t="s">
        <v>265</v>
      </c>
      <c r="D6">
        <v>5</v>
      </c>
      <c r="E6">
        <v>249.4</v>
      </c>
      <c r="F6">
        <v>139.4</v>
      </c>
      <c r="G6">
        <v>597.6</v>
      </c>
      <c r="H6">
        <v>10.686</v>
      </c>
      <c r="I6">
        <v>0.1515</v>
      </c>
      <c r="J6">
        <v>0.4622</v>
      </c>
      <c r="K6">
        <v>0.48920000000000002</v>
      </c>
      <c r="L6">
        <v>8.2519999999999996E-2</v>
      </c>
      <c r="M6">
        <v>1.9239999999999999</v>
      </c>
      <c r="N6">
        <v>1.0591999999999999</v>
      </c>
      <c r="O6">
        <v>4.6740000000000004</v>
      </c>
      <c r="P6">
        <v>16.3</v>
      </c>
      <c r="Q6">
        <v>16.010000000000002</v>
      </c>
      <c r="R6">
        <v>1.12E-2</v>
      </c>
    </row>
    <row r="7" spans="1:18" x14ac:dyDescent="0.25">
      <c r="A7">
        <v>2018.5</v>
      </c>
      <c r="B7" t="s">
        <v>261</v>
      </c>
      <c r="C7" t="s">
        <v>266</v>
      </c>
      <c r="D7">
        <v>3</v>
      </c>
      <c r="E7">
        <v>276</v>
      </c>
      <c r="F7">
        <v>125.76666666666669</v>
      </c>
      <c r="G7">
        <v>715.33333333333337</v>
      </c>
      <c r="H7">
        <v>6.5066666666666668</v>
      </c>
      <c r="I7">
        <v>1.1333333333333331E-2</v>
      </c>
      <c r="J7">
        <v>0.39500000000000002</v>
      </c>
      <c r="K7">
        <v>0.23266666666666669</v>
      </c>
      <c r="L7">
        <v>9.6233333333333337E-2</v>
      </c>
      <c r="M7">
        <v>2.333333333333333</v>
      </c>
      <c r="N7">
        <v>0.63200000000000001</v>
      </c>
      <c r="O7">
        <v>2.44</v>
      </c>
      <c r="P7">
        <v>19</v>
      </c>
      <c r="Q7">
        <v>2.98</v>
      </c>
      <c r="R7">
        <v>2.5000000000000001E-3</v>
      </c>
    </row>
    <row r="8" spans="1:18" x14ac:dyDescent="0.25">
      <c r="A8">
        <v>2019</v>
      </c>
      <c r="B8" t="s">
        <v>259</v>
      </c>
      <c r="C8" t="s">
        <v>267</v>
      </c>
      <c r="D8">
        <v>4</v>
      </c>
      <c r="E8">
        <v>226.75</v>
      </c>
      <c r="F8">
        <v>98.610749999999996</v>
      </c>
      <c r="G8">
        <v>588.02340000000004</v>
      </c>
      <c r="H8">
        <v>5.9880000000000004</v>
      </c>
      <c r="I8">
        <v>7.6499999999999999E-2</v>
      </c>
      <c r="J8">
        <v>0.218</v>
      </c>
      <c r="K8">
        <v>0.47175</v>
      </c>
      <c r="L8">
        <v>5.11E-2</v>
      </c>
      <c r="M8">
        <v>3.1575000000000002</v>
      </c>
      <c r="N8">
        <v>1.18025</v>
      </c>
      <c r="O8">
        <v>12.487500000000001</v>
      </c>
      <c r="P8">
        <v>11.03</v>
      </c>
      <c r="Q8">
        <v>4.75</v>
      </c>
      <c r="R8">
        <v>5.0000000000000001E-3</v>
      </c>
    </row>
    <row r="9" spans="1:18" x14ac:dyDescent="0.25">
      <c r="A9">
        <v>2019.5</v>
      </c>
      <c r="B9" t="s">
        <v>261</v>
      </c>
      <c r="C9" t="s">
        <v>268</v>
      </c>
      <c r="D9">
        <v>2</v>
      </c>
      <c r="E9">
        <v>335</v>
      </c>
      <c r="F9">
        <v>130</v>
      </c>
      <c r="G9">
        <v>853.66666666666663</v>
      </c>
      <c r="H9">
        <v>5.3966666666666674</v>
      </c>
      <c r="I9">
        <v>3.4000000000000002E-2</v>
      </c>
      <c r="J9">
        <v>0.46600000000000003</v>
      </c>
      <c r="K9">
        <v>0.23449999999999999</v>
      </c>
      <c r="L9">
        <v>8.8999999999999996E-2</v>
      </c>
      <c r="M9">
        <v>2.625</v>
      </c>
      <c r="N9">
        <v>0.90449999999999997</v>
      </c>
      <c r="O9">
        <v>3.6949999999999998</v>
      </c>
      <c r="P9">
        <v>16.5</v>
      </c>
      <c r="Q9">
        <v>3.8</v>
      </c>
      <c r="R9">
        <v>5.0000000000000001E-3</v>
      </c>
    </row>
    <row r="10" spans="1:18" x14ac:dyDescent="0.25">
      <c r="A10">
        <v>2020</v>
      </c>
      <c r="B10" t="s">
        <v>259</v>
      </c>
      <c r="C10" t="s">
        <v>269</v>
      </c>
      <c r="D10">
        <v>6</v>
      </c>
      <c r="E10">
        <v>450.83333333333331</v>
      </c>
      <c r="F10">
        <v>178.5</v>
      </c>
      <c r="G10">
        <v>1152.166666666667</v>
      </c>
      <c r="H10">
        <v>9.0083333333333329</v>
      </c>
      <c r="I10">
        <v>9.1666666666666674E-2</v>
      </c>
      <c r="J10">
        <v>0.33833333333333332</v>
      </c>
      <c r="K10">
        <v>0.39616666666666661</v>
      </c>
      <c r="L10">
        <v>8.7616666666666662E-2</v>
      </c>
      <c r="M10">
        <v>1.9733333333333329</v>
      </c>
      <c r="N10">
        <v>1.4616666666666669</v>
      </c>
      <c r="O10">
        <v>7.4933333333333332</v>
      </c>
      <c r="P10">
        <v>18.329999999999998</v>
      </c>
      <c r="Q10">
        <v>10.5</v>
      </c>
      <c r="R10">
        <v>1.41E-2</v>
      </c>
    </row>
    <row r="11" spans="1:18" x14ac:dyDescent="0.25">
      <c r="A11">
        <v>2020.5</v>
      </c>
      <c r="B11" t="s">
        <v>261</v>
      </c>
      <c r="C11" t="s">
        <v>270</v>
      </c>
      <c r="D11">
        <v>5</v>
      </c>
      <c r="E11">
        <v>270</v>
      </c>
      <c r="F11">
        <v>112.66</v>
      </c>
      <c r="G11">
        <v>707.6</v>
      </c>
      <c r="H11">
        <v>4.9800000000000004</v>
      </c>
      <c r="I11">
        <v>1.77E-2</v>
      </c>
      <c r="J11">
        <v>0.26719999999999999</v>
      </c>
      <c r="K11">
        <v>0.32400000000000001</v>
      </c>
      <c r="L11">
        <v>7.2599999999999998E-2</v>
      </c>
      <c r="M11">
        <v>2.3079999999999998</v>
      </c>
      <c r="N11">
        <v>0.9718</v>
      </c>
      <c r="O11">
        <v>2.3260000000000001</v>
      </c>
      <c r="P11">
        <v>15.02</v>
      </c>
      <c r="Q11">
        <v>2.42</v>
      </c>
      <c r="R11">
        <v>3.0000000000000001E-3</v>
      </c>
    </row>
    <row r="12" spans="1:18" x14ac:dyDescent="0.25">
      <c r="A12">
        <v>2021</v>
      </c>
      <c r="B12" t="s">
        <v>259</v>
      </c>
      <c r="C12" t="s">
        <v>271</v>
      </c>
      <c r="D12">
        <v>4</v>
      </c>
      <c r="E12">
        <v>360.75</v>
      </c>
      <c r="F12">
        <v>150.25</v>
      </c>
      <c r="G12">
        <v>968</v>
      </c>
      <c r="H12">
        <v>7.1449999999999996</v>
      </c>
      <c r="I12">
        <v>7.775E-2</v>
      </c>
      <c r="J12">
        <v>0.379</v>
      </c>
      <c r="K12">
        <v>0.36675000000000002</v>
      </c>
      <c r="L12">
        <v>6.8574999999999997E-2</v>
      </c>
      <c r="M12">
        <v>1.9524999999999999</v>
      </c>
      <c r="N12">
        <v>1.4624999999999999</v>
      </c>
      <c r="O12">
        <v>1.61375</v>
      </c>
      <c r="P12">
        <v>18.899999999999999</v>
      </c>
      <c r="Q12">
        <v>11.45</v>
      </c>
      <c r="R12">
        <v>8.2000000000000007E-3</v>
      </c>
    </row>
    <row r="13" spans="1:18" x14ac:dyDescent="0.25">
      <c r="A13">
        <v>2021.5</v>
      </c>
      <c r="B13" t="s">
        <v>261</v>
      </c>
      <c r="C13" t="s">
        <v>272</v>
      </c>
      <c r="D13">
        <v>4</v>
      </c>
      <c r="E13">
        <v>384.75</v>
      </c>
      <c r="F13">
        <v>112.25</v>
      </c>
      <c r="G13">
        <v>823</v>
      </c>
      <c r="H13">
        <v>4.2125000000000004</v>
      </c>
      <c r="I13">
        <v>3.6999999999999998E-2</v>
      </c>
      <c r="J13">
        <v>0.33950000000000002</v>
      </c>
      <c r="K13">
        <v>0.27750000000000002</v>
      </c>
      <c r="L13">
        <v>7.6124999999999998E-2</v>
      </c>
      <c r="M13">
        <v>1.8125</v>
      </c>
      <c r="N13">
        <v>0.96250000000000002</v>
      </c>
      <c r="O13">
        <v>0.86950000000000005</v>
      </c>
      <c r="P13">
        <v>14.65</v>
      </c>
      <c r="Q13">
        <v>3.11</v>
      </c>
      <c r="R13">
        <v>3.5000000000000001E-3</v>
      </c>
    </row>
    <row r="14" spans="1:18" x14ac:dyDescent="0.25">
      <c r="A14">
        <v>2022</v>
      </c>
      <c r="B14" t="s">
        <v>259</v>
      </c>
      <c r="C14" t="s">
        <v>273</v>
      </c>
      <c r="D14">
        <v>2</v>
      </c>
      <c r="E14">
        <v>320</v>
      </c>
      <c r="F14">
        <v>105</v>
      </c>
      <c r="G14">
        <v>762.5</v>
      </c>
      <c r="H14">
        <v>4.34</v>
      </c>
      <c r="I14">
        <v>0.11</v>
      </c>
      <c r="J14">
        <v>0.24149999999999999</v>
      </c>
      <c r="K14">
        <v>0.51700000000000002</v>
      </c>
      <c r="L14">
        <v>5.74E-2</v>
      </c>
      <c r="M14">
        <v>2.46</v>
      </c>
      <c r="N14">
        <v>1.395</v>
      </c>
      <c r="O14">
        <v>1.1194999999999999</v>
      </c>
      <c r="P14">
        <v>12.4</v>
      </c>
      <c r="Q14">
        <v>9.1</v>
      </c>
      <c r="R14">
        <v>8.6E-3</v>
      </c>
    </row>
    <row r="15" spans="1:18" x14ac:dyDescent="0.25">
      <c r="A15">
        <v>2022.5</v>
      </c>
      <c r="B15" t="s">
        <v>261</v>
      </c>
      <c r="C15" t="s">
        <v>274</v>
      </c>
      <c r="D15">
        <v>3</v>
      </c>
      <c r="E15">
        <v>354</v>
      </c>
      <c r="F15">
        <v>129</v>
      </c>
      <c r="G15">
        <v>1096</v>
      </c>
      <c r="H15">
        <v>5.17</v>
      </c>
      <c r="I15">
        <v>9.1666666666666667E-3</v>
      </c>
      <c r="J15">
        <v>0.29599999999999999</v>
      </c>
      <c r="K15">
        <v>0.36533333333333329</v>
      </c>
      <c r="L15">
        <v>4.0333333333333332E-2</v>
      </c>
      <c r="M15">
        <v>1.726666666666667</v>
      </c>
      <c r="N15">
        <v>0.8876666666666666</v>
      </c>
      <c r="O15">
        <v>0.14933333333333329</v>
      </c>
      <c r="P15">
        <v>14.37</v>
      </c>
      <c r="Q15">
        <v>2.67</v>
      </c>
      <c r="R15">
        <v>5.1999999999999998E-3</v>
      </c>
    </row>
    <row r="16" spans="1:18" x14ac:dyDescent="0.25">
      <c r="A16">
        <v>2023</v>
      </c>
      <c r="B16" t="s">
        <v>259</v>
      </c>
      <c r="C16" t="s">
        <v>275</v>
      </c>
      <c r="D16">
        <v>3</v>
      </c>
      <c r="E16">
        <v>398.33333333333331</v>
      </c>
      <c r="F16">
        <v>151</v>
      </c>
      <c r="G16">
        <v>1100</v>
      </c>
      <c r="H16">
        <v>9.01</v>
      </c>
      <c r="I16">
        <v>7.7333333333333323E-2</v>
      </c>
      <c r="J16">
        <v>0.32033333333333341</v>
      </c>
      <c r="K16">
        <v>0.40899999999999997</v>
      </c>
      <c r="L16">
        <v>5.7266666666666667E-2</v>
      </c>
      <c r="M16">
        <v>1.7666666666666671</v>
      </c>
      <c r="N16">
        <v>1.4013333333333331</v>
      </c>
      <c r="O16">
        <v>0.68299999999999994</v>
      </c>
      <c r="P16">
        <v>14.17</v>
      </c>
      <c r="Q16">
        <v>13.57</v>
      </c>
      <c r="R16">
        <v>6.4999999999999997E-3</v>
      </c>
    </row>
    <row r="17" spans="1:18" x14ac:dyDescent="0.25">
      <c r="A17">
        <v>2023.5</v>
      </c>
      <c r="B17" t="s">
        <v>261</v>
      </c>
      <c r="C17" t="s">
        <v>276</v>
      </c>
      <c r="D17">
        <v>6</v>
      </c>
      <c r="E17">
        <v>310.66666666666669</v>
      </c>
      <c r="F17">
        <v>122.3333333333333</v>
      </c>
      <c r="G17">
        <v>869.5</v>
      </c>
      <c r="H17">
        <v>4.0483333333333329</v>
      </c>
      <c r="I17">
        <v>4.0333333333333332E-2</v>
      </c>
      <c r="J17">
        <v>0.313</v>
      </c>
      <c r="K17">
        <v>0.33833333333333337</v>
      </c>
      <c r="L17">
        <v>6.2649999999999997E-2</v>
      </c>
      <c r="M17">
        <v>1.821666666666667</v>
      </c>
      <c r="N17">
        <v>0.97016666666666662</v>
      </c>
      <c r="O17">
        <v>2.1856666666666671</v>
      </c>
      <c r="P17">
        <v>14.98</v>
      </c>
      <c r="Q17">
        <v>3.78</v>
      </c>
      <c r="R17">
        <v>5.7999999999999996E-3</v>
      </c>
    </row>
    <row r="18" spans="1:18" x14ac:dyDescent="0.25">
      <c r="A18">
        <v>2024</v>
      </c>
      <c r="B18" t="s">
        <v>259</v>
      </c>
      <c r="C18" t="s">
        <v>277</v>
      </c>
      <c r="D18">
        <v>4</v>
      </c>
      <c r="E18">
        <v>345</v>
      </c>
      <c r="F18">
        <v>97.774999999999991</v>
      </c>
      <c r="G18">
        <v>593.5333333333333</v>
      </c>
      <c r="H18">
        <v>5.25</v>
      </c>
      <c r="I18">
        <v>6.25E-2</v>
      </c>
      <c r="J18">
        <v>0.25</v>
      </c>
      <c r="K18">
        <v>0.39350000000000002</v>
      </c>
      <c r="L18">
        <v>6.2050000000000001E-2</v>
      </c>
      <c r="M18">
        <v>2.09</v>
      </c>
      <c r="N18">
        <v>1.3149999999999999</v>
      </c>
      <c r="O18">
        <v>2.2509999999999999</v>
      </c>
      <c r="P18">
        <v>14.88</v>
      </c>
      <c r="Q18">
        <v>7.46</v>
      </c>
      <c r="R18">
        <v>4.8999999999999998E-3</v>
      </c>
    </row>
    <row r="19" spans="1:18" x14ac:dyDescent="0.25">
      <c r="A19">
        <v>2024.5</v>
      </c>
      <c r="B19" t="s">
        <v>261</v>
      </c>
      <c r="C19" t="s">
        <v>278</v>
      </c>
      <c r="D19">
        <v>4</v>
      </c>
      <c r="E19">
        <v>251.25</v>
      </c>
      <c r="F19">
        <v>118</v>
      </c>
      <c r="G19">
        <v>683</v>
      </c>
      <c r="H19">
        <v>3.335</v>
      </c>
      <c r="I19">
        <v>1.2E-2</v>
      </c>
      <c r="J19">
        <v>0.30625000000000002</v>
      </c>
      <c r="K19">
        <v>0.15855</v>
      </c>
      <c r="L19">
        <v>4.6375E-2</v>
      </c>
      <c r="M19">
        <v>2.1524999999999999</v>
      </c>
      <c r="N19">
        <v>0.86475000000000002</v>
      </c>
      <c r="O19">
        <v>1.94675</v>
      </c>
      <c r="P19">
        <v>12.65</v>
      </c>
      <c r="Q19">
        <v>3.29</v>
      </c>
      <c r="R19">
        <v>2.5000000000000001E-3</v>
      </c>
    </row>
    <row r="20" spans="1:18" x14ac:dyDescent="0.25">
      <c r="A20">
        <v>2025</v>
      </c>
      <c r="B20" t="s">
        <v>259</v>
      </c>
      <c r="C20" t="s">
        <v>279</v>
      </c>
      <c r="D20">
        <v>3</v>
      </c>
      <c r="E20">
        <v>270</v>
      </c>
      <c r="F20">
        <v>99.566666666666663</v>
      </c>
      <c r="G20">
        <v>724.66666666666663</v>
      </c>
      <c r="H20">
        <v>4.7133333333333338</v>
      </c>
      <c r="I20">
        <v>4.0625000000000001E-2</v>
      </c>
      <c r="J20">
        <v>0.18533333333333329</v>
      </c>
      <c r="K20">
        <v>0.50866666666666671</v>
      </c>
      <c r="L20">
        <v>3.6966666666666669E-2</v>
      </c>
      <c r="M20">
        <v>1.99</v>
      </c>
      <c r="N20">
        <v>1.283333333333333</v>
      </c>
      <c r="O20">
        <v>1.2210000000000001</v>
      </c>
      <c r="P20">
        <v>10.15</v>
      </c>
      <c r="Q20">
        <v>6.3</v>
      </c>
      <c r="R20">
        <v>5.8999999999999999E-3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2D8F-CA54-446D-B56D-C9AC2B1C8277}">
  <dimension ref="A1:K47"/>
  <sheetViews>
    <sheetView topLeftCell="A6" workbookViewId="0">
      <selection activeCell="Q27" sqref="Q27"/>
    </sheetView>
  </sheetViews>
  <sheetFormatPr defaultRowHeight="15" x14ac:dyDescent="0.25"/>
  <cols>
    <col min="1" max="1" width="44.7109375" customWidth="1"/>
    <col min="2" max="11" width="11.7109375" customWidth="1"/>
  </cols>
  <sheetData>
    <row r="1" spans="1:11" ht="18.75" x14ac:dyDescent="0.25">
      <c r="A1" s="61" t="s">
        <v>146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1" x14ac:dyDescent="0.25">
      <c r="A3" s="51" t="s">
        <v>201</v>
      </c>
      <c r="B3" s="51" t="s">
        <v>148</v>
      </c>
      <c r="C3" s="51" t="s">
        <v>149</v>
      </c>
      <c r="D3" s="51" t="s">
        <v>150</v>
      </c>
      <c r="E3" s="51" t="s">
        <v>151</v>
      </c>
      <c r="F3" s="51" t="s">
        <v>152</v>
      </c>
      <c r="G3" s="51" t="s">
        <v>153</v>
      </c>
      <c r="H3" s="51" t="s">
        <v>154</v>
      </c>
      <c r="I3" s="51" t="s">
        <v>155</v>
      </c>
      <c r="J3" s="51" t="s">
        <v>156</v>
      </c>
      <c r="K3" s="51" t="s">
        <v>157</v>
      </c>
    </row>
    <row r="4" spans="1:11" x14ac:dyDescent="0.25">
      <c r="A4" s="52" t="s">
        <v>158</v>
      </c>
      <c r="B4" s="53">
        <v>20.5625</v>
      </c>
      <c r="C4" s="53">
        <v>21.7</v>
      </c>
      <c r="D4" s="53">
        <v>22.4375</v>
      </c>
      <c r="E4" s="53">
        <v>21.15</v>
      </c>
      <c r="F4" s="53">
        <v>14.69</v>
      </c>
      <c r="G4" s="53">
        <v>4.2857000000000003</v>
      </c>
      <c r="H4" s="53">
        <v>8.4332999999999991</v>
      </c>
      <c r="I4" s="53">
        <v>12.85</v>
      </c>
      <c r="J4" s="53">
        <v>5.7</v>
      </c>
      <c r="K4" s="53">
        <v>2.75</v>
      </c>
    </row>
    <row r="5" spans="1:11" x14ac:dyDescent="0.25">
      <c r="A5" s="52" t="s">
        <v>159</v>
      </c>
      <c r="B5" s="53">
        <v>8.1999999999999993</v>
      </c>
      <c r="C5" s="53">
        <v>8.2125000000000004</v>
      </c>
      <c r="D5" s="53">
        <v>8.1999999999999993</v>
      </c>
      <c r="E5" s="53">
        <v>7.9832999999999998</v>
      </c>
      <c r="F5" s="53">
        <v>8.1273</v>
      </c>
      <c r="G5" s="53">
        <v>8.1570999999999998</v>
      </c>
      <c r="H5" s="53">
        <v>8.1999999999999993</v>
      </c>
      <c r="I5" s="53">
        <v>7.99</v>
      </c>
      <c r="J5" s="53">
        <v>8.1</v>
      </c>
      <c r="K5" s="53">
        <v>8.15</v>
      </c>
    </row>
    <row r="6" spans="1:11" x14ac:dyDescent="0.25">
      <c r="A6" s="52" t="s">
        <v>160</v>
      </c>
      <c r="B6" s="53">
        <v>7.0444000000000004</v>
      </c>
      <c r="C6" s="53">
        <v>4.7713999999999999</v>
      </c>
      <c r="D6" s="53">
        <v>5.4874999999999998</v>
      </c>
      <c r="E6" s="53">
        <v>4.4142999999999999</v>
      </c>
      <c r="F6" s="53">
        <v>7.95</v>
      </c>
      <c r="G6" s="53">
        <v>19.883299999999998</v>
      </c>
      <c r="H6" s="53">
        <v>21.133299999999998</v>
      </c>
      <c r="I6" s="53">
        <v>15.0571</v>
      </c>
      <c r="J6" s="53">
        <v>20.262499999999999</v>
      </c>
      <c r="K6" s="53">
        <v>21.35</v>
      </c>
    </row>
    <row r="7" spans="1:11" x14ac:dyDescent="0.25">
      <c r="A7" s="52" t="s">
        <v>161</v>
      </c>
      <c r="B7" s="53">
        <v>2.0985</v>
      </c>
      <c r="C7" s="53">
        <v>2.1749999999999998</v>
      </c>
      <c r="D7" s="53">
        <v>2.5750000000000002</v>
      </c>
      <c r="E7" s="53">
        <v>2.6421000000000001</v>
      </c>
      <c r="F7" s="53">
        <v>2.456</v>
      </c>
      <c r="G7" s="53">
        <v>2.4485000000000001</v>
      </c>
      <c r="H7" s="53">
        <v>2.3005</v>
      </c>
      <c r="I7" s="54" t="s">
        <v>162</v>
      </c>
      <c r="J7" s="54" t="s">
        <v>162</v>
      </c>
      <c r="K7" s="54" t="s">
        <v>162</v>
      </c>
    </row>
    <row r="8" spans="1:11" x14ac:dyDescent="0.25">
      <c r="A8" s="52" t="s">
        <v>163</v>
      </c>
      <c r="B8" s="54" t="s">
        <v>162</v>
      </c>
      <c r="C8" s="53">
        <v>137.25</v>
      </c>
      <c r="D8" s="53">
        <v>157.07499999999999</v>
      </c>
      <c r="E8" s="53">
        <v>161.68</v>
      </c>
      <c r="F8" s="53">
        <v>149.81819999999999</v>
      </c>
      <c r="G8" s="53">
        <v>147</v>
      </c>
      <c r="H8" s="53">
        <v>140.33330000000001</v>
      </c>
      <c r="I8" s="53">
        <v>144.62</v>
      </c>
      <c r="J8" s="53">
        <v>147.5</v>
      </c>
      <c r="K8" s="53">
        <v>190</v>
      </c>
    </row>
    <row r="9" spans="1:11" x14ac:dyDescent="0.25">
      <c r="A9" s="52" t="s">
        <v>164</v>
      </c>
      <c r="B9" s="53">
        <v>50.457099999999997</v>
      </c>
      <c r="C9" s="53">
        <v>53.112499999999997</v>
      </c>
      <c r="D9" s="53">
        <v>55.156199999999998</v>
      </c>
      <c r="E9" s="53">
        <v>61.183300000000003</v>
      </c>
      <c r="F9" s="53">
        <v>58.705500000000001</v>
      </c>
      <c r="G9" s="53">
        <v>112.3914</v>
      </c>
      <c r="H9" s="53">
        <v>61.996699999999997</v>
      </c>
      <c r="I9" s="53">
        <v>65.86</v>
      </c>
      <c r="J9" s="53">
        <v>64.162499999999994</v>
      </c>
      <c r="K9" s="53">
        <v>66.3</v>
      </c>
    </row>
    <row r="10" spans="1:11" x14ac:dyDescent="0.25">
      <c r="A10" s="52" t="s">
        <v>165</v>
      </c>
      <c r="B10" s="53">
        <v>10.1889</v>
      </c>
      <c r="C10" s="53">
        <v>11.125</v>
      </c>
      <c r="D10" s="53">
        <v>7.8875000000000002</v>
      </c>
      <c r="E10" s="53">
        <v>8.64</v>
      </c>
      <c r="F10" s="53">
        <v>16.8429</v>
      </c>
      <c r="G10" s="53">
        <v>93.1</v>
      </c>
      <c r="H10" s="53">
        <v>353</v>
      </c>
      <c r="I10" s="53">
        <v>22.787500000000001</v>
      </c>
      <c r="J10" s="53">
        <v>45.416699999999999</v>
      </c>
      <c r="K10" s="53">
        <v>17.5</v>
      </c>
    </row>
    <row r="11" spans="1:11" x14ac:dyDescent="0.25">
      <c r="A11" s="52" t="s">
        <v>166</v>
      </c>
      <c r="B11" s="53">
        <v>9.7332999999999998</v>
      </c>
      <c r="C11" s="53">
        <v>10.875</v>
      </c>
      <c r="D11" s="53">
        <v>6.5250000000000004</v>
      </c>
      <c r="E11" s="53">
        <v>7.76</v>
      </c>
      <c r="F11" s="53">
        <v>15.742900000000001</v>
      </c>
      <c r="G11" s="53">
        <v>7.84</v>
      </c>
      <c r="H11" s="53">
        <v>337.5</v>
      </c>
      <c r="I11" s="53">
        <v>21.5625</v>
      </c>
      <c r="J11" s="53">
        <v>42.4833</v>
      </c>
      <c r="K11" s="53">
        <v>16</v>
      </c>
    </row>
    <row r="12" spans="1:11" x14ac:dyDescent="0.25">
      <c r="A12" s="52" t="s">
        <v>167</v>
      </c>
      <c r="B12" s="53">
        <v>65.588899999999995</v>
      </c>
      <c r="C12" s="53">
        <v>69.924999999999997</v>
      </c>
      <c r="D12" s="53">
        <v>73.325000000000003</v>
      </c>
      <c r="E12" s="53">
        <v>80.1143</v>
      </c>
      <c r="F12" s="53">
        <v>79.445499999999996</v>
      </c>
      <c r="G12" s="53">
        <v>88.928600000000003</v>
      </c>
      <c r="H12" s="53">
        <v>78.2</v>
      </c>
      <c r="I12" s="53">
        <v>84.62</v>
      </c>
      <c r="J12" s="53">
        <v>81.585700000000003</v>
      </c>
      <c r="K12" s="53">
        <v>91.1</v>
      </c>
    </row>
    <row r="13" spans="1:11" x14ac:dyDescent="0.25">
      <c r="A13" s="52" t="s">
        <v>168</v>
      </c>
      <c r="B13" s="53">
        <v>7.0144000000000002</v>
      </c>
      <c r="C13" s="53">
        <v>7.1574999999999998</v>
      </c>
      <c r="D13" s="53">
        <v>7.5162000000000004</v>
      </c>
      <c r="E13" s="53">
        <v>7.1657000000000002</v>
      </c>
      <c r="F13" s="53">
        <v>7.2018000000000004</v>
      </c>
      <c r="G13" s="53">
        <v>7.9085999999999999</v>
      </c>
      <c r="H13" s="53">
        <v>7.6067</v>
      </c>
      <c r="I13" s="53">
        <v>7.4580000000000002</v>
      </c>
      <c r="J13" s="53">
        <v>7.1585999999999999</v>
      </c>
      <c r="K13" s="53">
        <v>7.24</v>
      </c>
    </row>
    <row r="14" spans="1:11" x14ac:dyDescent="0.25">
      <c r="A14" s="52" t="s">
        <v>169</v>
      </c>
      <c r="B14" s="53">
        <v>12.5</v>
      </c>
      <c r="C14" s="53">
        <v>13.1</v>
      </c>
      <c r="D14" s="53">
        <v>14</v>
      </c>
      <c r="E14" s="53">
        <v>12.0243</v>
      </c>
      <c r="F14" s="53">
        <v>12.08</v>
      </c>
      <c r="G14" s="53">
        <v>13.6286</v>
      </c>
      <c r="H14" s="53">
        <v>11.6433</v>
      </c>
      <c r="I14" s="53">
        <v>13.06</v>
      </c>
      <c r="J14" s="53">
        <v>13.3186</v>
      </c>
      <c r="K14" s="53">
        <v>14.6</v>
      </c>
    </row>
    <row r="15" spans="1:11" x14ac:dyDescent="0.25">
      <c r="A15" s="52" t="s">
        <v>170</v>
      </c>
      <c r="B15" s="53">
        <v>14.911099999999999</v>
      </c>
      <c r="C15" s="53">
        <v>16.850000000000001</v>
      </c>
      <c r="D15" s="53">
        <v>18.362500000000001</v>
      </c>
      <c r="E15" s="53">
        <v>20.8429</v>
      </c>
      <c r="F15" s="53">
        <v>18.7182</v>
      </c>
      <c r="G15" s="53">
        <v>20.014299999999999</v>
      </c>
      <c r="H15" s="53">
        <v>23.2333</v>
      </c>
      <c r="I15" s="53">
        <v>25.83</v>
      </c>
      <c r="J15" s="53">
        <v>21.428599999999999</v>
      </c>
      <c r="K15" s="53">
        <v>22.6</v>
      </c>
    </row>
    <row r="16" spans="1:11" x14ac:dyDescent="0.25">
      <c r="A16" s="52" t="s">
        <v>171</v>
      </c>
      <c r="B16" s="53">
        <v>4.7678000000000003</v>
      </c>
      <c r="C16" s="53">
        <v>5.3224999999999998</v>
      </c>
      <c r="D16" s="53">
        <v>5.8813000000000004</v>
      </c>
      <c r="E16" s="53">
        <v>5.2686000000000002</v>
      </c>
      <c r="F16" s="53">
        <v>5.1009000000000002</v>
      </c>
      <c r="G16" s="53">
        <v>5.3986000000000001</v>
      </c>
      <c r="H16" s="53">
        <v>4.78</v>
      </c>
      <c r="I16" s="53">
        <v>6.3070000000000004</v>
      </c>
      <c r="J16" s="53">
        <v>6.2957000000000001</v>
      </c>
      <c r="K16" s="53">
        <v>8.34</v>
      </c>
    </row>
    <row r="17" spans="1:11" x14ac:dyDescent="0.25">
      <c r="A17" s="52" t="s">
        <v>172</v>
      </c>
      <c r="B17" s="53">
        <v>0.1</v>
      </c>
      <c r="C17" s="53">
        <v>0.1</v>
      </c>
      <c r="D17" s="53">
        <v>0.12379999999999999</v>
      </c>
      <c r="E17" s="53">
        <v>0.11310000000000001</v>
      </c>
      <c r="F17" s="53">
        <v>0.1236</v>
      </c>
      <c r="G17" s="53">
        <v>9.2899999999999996E-2</v>
      </c>
      <c r="H17" s="53">
        <v>0.1</v>
      </c>
      <c r="I17" s="53">
        <v>0.15329999999999999</v>
      </c>
      <c r="J17" s="53">
        <v>0.16669999999999999</v>
      </c>
      <c r="K17" s="54" t="s">
        <v>162</v>
      </c>
    </row>
    <row r="18" spans="1:11" x14ac:dyDescent="0.25">
      <c r="A18" s="52" t="s">
        <v>173</v>
      </c>
      <c r="B18" s="53">
        <v>20.833300000000001</v>
      </c>
      <c r="C18" s="53">
        <v>21.037500000000001</v>
      </c>
      <c r="D18" s="53">
        <v>22.637499999999999</v>
      </c>
      <c r="E18" s="53">
        <v>30.058399999999999</v>
      </c>
      <c r="F18" s="53">
        <v>28.4</v>
      </c>
      <c r="G18" s="53">
        <v>37.3429</v>
      </c>
      <c r="H18" s="53">
        <v>36.433300000000003</v>
      </c>
      <c r="I18" s="53">
        <v>35.549999999999997</v>
      </c>
      <c r="J18" s="53">
        <v>28.928599999999999</v>
      </c>
      <c r="K18" s="53">
        <v>30</v>
      </c>
    </row>
    <row r="19" spans="1:11" x14ac:dyDescent="0.25">
      <c r="A19" s="52" t="s">
        <v>174</v>
      </c>
      <c r="B19" s="53">
        <v>108.65560000000001</v>
      </c>
      <c r="C19" s="53">
        <v>108.03749999999999</v>
      </c>
      <c r="D19" s="53">
        <v>108.075</v>
      </c>
      <c r="E19" s="53">
        <v>122.0016</v>
      </c>
      <c r="F19" s="53">
        <v>122</v>
      </c>
      <c r="G19" s="53">
        <v>136.57140000000001</v>
      </c>
      <c r="H19" s="53">
        <v>148</v>
      </c>
      <c r="I19" s="53">
        <v>156.19999999999999</v>
      </c>
      <c r="J19" s="53">
        <v>141</v>
      </c>
      <c r="K19" s="53">
        <v>126</v>
      </c>
    </row>
    <row r="20" spans="1:11" x14ac:dyDescent="0.25">
      <c r="A20" s="52" t="s">
        <v>175</v>
      </c>
      <c r="B20" s="53">
        <v>2.7210999999999999</v>
      </c>
      <c r="C20" s="53">
        <v>2.1190000000000002</v>
      </c>
      <c r="D20" s="53">
        <v>1.835</v>
      </c>
      <c r="E20" s="53">
        <v>1.5421</v>
      </c>
      <c r="F20" s="53">
        <v>1.7470000000000001</v>
      </c>
      <c r="G20" s="53">
        <v>1.3759999999999999</v>
      </c>
      <c r="H20" s="53">
        <v>1.5817000000000001</v>
      </c>
      <c r="I20" s="53">
        <v>2.0459999999999998</v>
      </c>
      <c r="J20" s="53">
        <v>1.2383999999999999</v>
      </c>
      <c r="K20" s="54"/>
    </row>
    <row r="21" spans="1:11" x14ac:dyDescent="0.25">
      <c r="A21" s="52" t="s">
        <v>176</v>
      </c>
      <c r="B21" s="53">
        <v>0.12039999999999999</v>
      </c>
      <c r="C21" s="53">
        <v>6.1899999999999997E-2</v>
      </c>
      <c r="D21" s="53">
        <v>4.2700000000000002E-2</v>
      </c>
      <c r="E21" s="53">
        <v>0.29780000000000001</v>
      </c>
      <c r="F21" s="53">
        <v>0.53480000000000005</v>
      </c>
      <c r="G21" s="53">
        <v>0.20730000000000001</v>
      </c>
      <c r="H21" s="53">
        <v>0.2107</v>
      </c>
      <c r="I21" s="53">
        <v>1.0082</v>
      </c>
      <c r="J21" s="53">
        <v>0.4254</v>
      </c>
      <c r="K21" s="53">
        <v>0.71499999999999997</v>
      </c>
    </row>
    <row r="22" spans="1:11" x14ac:dyDescent="0.25">
      <c r="A22" s="52" t="s">
        <v>177</v>
      </c>
      <c r="B22" s="53">
        <v>3.9100000000000003E-2</v>
      </c>
      <c r="C22" s="53">
        <v>1.5699999999999999E-2</v>
      </c>
      <c r="D22" s="53">
        <v>1.3599999999999999E-2</v>
      </c>
      <c r="E22" s="53">
        <v>4.65E-2</v>
      </c>
      <c r="F22" s="53">
        <v>3.44E-2</v>
      </c>
      <c r="G22" s="53">
        <v>2.0299999999999999E-2</v>
      </c>
      <c r="H22" s="53">
        <v>5.5E-2</v>
      </c>
      <c r="I22" s="53">
        <v>0.11169999999999999</v>
      </c>
      <c r="J22" s="53">
        <v>4.7E-2</v>
      </c>
      <c r="K22" s="53">
        <v>2.9000000000000001E-2</v>
      </c>
    </row>
    <row r="23" spans="1:11" x14ac:dyDescent="0.25">
      <c r="A23" s="52" t="s">
        <v>178</v>
      </c>
      <c r="B23" s="53">
        <v>4.4000000000000004</v>
      </c>
      <c r="C23" s="53">
        <v>2.5499999999999998</v>
      </c>
      <c r="D23" s="53">
        <v>2.2856999999999998</v>
      </c>
      <c r="E23" s="53">
        <v>1.9075</v>
      </c>
      <c r="F23" s="53">
        <v>2.7881999999999998</v>
      </c>
      <c r="G23" s="53">
        <v>1.72</v>
      </c>
      <c r="H23" s="53">
        <v>2.0232999999999999</v>
      </c>
      <c r="I23" s="53">
        <v>3.2974999999999999</v>
      </c>
      <c r="J23" s="53">
        <v>1.7738</v>
      </c>
      <c r="K23" s="53">
        <v>2.0699999999999998</v>
      </c>
    </row>
    <row r="24" spans="1:11" x14ac:dyDescent="0.25">
      <c r="A24" s="52" t="s">
        <v>179</v>
      </c>
      <c r="B24" s="53">
        <v>1.6400000000000001E-2</v>
      </c>
      <c r="C24" s="53">
        <v>2.7E-2</v>
      </c>
      <c r="D24" s="53">
        <v>2.6200000000000001E-2</v>
      </c>
      <c r="E24" s="53">
        <v>2.5000000000000001E-2</v>
      </c>
      <c r="F24" s="54" t="s">
        <v>162</v>
      </c>
      <c r="G24" s="54" t="s">
        <v>162</v>
      </c>
      <c r="H24" s="54" t="s">
        <v>162</v>
      </c>
      <c r="I24" s="54" t="s">
        <v>162</v>
      </c>
      <c r="J24" s="54" t="s">
        <v>162</v>
      </c>
      <c r="K24" s="54" t="s">
        <v>162</v>
      </c>
    </row>
    <row r="25" spans="1:11" x14ac:dyDescent="0.25">
      <c r="A25" s="52" t="s">
        <v>180</v>
      </c>
      <c r="B25" s="53">
        <v>1.41E-2</v>
      </c>
      <c r="C25" s="53">
        <v>2.0400000000000001E-2</v>
      </c>
      <c r="D25" s="53">
        <v>7.9000000000000008E-3</v>
      </c>
      <c r="E25" s="53">
        <v>5.0000000000000001E-3</v>
      </c>
      <c r="F25" s="53">
        <v>3.5999999999999999E-3</v>
      </c>
      <c r="G25" s="53">
        <v>6.6E-3</v>
      </c>
      <c r="H25" s="53">
        <v>1.7999999999999999E-2</v>
      </c>
      <c r="I25" s="53">
        <v>7.1000000000000004E-3</v>
      </c>
      <c r="J25" s="53">
        <v>1.24E-2</v>
      </c>
      <c r="K25" s="54" t="s">
        <v>162</v>
      </c>
    </row>
    <row r="26" spans="1:11" x14ac:dyDescent="0.25">
      <c r="A26" s="52" t="s">
        <v>181</v>
      </c>
      <c r="B26" s="53">
        <v>107.6444</v>
      </c>
      <c r="C26" s="53">
        <v>111.875</v>
      </c>
      <c r="D26" s="53">
        <v>129.75</v>
      </c>
      <c r="E26" s="53">
        <v>129.57140000000001</v>
      </c>
      <c r="F26" s="53">
        <v>133</v>
      </c>
      <c r="G26" s="53">
        <v>150.1429</v>
      </c>
      <c r="H26" s="53">
        <v>137</v>
      </c>
      <c r="I26" s="53">
        <v>157.1</v>
      </c>
      <c r="J26" s="53">
        <v>151.42859999999999</v>
      </c>
      <c r="K26" s="53">
        <v>160</v>
      </c>
    </row>
    <row r="27" spans="1:11" x14ac:dyDescent="0.25">
      <c r="A27" s="52" t="s">
        <v>182</v>
      </c>
      <c r="B27" s="53">
        <v>6</v>
      </c>
      <c r="C27" s="53">
        <v>4.8724999999999996</v>
      </c>
      <c r="D27" s="53">
        <v>4.0599999999999996</v>
      </c>
      <c r="E27" s="53">
        <v>6.4686000000000003</v>
      </c>
      <c r="F27" s="53">
        <v>14.149100000000001</v>
      </c>
      <c r="G27" s="53">
        <v>8.92</v>
      </c>
      <c r="H27" s="53">
        <v>14.82</v>
      </c>
      <c r="I27" s="53">
        <v>12.483000000000001</v>
      </c>
      <c r="J27" s="53">
        <v>10.605700000000001</v>
      </c>
      <c r="K27" s="53">
        <v>2.37</v>
      </c>
    </row>
    <row r="28" spans="1:11" x14ac:dyDescent="0.25">
      <c r="A28" s="52" t="s">
        <v>183</v>
      </c>
      <c r="B28" s="53">
        <v>0.1061</v>
      </c>
      <c r="C28" s="53">
        <v>0.1153</v>
      </c>
      <c r="D28" s="53">
        <v>0.1217</v>
      </c>
      <c r="E28" s="53">
        <v>0.16189999999999999</v>
      </c>
      <c r="F28" s="53">
        <v>0.11990000000000001</v>
      </c>
      <c r="G28" s="53">
        <v>0.13239999999999999</v>
      </c>
      <c r="H28" s="53">
        <v>0.187</v>
      </c>
      <c r="I28" s="53">
        <v>0.15310000000000001</v>
      </c>
      <c r="J28" s="53">
        <v>0.19689999999999999</v>
      </c>
      <c r="K28" s="53">
        <v>0.154</v>
      </c>
    </row>
    <row r="29" spans="1:11" x14ac:dyDescent="0.25">
      <c r="A29" s="52" t="s">
        <v>184</v>
      </c>
      <c r="B29" s="53">
        <v>17.6556</v>
      </c>
      <c r="C29" s="53">
        <v>18.662500000000001</v>
      </c>
      <c r="D29" s="53">
        <v>21.137499999999999</v>
      </c>
      <c r="E29" s="53">
        <v>18.2</v>
      </c>
      <c r="F29" s="53">
        <v>15.418200000000001</v>
      </c>
      <c r="G29" s="53">
        <v>18.942900000000002</v>
      </c>
      <c r="H29" s="53">
        <v>17.7667</v>
      </c>
      <c r="I29" s="53">
        <v>27.19</v>
      </c>
      <c r="J29" s="53">
        <v>21.7</v>
      </c>
      <c r="K29" s="53">
        <v>23.8</v>
      </c>
    </row>
    <row r="30" spans="1:11" x14ac:dyDescent="0.25">
      <c r="A30" s="52" t="s">
        <v>185</v>
      </c>
      <c r="B30" s="53">
        <v>5.8999999999999999E-3</v>
      </c>
      <c r="C30" s="53">
        <v>5.7000000000000002E-3</v>
      </c>
      <c r="D30" s="53">
        <v>6.4000000000000003E-3</v>
      </c>
      <c r="E30" s="53">
        <v>6.0000000000000001E-3</v>
      </c>
      <c r="F30" s="53">
        <v>9.9000000000000008E-3</v>
      </c>
      <c r="G30" s="53">
        <v>8.6999999999999994E-3</v>
      </c>
      <c r="H30" s="54" t="s">
        <v>162</v>
      </c>
      <c r="I30" s="53">
        <v>2.6700000000000002E-2</v>
      </c>
      <c r="J30" s="54" t="s">
        <v>162</v>
      </c>
      <c r="K30" s="54" t="s">
        <v>162</v>
      </c>
    </row>
    <row r="31" spans="1:11" x14ac:dyDescent="0.25">
      <c r="A31" s="52" t="s">
        <v>186</v>
      </c>
      <c r="B31" s="53">
        <v>0.21099999999999999</v>
      </c>
      <c r="C31" s="53">
        <v>0.17</v>
      </c>
      <c r="D31" s="53">
        <v>0.15840000000000001</v>
      </c>
      <c r="E31" s="53">
        <v>0.3014</v>
      </c>
      <c r="F31" s="53">
        <v>0.37709999999999999</v>
      </c>
      <c r="G31" s="53">
        <v>0.3427</v>
      </c>
      <c r="H31" s="53">
        <v>0.37230000000000002</v>
      </c>
      <c r="I31" s="53">
        <v>0.42120000000000002</v>
      </c>
      <c r="J31" s="53">
        <v>0.2676</v>
      </c>
      <c r="K31" s="53">
        <v>0.34100000000000003</v>
      </c>
    </row>
    <row r="32" spans="1:11" x14ac:dyDescent="0.25">
      <c r="A32" s="52" t="s">
        <v>187</v>
      </c>
      <c r="B32" s="53">
        <v>4.7600000000000003E-2</v>
      </c>
      <c r="C32" s="53">
        <v>4.3799999999999999E-2</v>
      </c>
      <c r="D32" s="53">
        <v>2.5899999999999999E-2</v>
      </c>
      <c r="E32" s="53">
        <v>2.3900000000000001E-2</v>
      </c>
      <c r="F32" s="53">
        <v>3.9800000000000002E-2</v>
      </c>
      <c r="G32" s="53">
        <v>2.92E-2</v>
      </c>
      <c r="H32" s="53">
        <v>5.1900000000000002E-2</v>
      </c>
      <c r="I32" s="53">
        <v>3.9600000000000003E-2</v>
      </c>
      <c r="J32" s="53">
        <v>3.5900000000000001E-2</v>
      </c>
      <c r="K32" s="53">
        <v>2.7300000000000001E-2</v>
      </c>
    </row>
    <row r="33" spans="1:11" x14ac:dyDescent="0.25">
      <c r="A33" s="52" t="s">
        <v>188</v>
      </c>
      <c r="B33" s="53">
        <v>8.5321999999999996</v>
      </c>
      <c r="C33" s="53">
        <v>6.4588000000000001</v>
      </c>
      <c r="D33" s="53">
        <v>11.463699999999999</v>
      </c>
      <c r="E33" s="53">
        <v>9.3699999999999992</v>
      </c>
      <c r="F33" s="53">
        <v>10.808199999999999</v>
      </c>
      <c r="G33" s="53">
        <v>5.8886000000000003</v>
      </c>
      <c r="H33" s="53">
        <v>10.96</v>
      </c>
      <c r="I33" s="53">
        <v>10.595000000000001</v>
      </c>
      <c r="J33" s="53">
        <v>6.2286000000000001</v>
      </c>
      <c r="K33" s="53">
        <v>3.39</v>
      </c>
    </row>
    <row r="34" spans="1:11" x14ac:dyDescent="0.25">
      <c r="A34" s="52" t="s">
        <v>189</v>
      </c>
      <c r="B34" s="53">
        <v>5.4000000000000003E-3</v>
      </c>
      <c r="C34" s="53">
        <v>2.5000000000000001E-3</v>
      </c>
      <c r="D34" s="53">
        <v>5.9999999999999995E-4</v>
      </c>
      <c r="E34" s="53">
        <v>1.4E-3</v>
      </c>
      <c r="F34" s="53">
        <v>7.4999999999999997E-3</v>
      </c>
      <c r="G34" s="53">
        <v>3.2000000000000002E-3</v>
      </c>
      <c r="H34" s="53">
        <v>9.9000000000000008E-3</v>
      </c>
      <c r="I34" s="53">
        <v>8.6999999999999994E-3</v>
      </c>
      <c r="J34" s="53">
        <v>6.4999999999999997E-3</v>
      </c>
      <c r="K34" s="53">
        <v>1E-3</v>
      </c>
    </row>
    <row r="35" spans="1:11" x14ac:dyDescent="0.25">
      <c r="A35" s="52" t="s">
        <v>190</v>
      </c>
      <c r="B35" s="53">
        <v>29.5444</v>
      </c>
      <c r="C35" s="53">
        <v>20.762499999999999</v>
      </c>
      <c r="D35" s="53">
        <v>21.176200000000001</v>
      </c>
      <c r="E35" s="53">
        <v>29.7</v>
      </c>
      <c r="F35" s="53">
        <v>34.063600000000001</v>
      </c>
      <c r="G35" s="53">
        <v>34.028599999999997</v>
      </c>
      <c r="H35" s="53">
        <v>31.2333</v>
      </c>
      <c r="I35" s="53">
        <v>52.03</v>
      </c>
      <c r="J35" s="53">
        <v>33.3429</v>
      </c>
      <c r="K35" s="53">
        <v>59.3</v>
      </c>
    </row>
    <row r="36" spans="1:11" x14ac:dyDescent="0.25">
      <c r="A36" s="52" t="s">
        <v>191</v>
      </c>
      <c r="B36" s="53">
        <v>6.0077999999999996</v>
      </c>
      <c r="C36" s="53">
        <v>5.7237999999999998</v>
      </c>
      <c r="D36" s="53">
        <v>5.0712000000000002</v>
      </c>
      <c r="E36" s="53">
        <v>6.0414000000000003</v>
      </c>
      <c r="F36" s="53">
        <v>6.3836000000000004</v>
      </c>
      <c r="G36" s="53">
        <v>8.3728999999999996</v>
      </c>
      <c r="H36" s="53">
        <v>7.9132999999999996</v>
      </c>
      <c r="I36" s="53">
        <v>8.0500000000000007</v>
      </c>
      <c r="J36" s="53">
        <v>7.92</v>
      </c>
      <c r="K36" s="53">
        <v>8.5299999999999994</v>
      </c>
    </row>
    <row r="37" spans="1:11" x14ac:dyDescent="0.25">
      <c r="A37" s="52" t="s">
        <v>192</v>
      </c>
      <c r="B37" s="53">
        <v>0.4829</v>
      </c>
      <c r="C37" s="53">
        <v>0.4864</v>
      </c>
      <c r="D37" s="53">
        <v>0.41899999999999998</v>
      </c>
      <c r="E37" s="53">
        <v>0.83330000000000004</v>
      </c>
      <c r="F37" s="53">
        <v>0.88170000000000004</v>
      </c>
      <c r="G37" s="53">
        <v>0.79300000000000004</v>
      </c>
      <c r="H37" s="53">
        <v>0.90400000000000003</v>
      </c>
      <c r="I37" s="53">
        <v>0.70520000000000005</v>
      </c>
      <c r="J37" s="53">
        <v>0.52070000000000005</v>
      </c>
      <c r="K37" s="53">
        <v>0.61699999999999999</v>
      </c>
    </row>
    <row r="38" spans="1:11" x14ac:dyDescent="0.25">
      <c r="A38" s="52" t="s">
        <v>193</v>
      </c>
      <c r="B38" s="53">
        <v>15.501099999999999</v>
      </c>
      <c r="C38" s="53">
        <v>20.239999999999998</v>
      </c>
      <c r="D38" s="53">
        <v>15.1838</v>
      </c>
      <c r="E38" s="53">
        <v>5.6985999999999999</v>
      </c>
      <c r="F38" s="53">
        <v>2.5209999999999999</v>
      </c>
      <c r="G38" s="53">
        <v>2.0467</v>
      </c>
      <c r="H38" s="53">
        <v>2.8267000000000002</v>
      </c>
      <c r="I38" s="53">
        <v>4.1929999999999996</v>
      </c>
      <c r="J38" s="53">
        <v>7.04</v>
      </c>
      <c r="K38" s="53">
        <v>1.25</v>
      </c>
    </row>
    <row r="39" spans="1:11" x14ac:dyDescent="0.25">
      <c r="A39" s="52" t="s">
        <v>194</v>
      </c>
      <c r="B39" s="53">
        <v>1.2800000000000001E-2</v>
      </c>
      <c r="C39" s="53">
        <v>4.7199999999999999E-2</v>
      </c>
      <c r="D39" s="53">
        <v>1.2E-2</v>
      </c>
      <c r="E39" s="53">
        <v>5.0000000000000001E-3</v>
      </c>
      <c r="F39" s="53">
        <v>5.7000000000000002E-3</v>
      </c>
      <c r="G39" s="54" t="s">
        <v>162</v>
      </c>
      <c r="H39" s="53">
        <v>1.38E-2</v>
      </c>
      <c r="I39" s="53">
        <v>1.14E-2</v>
      </c>
      <c r="J39" s="53">
        <v>2.24E-2</v>
      </c>
      <c r="K39" s="54" t="s">
        <v>162</v>
      </c>
    </row>
    <row r="40" spans="1:11" x14ac:dyDescent="0.25">
      <c r="A40" s="52" t="s">
        <v>195</v>
      </c>
      <c r="B40" s="53">
        <v>1.8498000000000001</v>
      </c>
      <c r="C40" s="53">
        <v>1.9524999999999999</v>
      </c>
      <c r="D40" s="53">
        <v>1.98</v>
      </c>
      <c r="E40" s="53">
        <v>2.6271</v>
      </c>
      <c r="F40" s="53">
        <v>2.3717999999999999</v>
      </c>
      <c r="G40" s="53">
        <v>2.2871000000000001</v>
      </c>
      <c r="H40" s="53">
        <v>2.2932999999999999</v>
      </c>
      <c r="I40" s="53">
        <v>1.8540000000000001</v>
      </c>
      <c r="J40" s="53">
        <v>2.3113999999999999</v>
      </c>
      <c r="K40" s="53">
        <v>1.72</v>
      </c>
    </row>
    <row r="41" spans="1:11" x14ac:dyDescent="0.25">
      <c r="A41" s="52" t="s">
        <v>196</v>
      </c>
      <c r="B41" s="53">
        <v>4.3856000000000002</v>
      </c>
      <c r="C41" s="53">
        <v>5.1787999999999998</v>
      </c>
      <c r="D41" s="53">
        <v>6.9188000000000001</v>
      </c>
      <c r="E41" s="53">
        <v>5.1814</v>
      </c>
      <c r="F41" s="53">
        <v>3.8054999999999999</v>
      </c>
      <c r="G41" s="53">
        <v>2.4003000000000001</v>
      </c>
      <c r="H41" s="53">
        <v>1.4666999999999999</v>
      </c>
      <c r="I41" s="53">
        <v>1.8888</v>
      </c>
      <c r="J41" s="53">
        <v>1.1827000000000001</v>
      </c>
      <c r="K41" s="53">
        <v>3.2</v>
      </c>
    </row>
    <row r="42" spans="1:11" x14ac:dyDescent="0.25">
      <c r="A42" s="52" t="s">
        <v>197</v>
      </c>
      <c r="B42" s="53">
        <v>42.511099999999999</v>
      </c>
      <c r="C42" s="53">
        <v>45.662500000000001</v>
      </c>
      <c r="D42" s="53">
        <v>44.037500000000001</v>
      </c>
      <c r="E42" s="53">
        <v>62.928600000000003</v>
      </c>
      <c r="F42" s="53">
        <v>70.7</v>
      </c>
      <c r="G42" s="53">
        <v>62.7</v>
      </c>
      <c r="H42" s="53">
        <v>50.6</v>
      </c>
      <c r="I42" s="53">
        <v>33.78</v>
      </c>
      <c r="J42" s="53">
        <v>32.328600000000002</v>
      </c>
      <c r="K42" s="53">
        <v>34</v>
      </c>
    </row>
    <row r="43" spans="1:11" x14ac:dyDescent="0.25">
      <c r="A43" s="52" t="s">
        <v>198</v>
      </c>
      <c r="B43" s="53">
        <v>6.2586000000000004</v>
      </c>
      <c r="C43" s="53">
        <v>5.3</v>
      </c>
      <c r="D43" s="54" t="s">
        <v>162</v>
      </c>
      <c r="E43" s="53">
        <v>2.12</v>
      </c>
      <c r="F43" s="54" t="s">
        <v>162</v>
      </c>
      <c r="G43" s="54" t="s">
        <v>162</v>
      </c>
      <c r="H43" s="54" t="s">
        <v>162</v>
      </c>
      <c r="I43" s="54" t="s">
        <v>162</v>
      </c>
      <c r="J43" s="54" t="s">
        <v>162</v>
      </c>
      <c r="K43" s="54" t="s">
        <v>162</v>
      </c>
    </row>
    <row r="44" spans="1:11" x14ac:dyDescent="0.25">
      <c r="A44" s="52" t="s">
        <v>199</v>
      </c>
      <c r="B44" s="53">
        <v>4.4000000000000004</v>
      </c>
      <c r="C44" s="53">
        <v>12.966699999999999</v>
      </c>
      <c r="D44" s="53">
        <v>4.3167</v>
      </c>
      <c r="E44" s="53">
        <v>2.8666999999999998</v>
      </c>
      <c r="F44" s="53">
        <v>5.7908999999999997</v>
      </c>
      <c r="G44" s="53">
        <v>5.3714000000000004</v>
      </c>
      <c r="H44" s="53">
        <v>4.6666999999999996</v>
      </c>
      <c r="I44" s="53">
        <v>2.6556000000000002</v>
      </c>
      <c r="J44" s="53">
        <v>6.45</v>
      </c>
      <c r="K44" s="53">
        <v>2.2999999999999998</v>
      </c>
    </row>
    <row r="45" spans="1:11" x14ac:dyDescent="0.25">
      <c r="A45" s="52" t="s">
        <v>200</v>
      </c>
      <c r="B45" s="54" t="s">
        <v>162</v>
      </c>
      <c r="C45" s="53">
        <v>2.2000000000000001E-3</v>
      </c>
      <c r="D45" s="54" t="s">
        <v>162</v>
      </c>
      <c r="E45" s="54" t="s">
        <v>162</v>
      </c>
      <c r="F45" s="54" t="s">
        <v>162</v>
      </c>
      <c r="G45" s="54" t="s">
        <v>162</v>
      </c>
      <c r="H45" s="54" t="s">
        <v>162</v>
      </c>
      <c r="I45" s="53">
        <v>4.4999999999999997E-3</v>
      </c>
      <c r="J45" s="54" t="s">
        <v>162</v>
      </c>
      <c r="K45" s="54" t="s">
        <v>162</v>
      </c>
    </row>
    <row r="47" spans="1:11" x14ac:dyDescent="0.25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</row>
  </sheetData>
  <mergeCells count="3">
    <mergeCell ref="A1:K1"/>
    <mergeCell ref="A2:K2"/>
    <mergeCell ref="A47:K4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DBF7D-8804-4305-934D-807DAE2590B5}">
  <dimension ref="A1:J45"/>
  <sheetViews>
    <sheetView topLeftCell="A2" workbookViewId="0">
      <selection activeCell="I19" sqref="I19"/>
    </sheetView>
  </sheetViews>
  <sheetFormatPr defaultRowHeight="15" x14ac:dyDescent="0.25"/>
  <cols>
    <col min="1" max="1" width="52.85546875" bestFit="1" customWidth="1"/>
    <col min="2" max="7" width="8" bestFit="1" customWidth="1"/>
    <col min="8" max="8" width="7" bestFit="1" customWidth="1"/>
    <col min="9" max="9" width="9" bestFit="1" customWidth="1"/>
    <col min="10" max="10" width="5" bestFit="1" customWidth="1"/>
  </cols>
  <sheetData>
    <row r="1" spans="1:10" x14ac:dyDescent="0.25">
      <c r="A1" t="s">
        <v>202</v>
      </c>
    </row>
    <row r="3" spans="1:10" x14ac:dyDescent="0.25">
      <c r="A3" t="s">
        <v>147</v>
      </c>
      <c r="B3" t="s">
        <v>148</v>
      </c>
      <c r="C3" t="s">
        <v>149</v>
      </c>
      <c r="D3" t="s">
        <v>150</v>
      </c>
      <c r="E3" t="s">
        <v>151</v>
      </c>
      <c r="F3" t="s">
        <v>152</v>
      </c>
      <c r="G3" t="s">
        <v>153</v>
      </c>
      <c r="H3" t="s">
        <v>155</v>
      </c>
      <c r="I3" t="s">
        <v>156</v>
      </c>
      <c r="J3" t="s">
        <v>157</v>
      </c>
    </row>
    <row r="4" spans="1:10" x14ac:dyDescent="0.25">
      <c r="A4" t="s">
        <v>158</v>
      </c>
      <c r="B4">
        <v>19.409099999999999</v>
      </c>
      <c r="C4">
        <v>21.587499999999999</v>
      </c>
      <c r="D4">
        <v>22.274999999999999</v>
      </c>
      <c r="E4">
        <v>21.175000000000001</v>
      </c>
      <c r="F4">
        <v>14.46</v>
      </c>
      <c r="G4">
        <v>3.7667000000000002</v>
      </c>
      <c r="H4">
        <v>9.75</v>
      </c>
      <c r="I4">
        <v>7.73</v>
      </c>
      <c r="J4">
        <v>0.1</v>
      </c>
    </row>
    <row r="5" spans="1:10" x14ac:dyDescent="0.25">
      <c r="A5" t="s">
        <v>159</v>
      </c>
      <c r="B5">
        <v>8.1727000000000007</v>
      </c>
      <c r="C5">
        <v>8.1750000000000007</v>
      </c>
      <c r="D5">
        <v>8.1624999999999996</v>
      </c>
      <c r="E5">
        <v>7.95</v>
      </c>
      <c r="F5">
        <v>8.1181999999999999</v>
      </c>
      <c r="G5">
        <v>8.0832999999999995</v>
      </c>
      <c r="H5">
        <v>8.1750000000000007</v>
      </c>
      <c r="I5">
        <v>8.16</v>
      </c>
      <c r="J5">
        <v>8.1999999999999993</v>
      </c>
    </row>
    <row r="6" spans="1:10" x14ac:dyDescent="0.25">
      <c r="A6" t="s">
        <v>160</v>
      </c>
      <c r="B6">
        <v>5.2332999999999998</v>
      </c>
      <c r="C6">
        <v>5.3</v>
      </c>
      <c r="D6">
        <v>4.2571000000000003</v>
      </c>
      <c r="E6">
        <v>3.7856999999999998</v>
      </c>
      <c r="F6">
        <v>7.8</v>
      </c>
      <c r="G6">
        <v>19.52</v>
      </c>
      <c r="H6">
        <v>24.45</v>
      </c>
      <c r="I6">
        <v>20.14</v>
      </c>
      <c r="J6">
        <v>21</v>
      </c>
    </row>
    <row r="7" spans="1:10" x14ac:dyDescent="0.25">
      <c r="A7" t="s">
        <v>161</v>
      </c>
      <c r="B7">
        <v>1.3546</v>
      </c>
      <c r="C7">
        <v>1.425</v>
      </c>
      <c r="D7">
        <v>1.1875</v>
      </c>
      <c r="E7">
        <v>1.2593000000000001</v>
      </c>
      <c r="F7">
        <v>1.2589999999999999</v>
      </c>
      <c r="G7">
        <v>1.288</v>
      </c>
      <c r="H7" t="s">
        <v>162</v>
      </c>
      <c r="I7" t="s">
        <v>162</v>
      </c>
      <c r="J7" t="s">
        <v>162</v>
      </c>
    </row>
    <row r="8" spans="1:10" x14ac:dyDescent="0.25">
      <c r="A8" t="s">
        <v>163</v>
      </c>
      <c r="B8">
        <v>82.627899999999997</v>
      </c>
      <c r="C8">
        <v>86.924999999999997</v>
      </c>
      <c r="D8">
        <v>72.4375</v>
      </c>
      <c r="E8">
        <v>76.816699999999997</v>
      </c>
      <c r="F8">
        <v>76.8</v>
      </c>
      <c r="G8">
        <v>77.833299999999994</v>
      </c>
      <c r="H8">
        <v>80.924999999999997</v>
      </c>
      <c r="I8">
        <v>91.2</v>
      </c>
      <c r="J8">
        <v>89</v>
      </c>
    </row>
    <row r="9" spans="1:10" x14ac:dyDescent="0.25">
      <c r="A9" t="s">
        <v>164</v>
      </c>
      <c r="B9">
        <v>36.89</v>
      </c>
      <c r="C9">
        <v>37.612499999999997</v>
      </c>
      <c r="D9">
        <v>34.838799999999999</v>
      </c>
      <c r="E9">
        <v>36.848300000000002</v>
      </c>
      <c r="F9">
        <v>37.343600000000002</v>
      </c>
      <c r="G9">
        <v>38.728299999999997</v>
      </c>
      <c r="H9">
        <v>39.445</v>
      </c>
      <c r="I9">
        <v>72.430000000000007</v>
      </c>
      <c r="J9">
        <v>41.3</v>
      </c>
    </row>
    <row r="10" spans="1:10" x14ac:dyDescent="0.25">
      <c r="A10" t="s">
        <v>165</v>
      </c>
      <c r="B10">
        <v>184.875</v>
      </c>
      <c r="C10">
        <v>240</v>
      </c>
      <c r="D10">
        <v>13.55</v>
      </c>
      <c r="E10" t="s">
        <v>162</v>
      </c>
      <c r="F10">
        <v>23.85</v>
      </c>
      <c r="G10">
        <v>5</v>
      </c>
      <c r="H10">
        <v>6</v>
      </c>
      <c r="I10">
        <v>22.5</v>
      </c>
      <c r="J10" t="s">
        <v>162</v>
      </c>
    </row>
    <row r="11" spans="1:10" x14ac:dyDescent="0.25">
      <c r="A11" t="s">
        <v>166</v>
      </c>
      <c r="B11">
        <v>177.875</v>
      </c>
      <c r="C11">
        <v>227.625</v>
      </c>
      <c r="D11">
        <v>11.95</v>
      </c>
      <c r="E11" t="s">
        <v>162</v>
      </c>
      <c r="F11">
        <v>14.966699999999999</v>
      </c>
      <c r="G11">
        <v>4.5999999999999996</v>
      </c>
      <c r="H11">
        <v>4.9000000000000004</v>
      </c>
      <c r="I11">
        <v>25.5</v>
      </c>
      <c r="J11" t="s">
        <v>162</v>
      </c>
    </row>
    <row r="12" spans="1:10" x14ac:dyDescent="0.25">
      <c r="A12" t="s">
        <v>167</v>
      </c>
      <c r="B12">
        <v>44.991700000000002</v>
      </c>
      <c r="C12">
        <v>47.762500000000003</v>
      </c>
      <c r="D12">
        <v>46.3</v>
      </c>
      <c r="E12">
        <v>48.714300000000001</v>
      </c>
      <c r="F12">
        <v>49.172699999999999</v>
      </c>
      <c r="G12">
        <v>52.2667</v>
      </c>
      <c r="H12">
        <v>51.9</v>
      </c>
      <c r="I12">
        <v>50.866700000000002</v>
      </c>
      <c r="J12" t="s">
        <v>162</v>
      </c>
    </row>
    <row r="13" spans="1:10" x14ac:dyDescent="0.25">
      <c r="A13" t="s">
        <v>168</v>
      </c>
      <c r="B13">
        <v>4.7507999999999999</v>
      </c>
      <c r="C13">
        <v>3.8224999999999998</v>
      </c>
      <c r="D13">
        <v>3.6475</v>
      </c>
      <c r="E13">
        <v>3.71</v>
      </c>
      <c r="F13">
        <v>4.3364000000000003</v>
      </c>
      <c r="G13">
        <v>4.51</v>
      </c>
      <c r="H13">
        <v>5.2625000000000002</v>
      </c>
      <c r="I13">
        <v>5.0149999999999997</v>
      </c>
      <c r="J13" t="s">
        <v>162</v>
      </c>
    </row>
    <row r="14" spans="1:10" x14ac:dyDescent="0.25">
      <c r="A14" t="s">
        <v>169</v>
      </c>
      <c r="B14">
        <v>7.1550000000000002</v>
      </c>
      <c r="C14">
        <v>6.33</v>
      </c>
      <c r="D14">
        <v>5.9538000000000002</v>
      </c>
      <c r="E14">
        <v>6.1943000000000001</v>
      </c>
      <c r="F14">
        <v>6.5064000000000002</v>
      </c>
      <c r="G14">
        <v>6.7816999999999998</v>
      </c>
      <c r="H14">
        <v>7.23</v>
      </c>
      <c r="I14">
        <v>6.88</v>
      </c>
      <c r="J14" t="s">
        <v>162</v>
      </c>
    </row>
    <row r="15" spans="1:10" x14ac:dyDescent="0.25">
      <c r="A15" t="s">
        <v>170</v>
      </c>
      <c r="B15">
        <v>12.9617</v>
      </c>
      <c r="C15">
        <v>15.074999999999999</v>
      </c>
      <c r="D15">
        <v>11.5375</v>
      </c>
      <c r="E15">
        <v>11.7143</v>
      </c>
      <c r="F15">
        <v>11.7636</v>
      </c>
      <c r="G15">
        <v>11.783300000000001</v>
      </c>
      <c r="H15">
        <v>11.4</v>
      </c>
      <c r="I15">
        <v>11</v>
      </c>
      <c r="J15" t="s">
        <v>162</v>
      </c>
    </row>
    <row r="16" spans="1:10" x14ac:dyDescent="0.25">
      <c r="A16" t="s">
        <v>171</v>
      </c>
      <c r="B16">
        <v>5.0891999999999999</v>
      </c>
      <c r="C16">
        <v>5.3311999999999999</v>
      </c>
      <c r="D16">
        <v>5.23</v>
      </c>
      <c r="E16">
        <v>5.3</v>
      </c>
      <c r="F16">
        <v>5.2473000000000001</v>
      </c>
      <c r="G16">
        <v>5.2649999999999997</v>
      </c>
      <c r="H16">
        <v>5.05</v>
      </c>
      <c r="I16">
        <v>4.8266999999999998</v>
      </c>
      <c r="J16" t="s">
        <v>162</v>
      </c>
    </row>
    <row r="17" spans="1:10" x14ac:dyDescent="0.25">
      <c r="A17" t="s">
        <v>172</v>
      </c>
      <c r="B17">
        <v>0.16830000000000001</v>
      </c>
      <c r="C17">
        <v>0.1179</v>
      </c>
      <c r="D17">
        <v>0.14449999999999999</v>
      </c>
      <c r="E17">
        <v>0.14169999999999999</v>
      </c>
      <c r="F17">
        <v>0.1825</v>
      </c>
      <c r="G17">
        <v>0.14330000000000001</v>
      </c>
      <c r="H17">
        <v>0.17</v>
      </c>
      <c r="I17">
        <v>0.43140000000000001</v>
      </c>
      <c r="J17" t="s">
        <v>162</v>
      </c>
    </row>
    <row r="18" spans="1:10" x14ac:dyDescent="0.25">
      <c r="A18" t="s">
        <v>173</v>
      </c>
      <c r="B18">
        <v>21.616700000000002</v>
      </c>
      <c r="C18">
        <v>19.237500000000001</v>
      </c>
      <c r="D18">
        <v>18.4375</v>
      </c>
      <c r="E18">
        <v>18.9893</v>
      </c>
      <c r="F18">
        <v>17.863600000000002</v>
      </c>
      <c r="G18">
        <v>18.033300000000001</v>
      </c>
      <c r="H18">
        <v>17.2</v>
      </c>
      <c r="I18">
        <v>71.811099999999996</v>
      </c>
      <c r="J18" t="s">
        <v>162</v>
      </c>
    </row>
    <row r="19" spans="1:10" x14ac:dyDescent="0.25">
      <c r="A19" t="s">
        <v>174</v>
      </c>
      <c r="B19">
        <v>68.208299999999994</v>
      </c>
      <c r="C19">
        <v>68.674999999999997</v>
      </c>
      <c r="D19">
        <v>75.512500000000003</v>
      </c>
      <c r="E19">
        <v>81.093999999999994</v>
      </c>
      <c r="F19">
        <v>85.254499999999993</v>
      </c>
      <c r="G19">
        <v>90.9833</v>
      </c>
      <c r="H19">
        <v>94.65</v>
      </c>
      <c r="I19">
        <v>377.0444</v>
      </c>
      <c r="J19" t="s">
        <v>162</v>
      </c>
    </row>
    <row r="20" spans="1:10" x14ac:dyDescent="0.25">
      <c r="A20" t="s">
        <v>175</v>
      </c>
      <c r="B20">
        <v>1.9407000000000001</v>
      </c>
      <c r="C20">
        <v>1.3487</v>
      </c>
      <c r="D20">
        <v>0.33510000000000001</v>
      </c>
      <c r="E20">
        <v>0.25700000000000001</v>
      </c>
      <c r="F20">
        <v>0.20830000000000001</v>
      </c>
      <c r="G20">
        <v>0.18179999999999999</v>
      </c>
      <c r="H20">
        <v>0.13</v>
      </c>
      <c r="I20">
        <v>4.51</v>
      </c>
      <c r="J20" t="s">
        <v>162</v>
      </c>
    </row>
    <row r="21" spans="1:10" x14ac:dyDescent="0.25">
      <c r="A21" t="s">
        <v>176</v>
      </c>
      <c r="B21">
        <v>0.65369999999999995</v>
      </c>
      <c r="C21">
        <v>0.71740000000000004</v>
      </c>
      <c r="D21">
        <v>4.2599999999999999E-2</v>
      </c>
      <c r="E21">
        <v>1.17E-2</v>
      </c>
      <c r="F21">
        <v>5.3100000000000001E-2</v>
      </c>
      <c r="G21">
        <v>3.0000000000000001E-3</v>
      </c>
      <c r="H21">
        <v>8.0000000000000002E-3</v>
      </c>
      <c r="I21">
        <v>0.54669999999999996</v>
      </c>
      <c r="J21" t="s">
        <v>162</v>
      </c>
    </row>
    <row r="22" spans="1:10" x14ac:dyDescent="0.25">
      <c r="A22" t="s">
        <v>177</v>
      </c>
      <c r="B22">
        <v>5.62E-2</v>
      </c>
      <c r="C22">
        <v>0.1099</v>
      </c>
      <c r="D22">
        <v>4.41E-2</v>
      </c>
      <c r="E22">
        <v>5.8999999999999999E-3</v>
      </c>
      <c r="F22" t="s">
        <v>162</v>
      </c>
      <c r="G22">
        <v>0</v>
      </c>
      <c r="H22">
        <v>-1E-3</v>
      </c>
      <c r="I22">
        <v>0.20530000000000001</v>
      </c>
      <c r="J22" t="s">
        <v>162</v>
      </c>
    </row>
    <row r="23" spans="1:10" x14ac:dyDescent="0.25">
      <c r="A23" t="s">
        <v>178</v>
      </c>
      <c r="B23">
        <v>3.2113999999999998</v>
      </c>
      <c r="C23">
        <v>2.3757000000000001</v>
      </c>
      <c r="D23">
        <v>0.43290000000000001</v>
      </c>
      <c r="E23">
        <v>0.58499999999999996</v>
      </c>
      <c r="F23">
        <v>0.29730000000000001</v>
      </c>
      <c r="G23">
        <v>0.25669999999999998</v>
      </c>
      <c r="H23">
        <v>0.16250000000000001</v>
      </c>
      <c r="I23">
        <v>2.9287999999999998</v>
      </c>
      <c r="J23" t="s">
        <v>162</v>
      </c>
    </row>
    <row r="24" spans="1:10" x14ac:dyDescent="0.25">
      <c r="A24" t="s">
        <v>179</v>
      </c>
      <c r="B24">
        <v>4.9399999999999999E-2</v>
      </c>
      <c r="C24">
        <v>1.38E-2</v>
      </c>
      <c r="D24">
        <v>4.4999999999999997E-3</v>
      </c>
      <c r="E24">
        <v>2.5000000000000001E-3</v>
      </c>
      <c r="F24">
        <v>8.6999999999999994E-3</v>
      </c>
      <c r="G24" t="s">
        <v>162</v>
      </c>
      <c r="H24" t="s">
        <v>162</v>
      </c>
      <c r="I24" t="s">
        <v>162</v>
      </c>
      <c r="J24" t="s">
        <v>162</v>
      </c>
    </row>
    <row r="25" spans="1:10" x14ac:dyDescent="0.25">
      <c r="A25" t="s">
        <v>180</v>
      </c>
      <c r="B25">
        <v>7.9000000000000008E-3</v>
      </c>
      <c r="C25">
        <v>1.04E-2</v>
      </c>
      <c r="D25">
        <v>5.1999999999999998E-3</v>
      </c>
      <c r="E25">
        <v>5.0000000000000001E-3</v>
      </c>
      <c r="F25">
        <v>1.6E-2</v>
      </c>
      <c r="G25" t="s">
        <v>162</v>
      </c>
      <c r="H25" t="s">
        <v>162</v>
      </c>
      <c r="I25">
        <v>1.2999999999999999E-2</v>
      </c>
      <c r="J25" t="s">
        <v>162</v>
      </c>
    </row>
    <row r="26" spans="1:10" x14ac:dyDescent="0.25">
      <c r="A26" t="s">
        <v>181</v>
      </c>
      <c r="B26">
        <v>71.6083</v>
      </c>
      <c r="C26">
        <v>68.037499999999994</v>
      </c>
      <c r="D26">
        <v>72.5625</v>
      </c>
      <c r="E26">
        <v>74.371399999999994</v>
      </c>
      <c r="F26">
        <v>80.636399999999995</v>
      </c>
      <c r="G26">
        <v>81.849999999999994</v>
      </c>
      <c r="H26">
        <v>81.5</v>
      </c>
      <c r="I26">
        <v>81.866699999999994</v>
      </c>
      <c r="J26" t="s">
        <v>162</v>
      </c>
    </row>
    <row r="27" spans="1:10" x14ac:dyDescent="0.25">
      <c r="A27" t="s">
        <v>182</v>
      </c>
      <c r="B27">
        <v>70.844200000000001</v>
      </c>
      <c r="C27">
        <v>8.6575000000000006</v>
      </c>
      <c r="D27">
        <v>3.6587999999999998</v>
      </c>
      <c r="E27">
        <v>2.84</v>
      </c>
      <c r="F27">
        <v>2.9390999999999998</v>
      </c>
      <c r="G27">
        <v>2.0432999999999999</v>
      </c>
      <c r="H27">
        <v>2.855</v>
      </c>
      <c r="I27">
        <v>1.6092</v>
      </c>
      <c r="J27" t="s">
        <v>162</v>
      </c>
    </row>
    <row r="28" spans="1:10" x14ac:dyDescent="0.25">
      <c r="A28" t="s">
        <v>183</v>
      </c>
      <c r="B28">
        <v>0.3755</v>
      </c>
      <c r="C28">
        <v>0.33650000000000002</v>
      </c>
      <c r="D28">
        <v>0.215</v>
      </c>
      <c r="E28">
        <v>0.13489999999999999</v>
      </c>
      <c r="F28">
        <v>0.15260000000000001</v>
      </c>
      <c r="G28">
        <v>0.12520000000000001</v>
      </c>
      <c r="H28">
        <v>0.1255</v>
      </c>
      <c r="I28">
        <v>0.14779999999999999</v>
      </c>
      <c r="J28" t="s">
        <v>162</v>
      </c>
    </row>
    <row r="29" spans="1:10" x14ac:dyDescent="0.25">
      <c r="A29" t="s">
        <v>184</v>
      </c>
      <c r="B29">
        <v>13.5517</v>
      </c>
      <c r="C29">
        <v>10.5075</v>
      </c>
      <c r="D29">
        <v>10.032500000000001</v>
      </c>
      <c r="E29">
        <v>10.2057</v>
      </c>
      <c r="F29">
        <v>13.1091</v>
      </c>
      <c r="G29">
        <v>15.433299999999999</v>
      </c>
      <c r="H29">
        <v>20.85</v>
      </c>
      <c r="I29">
        <v>16.933299999999999</v>
      </c>
      <c r="J29" t="s">
        <v>162</v>
      </c>
    </row>
    <row r="30" spans="1:10" x14ac:dyDescent="0.25">
      <c r="A30" t="s">
        <v>185</v>
      </c>
      <c r="B30">
        <v>6.3E-3</v>
      </c>
      <c r="C30">
        <v>4.8999999999999998E-3</v>
      </c>
      <c r="D30">
        <v>5.5999999999999999E-3</v>
      </c>
      <c r="E30">
        <v>5.1999999999999998E-3</v>
      </c>
      <c r="F30">
        <v>9.4999999999999998E-3</v>
      </c>
      <c r="G30">
        <v>8.3999999999999995E-3</v>
      </c>
      <c r="H30">
        <v>4.1700000000000001E-2</v>
      </c>
      <c r="I30" t="s">
        <v>162</v>
      </c>
      <c r="J30" t="s">
        <v>162</v>
      </c>
    </row>
    <row r="31" spans="1:10" x14ac:dyDescent="0.25">
      <c r="A31" t="s">
        <v>186</v>
      </c>
      <c r="B31">
        <v>0.18340000000000001</v>
      </c>
      <c r="C31">
        <v>0.1047</v>
      </c>
      <c r="D31">
        <v>2.87E-2</v>
      </c>
      <c r="E31">
        <v>1.9900000000000001E-2</v>
      </c>
      <c r="F31">
        <v>1.89E-2</v>
      </c>
      <c r="G31">
        <v>1.8200000000000001E-2</v>
      </c>
      <c r="H31">
        <v>9.2999999999999992E-3</v>
      </c>
      <c r="I31">
        <v>9.1999999999999998E-3</v>
      </c>
      <c r="J31" t="s">
        <v>162</v>
      </c>
    </row>
    <row r="32" spans="1:10" x14ac:dyDescent="0.25">
      <c r="A32" t="s">
        <v>187</v>
      </c>
      <c r="B32">
        <v>0.128</v>
      </c>
      <c r="C32">
        <v>3.8699999999999998E-2</v>
      </c>
      <c r="D32">
        <v>1.61E-2</v>
      </c>
      <c r="E32">
        <v>2.0899999999999998E-2</v>
      </c>
      <c r="F32">
        <v>2.12E-2</v>
      </c>
      <c r="G32">
        <v>2.98E-2</v>
      </c>
      <c r="H32">
        <v>3.9300000000000002E-2</v>
      </c>
      <c r="I32">
        <v>3.2000000000000001E-2</v>
      </c>
      <c r="J32" t="s">
        <v>162</v>
      </c>
    </row>
    <row r="33" spans="1:10" x14ac:dyDescent="0.25">
      <c r="A33" t="s">
        <v>188</v>
      </c>
      <c r="B33">
        <v>9.6366999999999994</v>
      </c>
      <c r="C33">
        <v>3.1726999999999999</v>
      </c>
      <c r="D33">
        <v>7.6761999999999997</v>
      </c>
      <c r="E33">
        <v>5.5971000000000002</v>
      </c>
      <c r="F33">
        <v>3.9363999999999999</v>
      </c>
      <c r="G33">
        <v>4.7866999999999997</v>
      </c>
      <c r="H33">
        <v>2.2225000000000001</v>
      </c>
      <c r="I33">
        <v>2.82</v>
      </c>
      <c r="J33" t="s">
        <v>162</v>
      </c>
    </row>
    <row r="34" spans="1:10" x14ac:dyDescent="0.25">
      <c r="A34" t="s">
        <v>189</v>
      </c>
      <c r="B34">
        <v>6.7000000000000004E-2</v>
      </c>
      <c r="C34">
        <v>8.0000000000000004E-4</v>
      </c>
      <c r="D34">
        <v>1.6999999999999999E-3</v>
      </c>
      <c r="E34">
        <v>3.0000000000000001E-3</v>
      </c>
      <c r="F34">
        <v>1.1000000000000001E-3</v>
      </c>
      <c r="G34">
        <v>2.3E-3</v>
      </c>
      <c r="H34">
        <v>8.9999999999999998E-4</v>
      </c>
      <c r="I34">
        <v>3.7000000000000002E-3</v>
      </c>
      <c r="J34" t="s">
        <v>162</v>
      </c>
    </row>
    <row r="35" spans="1:10" x14ac:dyDescent="0.25">
      <c r="A35" t="s">
        <v>190</v>
      </c>
      <c r="B35">
        <v>37.541699999999999</v>
      </c>
      <c r="C35">
        <v>38.6</v>
      </c>
      <c r="D35">
        <v>9.1675000000000004</v>
      </c>
      <c r="E35">
        <v>2.5413999999999999</v>
      </c>
      <c r="F35">
        <v>2.0036</v>
      </c>
      <c r="G35">
        <v>1.4766999999999999</v>
      </c>
      <c r="H35">
        <v>0.28220000000000001</v>
      </c>
      <c r="I35">
        <v>1.7401</v>
      </c>
      <c r="J35" t="s">
        <v>162</v>
      </c>
    </row>
    <row r="36" spans="1:10" x14ac:dyDescent="0.25">
      <c r="A36" t="s">
        <v>191</v>
      </c>
      <c r="B36">
        <v>6.0650000000000004</v>
      </c>
      <c r="C36">
        <v>6.2061999999999999</v>
      </c>
      <c r="D36">
        <v>5.93</v>
      </c>
      <c r="E36">
        <v>6.3771000000000004</v>
      </c>
      <c r="F36">
        <v>6.9645000000000001</v>
      </c>
      <c r="G36">
        <v>7.1717000000000004</v>
      </c>
      <c r="H36">
        <v>8.11</v>
      </c>
      <c r="I36">
        <v>7.1116999999999999</v>
      </c>
      <c r="J36" t="s">
        <v>162</v>
      </c>
    </row>
    <row r="37" spans="1:10" x14ac:dyDescent="0.25">
      <c r="A37" t="s">
        <v>192</v>
      </c>
      <c r="B37">
        <v>0.30459999999999998</v>
      </c>
      <c r="C37">
        <v>0.2208</v>
      </c>
      <c r="D37">
        <v>0.15679999999999999</v>
      </c>
      <c r="E37">
        <v>0.1739</v>
      </c>
      <c r="F37">
        <v>0.14199999999999999</v>
      </c>
      <c r="G37">
        <v>0.12959999999999999</v>
      </c>
      <c r="H37">
        <v>0.14000000000000001</v>
      </c>
      <c r="I37">
        <v>0.1144</v>
      </c>
      <c r="J37" t="s">
        <v>162</v>
      </c>
    </row>
    <row r="38" spans="1:10" x14ac:dyDescent="0.25">
      <c r="A38" t="s">
        <v>193</v>
      </c>
      <c r="B38">
        <v>38.606699999999996</v>
      </c>
      <c r="C38">
        <v>8.6549999999999994</v>
      </c>
      <c r="D38">
        <v>3.9624999999999999</v>
      </c>
      <c r="E38">
        <v>3.2629000000000001</v>
      </c>
      <c r="F38">
        <v>2.7174999999999998</v>
      </c>
      <c r="G38">
        <v>4.5433000000000003</v>
      </c>
      <c r="H38" t="s">
        <v>162</v>
      </c>
      <c r="I38">
        <v>2.2149999999999999</v>
      </c>
      <c r="J38" t="s">
        <v>162</v>
      </c>
    </row>
    <row r="39" spans="1:10" x14ac:dyDescent="0.25">
      <c r="A39" t="s">
        <v>194</v>
      </c>
      <c r="B39">
        <v>3.8399999999999997E-2</v>
      </c>
      <c r="C39">
        <v>4.19E-2</v>
      </c>
      <c r="D39">
        <v>8.0000000000000002E-3</v>
      </c>
      <c r="E39">
        <v>5.0000000000000001E-3</v>
      </c>
      <c r="F39">
        <v>5.0000000000000001E-3</v>
      </c>
      <c r="G39" t="s">
        <v>162</v>
      </c>
      <c r="H39" t="s">
        <v>162</v>
      </c>
      <c r="I39">
        <v>2.0199999999999999E-2</v>
      </c>
      <c r="J39" t="s">
        <v>162</v>
      </c>
    </row>
    <row r="40" spans="1:10" x14ac:dyDescent="0.25">
      <c r="A40" t="s">
        <v>195</v>
      </c>
      <c r="B40">
        <v>2.9725000000000001</v>
      </c>
      <c r="C40">
        <v>2.2749999999999999</v>
      </c>
      <c r="D40">
        <v>2.0175000000000001</v>
      </c>
      <c r="E40">
        <v>1.7385999999999999</v>
      </c>
      <c r="F40">
        <v>1.8</v>
      </c>
      <c r="G40">
        <v>1.6333</v>
      </c>
      <c r="H40">
        <v>2.1324999999999998</v>
      </c>
      <c r="I40">
        <v>1.8416999999999999</v>
      </c>
      <c r="J40" t="s">
        <v>162</v>
      </c>
    </row>
    <row r="41" spans="1:10" x14ac:dyDescent="0.25">
      <c r="A41" t="s">
        <v>196</v>
      </c>
      <c r="B41">
        <v>2.8346</v>
      </c>
      <c r="C41">
        <v>13.726800000000001</v>
      </c>
      <c r="D41">
        <v>41.1</v>
      </c>
      <c r="E41">
        <v>27.3857</v>
      </c>
      <c r="F41">
        <v>11.789099999999999</v>
      </c>
      <c r="G41">
        <v>5.1849999999999996</v>
      </c>
      <c r="H41">
        <v>0.62849999999999995</v>
      </c>
      <c r="I41">
        <v>0.58599999999999997</v>
      </c>
      <c r="J41" t="s">
        <v>162</v>
      </c>
    </row>
    <row r="42" spans="1:10" x14ac:dyDescent="0.25">
      <c r="A42" t="s">
        <v>197</v>
      </c>
      <c r="B42">
        <v>12.342499999999999</v>
      </c>
      <c r="C42">
        <v>12.234999999999999</v>
      </c>
      <c r="D42">
        <v>12.025</v>
      </c>
      <c r="E42">
        <v>12.3714</v>
      </c>
      <c r="F42">
        <v>12.9536</v>
      </c>
      <c r="G42">
        <v>13.033300000000001</v>
      </c>
      <c r="H42">
        <v>13.074999999999999</v>
      </c>
      <c r="I42">
        <v>12.8</v>
      </c>
      <c r="J42" t="s">
        <v>162</v>
      </c>
    </row>
    <row r="43" spans="1:10" x14ac:dyDescent="0.25">
      <c r="A43" t="s">
        <v>198</v>
      </c>
      <c r="B43">
        <v>5.6882000000000001</v>
      </c>
      <c r="C43">
        <v>5.8666999999999998</v>
      </c>
      <c r="D43" t="s">
        <v>162</v>
      </c>
      <c r="E43">
        <v>0.55000000000000004</v>
      </c>
      <c r="F43" t="s">
        <v>162</v>
      </c>
      <c r="G43" t="s">
        <v>162</v>
      </c>
      <c r="H43" t="s">
        <v>162</v>
      </c>
      <c r="I43" t="s">
        <v>162</v>
      </c>
      <c r="J43" t="s">
        <v>162</v>
      </c>
    </row>
    <row r="44" spans="1:10" x14ac:dyDescent="0.25">
      <c r="A44" t="s">
        <v>199</v>
      </c>
      <c r="B44">
        <v>2.2000000000000002</v>
      </c>
      <c r="C44">
        <v>7.2249999999999996</v>
      </c>
      <c r="D44">
        <v>2.8714</v>
      </c>
      <c r="E44">
        <v>1.5</v>
      </c>
      <c r="F44">
        <v>3.4655</v>
      </c>
      <c r="G44">
        <v>2.7082999999999999</v>
      </c>
      <c r="H44">
        <v>1.4550000000000001</v>
      </c>
      <c r="I44">
        <v>4.4070999999999998</v>
      </c>
      <c r="J44" t="s">
        <v>162</v>
      </c>
    </row>
    <row r="45" spans="1:10" x14ac:dyDescent="0.25">
      <c r="A45" t="s">
        <v>200</v>
      </c>
      <c r="B45" t="s">
        <v>162</v>
      </c>
      <c r="C45" t="s">
        <v>162</v>
      </c>
      <c r="D45" t="s">
        <v>162</v>
      </c>
      <c r="E45" t="s">
        <v>162</v>
      </c>
      <c r="F45" t="s">
        <v>162</v>
      </c>
      <c r="G45" t="s">
        <v>162</v>
      </c>
      <c r="H45">
        <v>6.0000000000000001E-3</v>
      </c>
      <c r="I45" t="s">
        <v>162</v>
      </c>
      <c r="J45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Mm3 year</vt:lpstr>
      <vt:lpstr>ORE MIXES </vt:lpstr>
      <vt:lpstr>statistics p2 </vt:lpstr>
      <vt:lpstr>LEACHING RATE </vt:lpstr>
      <vt:lpstr>PRODUCTION</vt:lpstr>
      <vt:lpstr>GRUVBERGET WATER CONC.</vt:lpstr>
      <vt:lpstr>DECIMAL DATE</vt:lpstr>
      <vt:lpstr>SEP83 (SP27) </vt:lpstr>
      <vt:lpstr>Länshålln.vatten (SVA79)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Agnes Tutuwaa</dc:creator>
  <cp:lastModifiedBy>Agnes Tutuwaa</cp:lastModifiedBy>
  <dcterms:created xsi:type="dcterms:W3CDTF">2026-04-24T11:12:12Z</dcterms:created>
  <dcterms:modified xsi:type="dcterms:W3CDTF">2026-05-01T08:59:14Z</dcterms:modified>
</cp:coreProperties>
</file>