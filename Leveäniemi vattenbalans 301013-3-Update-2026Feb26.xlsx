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7.xml" ContentType="application/vnd.openxmlformats-officedocument.drawing+xml"/>
  <Override PartName="/xl/charts/chart35.xml" ContentType="application/vnd.openxmlformats-officedocument.drawingml.chart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ingar/Documents/CLIENTS &amp; PROJECTS/CLIENTS-KREC/LKAB/COMPLETED PROJECTS/Leveäniemi 2014/LEVEANIEMI PIT/Report/Data/"/>
    </mc:Choice>
  </mc:AlternateContent>
  <xr:revisionPtr revIDLastSave="0" documentId="13_ncr:1_{D367BDAD-B9E8-5246-9936-BB91C27C2CD0}" xr6:coauthVersionLast="47" xr6:coauthVersionMax="47" xr10:uidLastSave="{00000000-0000-0000-0000-000000000000}"/>
  <bookViews>
    <workbookView xWindow="5900" yWindow="1020" windowWidth="27720" windowHeight="19580" tabRatio="898" activeTab="5" xr2:uid="{00000000-000D-0000-FFFF-FFFF00000000}"/>
  </bookViews>
  <sheets>
    <sheet name="Back Data Lenvean Pit Lake" sheetId="7" r:id="rId1"/>
    <sheet name="Hist modellering" sheetId="8" r:id="rId2"/>
    <sheet name="Modell During mining" sheetId="9" r:id="rId3"/>
    <sheet name="Mod after closure" sheetId="10" r:id="rId4"/>
    <sheet name="Nitrogen" sheetId="11" r:id="rId5"/>
    <sheet name="Process water" sheetId="12" r:id="rId6"/>
    <sheet name="Flow-Production" sheetId="13" r:id="rId7"/>
    <sheet name="ore-tail leach calc" sheetId="15" r:id="rId8"/>
    <sheet name="Lev-GW" sheetId="16" r:id="rId9"/>
    <sheet name="PhreeC-InputPW" sheetId="17" r:id="rId10"/>
    <sheet name="PhreeC-outputPW" sheetId="18" r:id="rId11"/>
    <sheet name="Copper" sheetId="14" r:id="rId12"/>
    <sheet name="Base Alternatives" sheetId="1" r:id="rId13"/>
    <sheet name="Alt 0" sheetId="2" r:id="rId14"/>
    <sheet name="Alt 3" sheetId="6" r:id="rId15"/>
    <sheet name="Alt 2B" sheetId="5" r:id="rId16"/>
    <sheet name="Alt 2A" sheetId="4" r:id="rId17"/>
    <sheet name="Alt 1" sheetId="3" r:id="rId18"/>
  </sheets>
  <externalReferences>
    <externalReference r:id="rId19"/>
  </externalReferences>
  <definedNames>
    <definedName name="_xlnm.Print_Area" localSheetId="8">'Lev-GW'!$A$18:$K$56</definedName>
    <definedName name="_xlnm.Print_Area" localSheetId="10">'PhreeC-outputPW'!$A$1:$G$1505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I122" i="12" l="1"/>
  <c r="G122" i="12"/>
  <c r="E122" i="12"/>
  <c r="H43" i="12"/>
  <c r="G43" i="12"/>
  <c r="C2" i="11"/>
  <c r="J53" i="9"/>
  <c r="L66" i="10"/>
  <c r="C67" i="10"/>
  <c r="F118" i="9"/>
  <c r="K4" i="8"/>
  <c r="D4" i="8" s="1"/>
  <c r="N13" i="7"/>
  <c r="M13" i="7"/>
  <c r="H61" i="13"/>
  <c r="H60" i="13"/>
  <c r="H59" i="13"/>
  <c r="H58" i="13"/>
  <c r="H57" i="13"/>
  <c r="H56" i="13"/>
  <c r="H55" i="13"/>
  <c r="H54" i="13"/>
  <c r="H53" i="13"/>
  <c r="H52" i="13"/>
  <c r="H51" i="13"/>
  <c r="H50" i="13"/>
  <c r="H62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E57" i="13"/>
  <c r="E62" i="13"/>
  <c r="E61" i="13"/>
  <c r="E60" i="13"/>
  <c r="E59" i="13"/>
  <c r="E58" i="13"/>
  <c r="E56" i="13"/>
  <c r="E55" i="13"/>
  <c r="E54" i="13"/>
  <c r="E53" i="13"/>
  <c r="E52" i="13"/>
  <c r="E51" i="13"/>
  <c r="E50" i="13"/>
  <c r="K85" i="8"/>
  <c r="J85" i="8"/>
  <c r="I85" i="8"/>
  <c r="H85" i="8"/>
  <c r="H86" i="8" s="1"/>
  <c r="H87" i="8" s="1"/>
  <c r="G85" i="8"/>
  <c r="D85" i="8"/>
  <c r="M34" i="8"/>
  <c r="J33" i="8" s="1"/>
  <c r="J4" i="8"/>
  <c r="L86" i="8"/>
  <c r="L87" i="8"/>
  <c r="K87" i="8" s="1"/>
  <c r="L88" i="8"/>
  <c r="M115" i="8"/>
  <c r="J114" i="8"/>
  <c r="I114" i="8"/>
  <c r="K114" i="8"/>
  <c r="L127" i="8"/>
  <c r="L128" i="8" s="1"/>
  <c r="J126" i="8"/>
  <c r="H126" i="8"/>
  <c r="G126" i="8" s="1"/>
  <c r="H127" i="8"/>
  <c r="H128" i="8" s="1"/>
  <c r="K127" i="8"/>
  <c r="K126" i="8"/>
  <c r="K155" i="8"/>
  <c r="M156" i="8"/>
  <c r="J155" i="8"/>
  <c r="I155" i="8" s="1"/>
  <c r="M157" i="8"/>
  <c r="M155" i="8"/>
  <c r="B127" i="8"/>
  <c r="B128" i="8"/>
  <c r="B129" i="8"/>
  <c r="B130" i="8"/>
  <c r="B131" i="8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/>
  <c r="B149" i="8" s="1"/>
  <c r="B150" i="8" s="1"/>
  <c r="B151" i="8" s="1"/>
  <c r="B152" i="8" s="1"/>
  <c r="B153" i="8" s="1"/>
  <c r="B154" i="8" s="1"/>
  <c r="B155" i="8" s="1"/>
  <c r="A127" i="8"/>
  <c r="A128" i="8" s="1"/>
  <c r="A129" i="8" s="1"/>
  <c r="A130" i="8" s="1"/>
  <c r="A131" i="8" s="1"/>
  <c r="A132" i="8"/>
  <c r="A133" i="8" s="1"/>
  <c r="A134" i="8" s="1"/>
  <c r="A135" i="8" s="1"/>
  <c r="A136" i="8" s="1"/>
  <c r="A137" i="8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K86" i="8"/>
  <c r="M116" i="8"/>
  <c r="M114" i="8"/>
  <c r="B86" i="8"/>
  <c r="B87" i="8" s="1"/>
  <c r="B88" i="8" s="1"/>
  <c r="B89" i="8" s="1"/>
  <c r="B90" i="8" s="1"/>
  <c r="B91" i="8" s="1"/>
  <c r="B92" i="8" s="1"/>
  <c r="B93" i="8" s="1"/>
  <c r="B94" i="8" s="1"/>
  <c r="B95" i="8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A86" i="8"/>
  <c r="A87" i="8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M35" i="8"/>
  <c r="M33" i="8"/>
  <c r="H4" i="8"/>
  <c r="H5" i="8" s="1"/>
  <c r="H6" i="8" s="1"/>
  <c r="H7" i="8"/>
  <c r="L5" i="8"/>
  <c r="K5" i="8" s="1"/>
  <c r="L6" i="8"/>
  <c r="L7" i="8"/>
  <c r="L8" i="8"/>
  <c r="K8" i="8" s="1"/>
  <c r="K7" i="8"/>
  <c r="K6" i="8"/>
  <c r="K33" i="8"/>
  <c r="B5" i="8"/>
  <c r="B6" i="8"/>
  <c r="B7" i="8"/>
  <c r="B8" i="8" s="1"/>
  <c r="B9" i="8" s="1"/>
  <c r="B10" i="8" s="1"/>
  <c r="B11" i="8" s="1"/>
  <c r="B12" i="8" s="1"/>
  <c r="B13" i="8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A5" i="8"/>
  <c r="A6" i="8" s="1"/>
  <c r="A7" i="8" s="1"/>
  <c r="A8" i="8" s="1"/>
  <c r="A9" i="8" s="1"/>
  <c r="A10" i="8" s="1"/>
  <c r="A11" i="8" s="1"/>
  <c r="A12" i="8" s="1"/>
  <c r="A13" i="8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/>
  <c r="A28" i="8" s="1"/>
  <c r="A29" i="8" s="1"/>
  <c r="A30" i="8" s="1"/>
  <c r="A31" i="8" s="1"/>
  <c r="A32" i="8" s="1"/>
  <c r="A33" i="8" s="1"/>
  <c r="G4" i="8"/>
  <c r="I4" i="8"/>
  <c r="K41" i="16"/>
  <c r="K45" i="16"/>
  <c r="N13" i="16"/>
  <c r="K28" i="16"/>
  <c r="K48" i="16"/>
  <c r="K47" i="16"/>
  <c r="K26" i="16"/>
  <c r="K54" i="16"/>
  <c r="K53" i="16"/>
  <c r="K50" i="16"/>
  <c r="K49" i="16"/>
  <c r="K46" i="16"/>
  <c r="K44" i="16"/>
  <c r="K43" i="16"/>
  <c r="K42" i="16"/>
  <c r="K40" i="16"/>
  <c r="K38" i="16"/>
  <c r="K37" i="16"/>
  <c r="K36" i="16"/>
  <c r="K35" i="16"/>
  <c r="K34" i="16"/>
  <c r="K33" i="16"/>
  <c r="K32" i="16"/>
  <c r="K30" i="16"/>
  <c r="K29" i="16"/>
  <c r="K27" i="16"/>
  <c r="K24" i="16"/>
  <c r="AT13" i="16"/>
  <c r="AS13" i="16"/>
  <c r="AR13" i="16"/>
  <c r="AQ13" i="16"/>
  <c r="AP13" i="16"/>
  <c r="AO13" i="16"/>
  <c r="AN13" i="16"/>
  <c r="AM13" i="16"/>
  <c r="AL13" i="16"/>
  <c r="AK13" i="16"/>
  <c r="AI13" i="16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M13" i="16"/>
  <c r="L13" i="16"/>
  <c r="K13" i="16"/>
  <c r="J13" i="16"/>
  <c r="I13" i="16"/>
  <c r="AJ13" i="16"/>
  <c r="Z20" i="10"/>
  <c r="AA20" i="10"/>
  <c r="AB20" i="10"/>
  <c r="AE20" i="10" s="1"/>
  <c r="AF20" i="10"/>
  <c r="Z19" i="10"/>
  <c r="AA19" i="10"/>
  <c r="AB19" i="10"/>
  <c r="AE19" i="10" s="1"/>
  <c r="AF19" i="10"/>
  <c r="Z18" i="10"/>
  <c r="AA18" i="10"/>
  <c r="AB18" i="10"/>
  <c r="AE18" i="10"/>
  <c r="Z17" i="10"/>
  <c r="AA17" i="10"/>
  <c r="AB17" i="10"/>
  <c r="AE17" i="10"/>
  <c r="Z16" i="10"/>
  <c r="AA16" i="10"/>
  <c r="AB16" i="10"/>
  <c r="AE16" i="10"/>
  <c r="Z15" i="10"/>
  <c r="AA15" i="10"/>
  <c r="AB15" i="10"/>
  <c r="AE15" i="10" s="1"/>
  <c r="Z14" i="10"/>
  <c r="AA14" i="10"/>
  <c r="AB14" i="10"/>
  <c r="AE14" i="10"/>
  <c r="Z13" i="10"/>
  <c r="AA13" i="10"/>
  <c r="AB13" i="10"/>
  <c r="AE13" i="10" s="1"/>
  <c r="Z12" i="10"/>
  <c r="AA12" i="10"/>
  <c r="AB12" i="10"/>
  <c r="AE12" i="10"/>
  <c r="Z11" i="10"/>
  <c r="AA11" i="10"/>
  <c r="AB11" i="10"/>
  <c r="AE11" i="10" s="1"/>
  <c r="Z10" i="10"/>
  <c r="AA10" i="10"/>
  <c r="AB10" i="10"/>
  <c r="AE10" i="10"/>
  <c r="Z9" i="10"/>
  <c r="AA9" i="10"/>
  <c r="AB9" i="10"/>
  <c r="AE9" i="10"/>
  <c r="Z8" i="10"/>
  <c r="AA8" i="10"/>
  <c r="AB8" i="10"/>
  <c r="AE8" i="10"/>
  <c r="K154" i="10"/>
  <c r="O5" i="10"/>
  <c r="O6" i="10"/>
  <c r="O7" i="10" s="1"/>
  <c r="O8" i="10"/>
  <c r="J39" i="10"/>
  <c r="J40" i="10"/>
  <c r="J41" i="10" s="1"/>
  <c r="J42" i="10" s="1"/>
  <c r="J43" i="10" s="1"/>
  <c r="L43" i="10" s="1"/>
  <c r="L42" i="10"/>
  <c r="L41" i="10"/>
  <c r="L39" i="10"/>
  <c r="J29" i="10"/>
  <c r="L29" i="10" s="1"/>
  <c r="J30" i="10"/>
  <c r="L30" i="10" s="1"/>
  <c r="J21" i="10"/>
  <c r="J15" i="10"/>
  <c r="J16" i="10" s="1"/>
  <c r="L15" i="10"/>
  <c r="J11" i="10"/>
  <c r="J12" i="10"/>
  <c r="J13" i="10"/>
  <c r="L14" i="10"/>
  <c r="L13" i="10"/>
  <c r="L12" i="10"/>
  <c r="L11" i="10"/>
  <c r="J8" i="10"/>
  <c r="L8" i="10" s="1"/>
  <c r="L7" i="10"/>
  <c r="N7" i="10" s="1"/>
  <c r="L6" i="10"/>
  <c r="L5" i="10"/>
  <c r="N5" i="10"/>
  <c r="M5" i="10" s="1"/>
  <c r="K5" i="10"/>
  <c r="K4" i="10"/>
  <c r="M4" i="10"/>
  <c r="I4" i="10"/>
  <c r="G4" i="10"/>
  <c r="D4" i="10" s="1"/>
  <c r="C4" i="10" s="1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M154" i="10"/>
  <c r="F4" i="10"/>
  <c r="F5" i="10"/>
  <c r="F6" i="10" s="1"/>
  <c r="F7" i="10" s="1"/>
  <c r="F8" i="10" s="1"/>
  <c r="F9" i="10" s="1"/>
  <c r="H5" i="10"/>
  <c r="H6" i="10"/>
  <c r="H7" i="10"/>
  <c r="H8" i="10"/>
  <c r="H9" i="10"/>
  <c r="H10" i="10"/>
  <c r="H13" i="10"/>
  <c r="H14" i="10"/>
  <c r="H15" i="10"/>
  <c r="H16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G88" i="10" s="1"/>
  <c r="H89" i="10"/>
  <c r="H90" i="10"/>
  <c r="H91" i="10"/>
  <c r="G91" i="10" s="1"/>
  <c r="H92" i="10"/>
  <c r="H93" i="10"/>
  <c r="H94" i="10"/>
  <c r="H95" i="10"/>
  <c r="H96" i="10"/>
  <c r="H97" i="10"/>
  <c r="H98" i="10"/>
  <c r="H99" i="10"/>
  <c r="H100" i="10"/>
  <c r="G100" i="10" s="1"/>
  <c r="H101" i="10"/>
  <c r="H102" i="10"/>
  <c r="H103" i="10"/>
  <c r="H104" i="10"/>
  <c r="H105" i="10"/>
  <c r="G105" i="10" s="1"/>
  <c r="H106" i="10"/>
  <c r="H107" i="10"/>
  <c r="H108" i="10"/>
  <c r="H109" i="10"/>
  <c r="H110" i="10"/>
  <c r="G110" i="10" s="1"/>
  <c r="H111" i="10"/>
  <c r="H112" i="10"/>
  <c r="H113" i="10"/>
  <c r="H114" i="10"/>
  <c r="H115" i="10"/>
  <c r="G115" i="10" s="1"/>
  <c r="H116" i="10"/>
  <c r="H117" i="10"/>
  <c r="H118" i="10"/>
  <c r="H119" i="10"/>
  <c r="H120" i="10"/>
  <c r="G120" i="10" s="1"/>
  <c r="H121" i="10"/>
  <c r="H122" i="10"/>
  <c r="H123" i="10"/>
  <c r="H124" i="10"/>
  <c r="H125" i="10"/>
  <c r="H126" i="10"/>
  <c r="H127" i="10"/>
  <c r="H128" i="10"/>
  <c r="H129" i="10"/>
  <c r="H130" i="10"/>
  <c r="G130" i="10" s="1"/>
  <c r="H131" i="10"/>
  <c r="H132" i="10"/>
  <c r="H133" i="10"/>
  <c r="H134" i="10"/>
  <c r="H135" i="10"/>
  <c r="H136" i="10"/>
  <c r="H137" i="10"/>
  <c r="H138" i="10"/>
  <c r="H139" i="10"/>
  <c r="H140" i="10"/>
  <c r="G140" i="10" s="1"/>
  <c r="H141" i="10"/>
  <c r="G141" i="10" s="1"/>
  <c r="H142" i="10"/>
  <c r="G142" i="10" s="1"/>
  <c r="H143" i="10"/>
  <c r="H144" i="10"/>
  <c r="H145" i="10"/>
  <c r="H146" i="10"/>
  <c r="H147" i="10"/>
  <c r="H148" i="10"/>
  <c r="G148" i="10" s="1"/>
  <c r="H149" i="10"/>
  <c r="H150" i="10"/>
  <c r="G150" i="10" s="1"/>
  <c r="H151" i="10"/>
  <c r="H152" i="10"/>
  <c r="G152" i="10" s="1"/>
  <c r="H153" i="10"/>
  <c r="H154" i="10"/>
  <c r="E339" i="10"/>
  <c r="E338" i="10"/>
  <c r="E337" i="10"/>
  <c r="E336" i="10"/>
  <c r="E335" i="10"/>
  <c r="E334" i="10"/>
  <c r="E333" i="10"/>
  <c r="E332" i="10"/>
  <c r="E331" i="10"/>
  <c r="E330" i="10"/>
  <c r="E329" i="10"/>
  <c r="E328" i="10"/>
  <c r="E327" i="10"/>
  <c r="E326" i="10"/>
  <c r="E325" i="10"/>
  <c r="E324" i="10"/>
  <c r="E323" i="10"/>
  <c r="E322" i="10"/>
  <c r="E321" i="10"/>
  <c r="E320" i="10"/>
  <c r="E319" i="10"/>
  <c r="E318" i="10"/>
  <c r="E317" i="10"/>
  <c r="E316" i="10"/>
  <c r="E315" i="10"/>
  <c r="E314" i="10"/>
  <c r="E313" i="10"/>
  <c r="E312" i="10"/>
  <c r="E311" i="10"/>
  <c r="E310" i="10"/>
  <c r="E309" i="10"/>
  <c r="E308" i="10"/>
  <c r="E307" i="10"/>
  <c r="E306" i="10"/>
  <c r="E305" i="10"/>
  <c r="E304" i="10"/>
  <c r="E303" i="10"/>
  <c r="E302" i="10"/>
  <c r="E301" i="10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27" i="10"/>
  <c r="E226" i="10"/>
  <c r="E225" i="10"/>
  <c r="E224" i="10"/>
  <c r="E223" i="10"/>
  <c r="E205" i="10"/>
  <c r="E201" i="10"/>
  <c r="E200" i="10"/>
  <c r="E199" i="10"/>
  <c r="E198" i="10"/>
  <c r="E197" i="10"/>
  <c r="E196" i="10"/>
  <c r="E195" i="10"/>
  <c r="E192" i="10"/>
  <c r="E191" i="10"/>
  <c r="E190" i="10"/>
  <c r="D190" i="10" s="1"/>
  <c r="E189" i="10"/>
  <c r="D189" i="10" s="1"/>
  <c r="C189" i="10" s="1"/>
  <c r="K189" i="10"/>
  <c r="J189" i="10" s="1"/>
  <c r="I189" i="10" s="1"/>
  <c r="L189" i="10"/>
  <c r="F189" i="10"/>
  <c r="K190" i="10"/>
  <c r="J190" i="10" s="1"/>
  <c r="M189" i="10"/>
  <c r="L339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28" i="10"/>
  <c r="K227" i="10"/>
  <c r="K226" i="10"/>
  <c r="K225" i="10"/>
  <c r="K224" i="10"/>
  <c r="K223" i="10"/>
  <c r="K205" i="10"/>
  <c r="K201" i="10"/>
  <c r="K200" i="10"/>
  <c r="K199" i="10"/>
  <c r="K198" i="10"/>
  <c r="K197" i="10"/>
  <c r="K196" i="10"/>
  <c r="K195" i="10"/>
  <c r="L193" i="10"/>
  <c r="K193" i="10"/>
  <c r="L192" i="10"/>
  <c r="K192" i="10"/>
  <c r="L191" i="10"/>
  <c r="K191" i="10"/>
  <c r="L190" i="10"/>
  <c r="G5" i="10"/>
  <c r="I190" i="10"/>
  <c r="F190" i="10"/>
  <c r="G154" i="10"/>
  <c r="J339" i="10"/>
  <c r="G153" i="10"/>
  <c r="I153" i="10"/>
  <c r="I152" i="10"/>
  <c r="G151" i="10"/>
  <c r="I151" i="10"/>
  <c r="I150" i="10"/>
  <c r="G149" i="10"/>
  <c r="I149" i="10"/>
  <c r="I148" i="10"/>
  <c r="G147" i="10"/>
  <c r="I147" i="10"/>
  <c r="G146" i="10"/>
  <c r="I146" i="10"/>
  <c r="G145" i="10"/>
  <c r="I145" i="10"/>
  <c r="G144" i="10"/>
  <c r="I144" i="10"/>
  <c r="G143" i="10"/>
  <c r="I143" i="10"/>
  <c r="I142" i="10"/>
  <c r="I141" i="10"/>
  <c r="I140" i="10"/>
  <c r="G139" i="10"/>
  <c r="I139" i="10"/>
  <c r="G138" i="10"/>
  <c r="I138" i="10"/>
  <c r="G137" i="10"/>
  <c r="I137" i="10"/>
  <c r="G136" i="10"/>
  <c r="I136" i="10"/>
  <c r="G135" i="10"/>
  <c r="I135" i="10"/>
  <c r="G134" i="10"/>
  <c r="I134" i="10"/>
  <c r="G133" i="10"/>
  <c r="I133" i="10"/>
  <c r="G132" i="10"/>
  <c r="I132" i="10"/>
  <c r="G131" i="10"/>
  <c r="I131" i="10"/>
  <c r="I130" i="10"/>
  <c r="G129" i="10"/>
  <c r="I129" i="10"/>
  <c r="G128" i="10"/>
  <c r="I128" i="10"/>
  <c r="G127" i="10"/>
  <c r="I127" i="10"/>
  <c r="G126" i="10"/>
  <c r="I126" i="10"/>
  <c r="G125" i="10"/>
  <c r="I125" i="10"/>
  <c r="G124" i="10"/>
  <c r="I124" i="10"/>
  <c r="G123" i="10"/>
  <c r="I123" i="10"/>
  <c r="G122" i="10"/>
  <c r="I122" i="10"/>
  <c r="G121" i="10"/>
  <c r="I121" i="10"/>
  <c r="I120" i="10"/>
  <c r="G119" i="10"/>
  <c r="I119" i="10"/>
  <c r="G118" i="10"/>
  <c r="I118" i="10"/>
  <c r="G117" i="10"/>
  <c r="I117" i="10"/>
  <c r="G116" i="10"/>
  <c r="I116" i="10"/>
  <c r="I115" i="10"/>
  <c r="G114" i="10"/>
  <c r="I114" i="10"/>
  <c r="G113" i="10"/>
  <c r="I113" i="10"/>
  <c r="G112" i="10"/>
  <c r="I112" i="10"/>
  <c r="G111" i="10"/>
  <c r="I111" i="10"/>
  <c r="I110" i="10"/>
  <c r="G109" i="10"/>
  <c r="I109" i="10"/>
  <c r="G108" i="10"/>
  <c r="I108" i="10"/>
  <c r="G107" i="10"/>
  <c r="I107" i="10"/>
  <c r="G106" i="10"/>
  <c r="I106" i="10"/>
  <c r="I105" i="10"/>
  <c r="G104" i="10"/>
  <c r="I104" i="10"/>
  <c r="G103" i="10"/>
  <c r="I103" i="10"/>
  <c r="G102" i="10"/>
  <c r="I102" i="10"/>
  <c r="G101" i="10"/>
  <c r="I101" i="10"/>
  <c r="I100" i="10"/>
  <c r="G99" i="10"/>
  <c r="I99" i="10"/>
  <c r="G98" i="10"/>
  <c r="I98" i="10"/>
  <c r="G97" i="10"/>
  <c r="I97" i="10"/>
  <c r="G96" i="10"/>
  <c r="I96" i="10"/>
  <c r="G95" i="10"/>
  <c r="I95" i="10"/>
  <c r="G94" i="10"/>
  <c r="I94" i="10"/>
  <c r="G93" i="10"/>
  <c r="I93" i="10"/>
  <c r="G92" i="10"/>
  <c r="I92" i="10"/>
  <c r="I91" i="10"/>
  <c r="G90" i="10"/>
  <c r="I90" i="10"/>
  <c r="G89" i="10"/>
  <c r="I89" i="10"/>
  <c r="I88" i="10"/>
  <c r="G87" i="10"/>
  <c r="I87" i="10"/>
  <c r="G86" i="10"/>
  <c r="I86" i="10"/>
  <c r="G85" i="10"/>
  <c r="I85" i="10"/>
  <c r="G84" i="10"/>
  <c r="I84" i="10"/>
  <c r="I83" i="10"/>
  <c r="G82" i="10"/>
  <c r="I82" i="10"/>
  <c r="G81" i="10"/>
  <c r="I81" i="10"/>
  <c r="G80" i="10"/>
  <c r="I80" i="10"/>
  <c r="G79" i="10"/>
  <c r="I79" i="10"/>
  <c r="G78" i="10"/>
  <c r="I78" i="10"/>
  <c r="G77" i="10"/>
  <c r="I77" i="10"/>
  <c r="G76" i="10"/>
  <c r="I76" i="10"/>
  <c r="G75" i="10"/>
  <c r="I75" i="10"/>
  <c r="G74" i="10"/>
  <c r="I74" i="10"/>
  <c r="G73" i="10"/>
  <c r="I73" i="10"/>
  <c r="G72" i="10"/>
  <c r="I72" i="10"/>
  <c r="G71" i="10"/>
  <c r="I71" i="10"/>
  <c r="G70" i="10"/>
  <c r="I70" i="10"/>
  <c r="G69" i="10"/>
  <c r="I69" i="10"/>
  <c r="G68" i="10"/>
  <c r="I68" i="10"/>
  <c r="G67" i="10"/>
  <c r="I67" i="10"/>
  <c r="G43" i="10"/>
  <c r="I43" i="10"/>
  <c r="G42" i="10"/>
  <c r="I42" i="10"/>
  <c r="G41" i="10"/>
  <c r="I41" i="10"/>
  <c r="G40" i="10"/>
  <c r="I40" i="10"/>
  <c r="G39" i="10"/>
  <c r="I39" i="10"/>
  <c r="G38" i="10"/>
  <c r="I38" i="10"/>
  <c r="G20" i="10"/>
  <c r="I20" i="10"/>
  <c r="G16" i="10"/>
  <c r="I16" i="10"/>
  <c r="G15" i="10"/>
  <c r="I15" i="10"/>
  <c r="G14" i="10"/>
  <c r="I14" i="10"/>
  <c r="G13" i="10"/>
  <c r="I13" i="10"/>
  <c r="I12" i="10"/>
  <c r="G12" i="10"/>
  <c r="I11" i="10"/>
  <c r="G11" i="10"/>
  <c r="G10" i="10"/>
  <c r="I10" i="10"/>
  <c r="G8" i="10"/>
  <c r="J193" i="10" s="1"/>
  <c r="I8" i="10"/>
  <c r="G7" i="10"/>
  <c r="I7" i="10"/>
  <c r="G6" i="10"/>
  <c r="J191" i="10" s="1"/>
  <c r="I191" i="10" s="1"/>
  <c r="I6" i="10"/>
  <c r="I5" i="10"/>
  <c r="D5" i="10" s="1"/>
  <c r="C5" i="10" s="1"/>
  <c r="F339" i="10"/>
  <c r="D339" i="10" s="1"/>
  <c r="F193" i="10"/>
  <c r="F192" i="10"/>
  <c r="D192" i="10" s="1"/>
  <c r="F191" i="10"/>
  <c r="C190" i="10"/>
  <c r="G190" i="10"/>
  <c r="G339" i="10"/>
  <c r="G338" i="10"/>
  <c r="G337" i="10"/>
  <c r="G336" i="10"/>
  <c r="G335" i="10"/>
  <c r="G334" i="10"/>
  <c r="G333" i="10"/>
  <c r="G332" i="10"/>
  <c r="G331" i="10"/>
  <c r="G330" i="10"/>
  <c r="G329" i="10"/>
  <c r="G328" i="10"/>
  <c r="G327" i="10"/>
  <c r="G326" i="10"/>
  <c r="G325" i="10"/>
  <c r="G324" i="10"/>
  <c r="G323" i="10"/>
  <c r="G322" i="10"/>
  <c r="G321" i="10"/>
  <c r="G320" i="10"/>
  <c r="G319" i="10"/>
  <c r="G318" i="10"/>
  <c r="G317" i="10"/>
  <c r="G316" i="10"/>
  <c r="G315" i="10"/>
  <c r="G314" i="10"/>
  <c r="G313" i="10"/>
  <c r="G312" i="10"/>
  <c r="G311" i="10"/>
  <c r="G310" i="10"/>
  <c r="G309" i="10"/>
  <c r="G308" i="10"/>
  <c r="G307" i="10"/>
  <c r="G306" i="10"/>
  <c r="G305" i="10"/>
  <c r="G304" i="10"/>
  <c r="G303" i="10"/>
  <c r="G302" i="10"/>
  <c r="G301" i="10"/>
  <c r="G300" i="10"/>
  <c r="G299" i="10"/>
  <c r="G298" i="10"/>
  <c r="G297" i="10"/>
  <c r="G296" i="10"/>
  <c r="G295" i="10"/>
  <c r="G294" i="10"/>
  <c r="G293" i="10"/>
  <c r="G292" i="10"/>
  <c r="G291" i="10"/>
  <c r="G290" i="10"/>
  <c r="G289" i="10"/>
  <c r="G288" i="10"/>
  <c r="G287" i="10"/>
  <c r="G286" i="10"/>
  <c r="G285" i="10"/>
  <c r="G284" i="10"/>
  <c r="G283" i="10"/>
  <c r="G282" i="10"/>
  <c r="G281" i="10"/>
  <c r="G280" i="10"/>
  <c r="G279" i="10"/>
  <c r="G278" i="10"/>
  <c r="G277" i="10"/>
  <c r="G276" i="10"/>
  <c r="G275" i="10"/>
  <c r="G274" i="10"/>
  <c r="G273" i="10"/>
  <c r="G272" i="10"/>
  <c r="G271" i="10"/>
  <c r="G270" i="10"/>
  <c r="G269" i="10"/>
  <c r="G268" i="10"/>
  <c r="G267" i="10"/>
  <c r="G266" i="10"/>
  <c r="G265" i="10"/>
  <c r="G264" i="10"/>
  <c r="G263" i="10"/>
  <c r="G262" i="10"/>
  <c r="G261" i="10"/>
  <c r="G260" i="10"/>
  <c r="G259" i="10"/>
  <c r="G258" i="10"/>
  <c r="G257" i="10"/>
  <c r="G256" i="10"/>
  <c r="G255" i="10"/>
  <c r="G254" i="10"/>
  <c r="G253" i="10"/>
  <c r="G252" i="10"/>
  <c r="G251" i="10"/>
  <c r="G250" i="10"/>
  <c r="G249" i="10"/>
  <c r="G248" i="10"/>
  <c r="G247" i="10"/>
  <c r="G246" i="10"/>
  <c r="G245" i="10"/>
  <c r="G244" i="10"/>
  <c r="G243" i="10"/>
  <c r="G242" i="10"/>
  <c r="G241" i="10"/>
  <c r="G240" i="10"/>
  <c r="G239" i="10"/>
  <c r="G238" i="10"/>
  <c r="G237" i="10"/>
  <c r="G236" i="10"/>
  <c r="G235" i="10"/>
  <c r="G234" i="10"/>
  <c r="G233" i="10"/>
  <c r="G232" i="10"/>
  <c r="G231" i="10"/>
  <c r="G230" i="10"/>
  <c r="G229" i="10"/>
  <c r="G228" i="10"/>
  <c r="G227" i="10"/>
  <c r="G226" i="10"/>
  <c r="G225" i="10"/>
  <c r="G224" i="10"/>
  <c r="G223" i="10"/>
  <c r="G222" i="10"/>
  <c r="G221" i="10"/>
  <c r="G220" i="10"/>
  <c r="G219" i="10"/>
  <c r="G218" i="10"/>
  <c r="G217" i="10"/>
  <c r="G216" i="10"/>
  <c r="G215" i="10"/>
  <c r="G214" i="10"/>
  <c r="G213" i="10"/>
  <c r="G212" i="10"/>
  <c r="G211" i="10"/>
  <c r="G210" i="10"/>
  <c r="G209" i="10"/>
  <c r="G208" i="10"/>
  <c r="G207" i="10"/>
  <c r="G206" i="10"/>
  <c r="G205" i="10"/>
  <c r="G204" i="10"/>
  <c r="G203" i="10"/>
  <c r="G202" i="10"/>
  <c r="G201" i="10"/>
  <c r="G200" i="10"/>
  <c r="G199" i="10"/>
  <c r="G198" i="10"/>
  <c r="G197" i="10"/>
  <c r="G196" i="10"/>
  <c r="G195" i="10"/>
  <c r="G194" i="10"/>
  <c r="G193" i="10"/>
  <c r="G192" i="10"/>
  <c r="G191" i="10"/>
  <c r="G189" i="10"/>
  <c r="M339" i="10"/>
  <c r="M192" i="10"/>
  <c r="M190" i="10"/>
  <c r="B190" i="10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A190" i="10"/>
  <c r="A191" i="10" s="1"/>
  <c r="A192" i="10" s="1"/>
  <c r="A193" i="10" s="1"/>
  <c r="A194" i="10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I154" i="10"/>
  <c r="D154" i="10" s="1"/>
  <c r="R19" i="10"/>
  <c r="R18" i="10"/>
  <c r="R17" i="10"/>
  <c r="R16" i="10"/>
  <c r="R15" i="10"/>
  <c r="R14" i="10"/>
  <c r="R13" i="10"/>
  <c r="R12" i="10"/>
  <c r="R11" i="10"/>
  <c r="R10" i="10"/>
  <c r="R9" i="10"/>
  <c r="R8" i="10"/>
  <c r="R7" i="10"/>
  <c r="V19" i="10"/>
  <c r="S19" i="10"/>
  <c r="V18" i="10"/>
  <c r="S18" i="10"/>
  <c r="V17" i="10"/>
  <c r="S17" i="10"/>
  <c r="V16" i="10"/>
  <c r="S16" i="10"/>
  <c r="V15" i="10"/>
  <c r="S15" i="10"/>
  <c r="V14" i="10"/>
  <c r="S14" i="10"/>
  <c r="V13" i="10"/>
  <c r="S13" i="10"/>
  <c r="V12" i="10"/>
  <c r="S12" i="10"/>
  <c r="V11" i="10"/>
  <c r="S11" i="10"/>
  <c r="V10" i="10"/>
  <c r="S10" i="10"/>
  <c r="V9" i="10"/>
  <c r="S9" i="10"/>
  <c r="V8" i="10"/>
  <c r="S8" i="10"/>
  <c r="V7" i="10"/>
  <c r="S7" i="10"/>
  <c r="B5" i="10"/>
  <c r="B6" i="10"/>
  <c r="B7" i="10" s="1"/>
  <c r="B8" i="10" s="1"/>
  <c r="B9" i="10" s="1"/>
  <c r="B10" i="10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A5" i="10"/>
  <c r="A6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P24" i="10"/>
  <c r="P23" i="10"/>
  <c r="P22" i="10"/>
  <c r="E4" i="10"/>
  <c r="E7" i="10"/>
  <c r="E6" i="10"/>
  <c r="E5" i="10"/>
  <c r="E9" i="10"/>
  <c r="E8" i="10"/>
  <c r="G30" i="10"/>
  <c r="I30" i="10"/>
  <c r="G29" i="10"/>
  <c r="K215" i="10"/>
  <c r="I29" i="10"/>
  <c r="G28" i="10"/>
  <c r="K214" i="10"/>
  <c r="I28" i="10"/>
  <c r="K213" i="10"/>
  <c r="E215" i="10"/>
  <c r="E214" i="10"/>
  <c r="E213" i="10"/>
  <c r="K509" i="9"/>
  <c r="K508" i="9"/>
  <c r="K507" i="9"/>
  <c r="I578" i="9"/>
  <c r="I577" i="9"/>
  <c r="K548" i="9"/>
  <c r="K547" i="9"/>
  <c r="L510" i="9"/>
  <c r="O532" i="9"/>
  <c r="J538" i="9"/>
  <c r="I538" i="9"/>
  <c r="H538" i="9"/>
  <c r="B509" i="9"/>
  <c r="B511" i="9" s="1"/>
  <c r="L509" i="9"/>
  <c r="L511" i="9"/>
  <c r="K511" i="9" s="1"/>
  <c r="L513" i="9"/>
  <c r="K513" i="9" s="1"/>
  <c r="O531" i="9"/>
  <c r="J537" i="9" s="1"/>
  <c r="I537" i="9"/>
  <c r="G537" i="9"/>
  <c r="A509" i="9"/>
  <c r="A511" i="9"/>
  <c r="A513" i="9" s="1"/>
  <c r="A515" i="9" s="1"/>
  <c r="A517" i="9" s="1"/>
  <c r="A519" i="9" s="1"/>
  <c r="A521" i="9" s="1"/>
  <c r="A523" i="9" s="1"/>
  <c r="A525" i="9" s="1"/>
  <c r="A527" i="9" s="1"/>
  <c r="A529" i="9" s="1"/>
  <c r="A531" i="9" s="1"/>
  <c r="A533" i="9" s="1"/>
  <c r="A535" i="9" s="1"/>
  <c r="A537" i="9" s="1"/>
  <c r="H536" i="9"/>
  <c r="H507" i="9"/>
  <c r="H534" i="9"/>
  <c r="H532" i="9"/>
  <c r="H530" i="9"/>
  <c r="O528" i="9"/>
  <c r="H528" i="9"/>
  <c r="O527" i="9"/>
  <c r="O526" i="9"/>
  <c r="H526" i="9"/>
  <c r="H524" i="9"/>
  <c r="H522" i="9"/>
  <c r="H520" i="9"/>
  <c r="H518" i="9"/>
  <c r="H516" i="9"/>
  <c r="H514" i="9"/>
  <c r="H512" i="9"/>
  <c r="H510" i="9"/>
  <c r="H508" i="9"/>
  <c r="L550" i="9"/>
  <c r="K550" i="9" s="1"/>
  <c r="L552" i="9"/>
  <c r="K552" i="9" s="1"/>
  <c r="O572" i="9"/>
  <c r="J578" i="9"/>
  <c r="H578" i="9"/>
  <c r="F578" i="9" s="1"/>
  <c r="G578" i="9"/>
  <c r="B549" i="9"/>
  <c r="B551" i="9"/>
  <c r="B553" i="9" s="1"/>
  <c r="B555" i="9" s="1"/>
  <c r="B557" i="9" s="1"/>
  <c r="B559" i="9" s="1"/>
  <c r="B561" i="9" s="1"/>
  <c r="L549" i="9"/>
  <c r="K549" i="9" s="1"/>
  <c r="O571" i="9"/>
  <c r="J577" i="9" s="1"/>
  <c r="G577" i="9" s="1"/>
  <c r="A549" i="9"/>
  <c r="A551" i="9" s="1"/>
  <c r="A553" i="9" s="1"/>
  <c r="A555" i="9" s="1"/>
  <c r="A557" i="9" s="1"/>
  <c r="A559" i="9" s="1"/>
  <c r="A561" i="9" s="1"/>
  <c r="A563" i="9" s="1"/>
  <c r="A565" i="9" s="1"/>
  <c r="A567" i="9" s="1"/>
  <c r="A569" i="9" s="1"/>
  <c r="A571" i="9" s="1"/>
  <c r="A573" i="9" s="1"/>
  <c r="A575" i="9" s="1"/>
  <c r="A577" i="9"/>
  <c r="H576" i="9"/>
  <c r="H547" i="9"/>
  <c r="H574" i="9"/>
  <c r="H572" i="9"/>
  <c r="H570" i="9"/>
  <c r="O568" i="9"/>
  <c r="H568" i="9"/>
  <c r="O567" i="9"/>
  <c r="O566" i="9"/>
  <c r="H566" i="9"/>
  <c r="H564" i="9"/>
  <c r="H562" i="9"/>
  <c r="H560" i="9"/>
  <c r="B560" i="9"/>
  <c r="H558" i="9"/>
  <c r="H556" i="9"/>
  <c r="B556" i="9"/>
  <c r="H554" i="9"/>
  <c r="B554" i="9"/>
  <c r="H552" i="9"/>
  <c r="H550" i="9"/>
  <c r="H548" i="9"/>
  <c r="O179" i="9"/>
  <c r="J427" i="9" s="1"/>
  <c r="K427" i="9"/>
  <c r="H427" i="9"/>
  <c r="L430" i="9"/>
  <c r="K430" i="9" s="1"/>
  <c r="L432" i="9"/>
  <c r="L434" i="9" s="1"/>
  <c r="L436" i="9" s="1"/>
  <c r="L438" i="9" s="1"/>
  <c r="K438" i="9" s="1"/>
  <c r="L429" i="9"/>
  <c r="K429" i="9" s="1"/>
  <c r="K436" i="9"/>
  <c r="K434" i="9"/>
  <c r="K432" i="9"/>
  <c r="K118" i="9"/>
  <c r="K155" i="9"/>
  <c r="L197" i="9"/>
  <c r="L199" i="9" s="1"/>
  <c r="L196" i="9"/>
  <c r="L198" i="9"/>
  <c r="L200" i="9"/>
  <c r="K198" i="9"/>
  <c r="K197" i="9"/>
  <c r="K196" i="9"/>
  <c r="K195" i="9"/>
  <c r="K194" i="9"/>
  <c r="L237" i="9"/>
  <c r="L239" i="9" s="1"/>
  <c r="L236" i="9"/>
  <c r="L238" i="9" s="1"/>
  <c r="L240" i="9" s="1"/>
  <c r="K238" i="9"/>
  <c r="K237" i="9"/>
  <c r="K236" i="9"/>
  <c r="K234" i="9"/>
  <c r="L276" i="9"/>
  <c r="L278" i="9" s="1"/>
  <c r="L280" i="9"/>
  <c r="L282" i="9"/>
  <c r="L284" i="9" s="1"/>
  <c r="L275" i="9"/>
  <c r="K275" i="9" s="1"/>
  <c r="K282" i="9"/>
  <c r="K280" i="9"/>
  <c r="K278" i="9"/>
  <c r="K276" i="9"/>
  <c r="K273" i="9"/>
  <c r="L318" i="9"/>
  <c r="L320" i="9"/>
  <c r="L322" i="9"/>
  <c r="K322" i="9" s="1"/>
  <c r="L317" i="9"/>
  <c r="K320" i="9"/>
  <c r="K318" i="9"/>
  <c r="K315" i="9"/>
  <c r="L358" i="9"/>
  <c r="K358" i="9" s="1"/>
  <c r="L360" i="9"/>
  <c r="L362" i="9"/>
  <c r="L364" i="9"/>
  <c r="L366" i="9" s="1"/>
  <c r="L357" i="9"/>
  <c r="K364" i="9"/>
  <c r="K362" i="9"/>
  <c r="K360" i="9"/>
  <c r="K355" i="9"/>
  <c r="N428" i="9"/>
  <c r="N430" i="9"/>
  <c r="N432" i="9" s="1"/>
  <c r="N434" i="9" s="1"/>
  <c r="N436" i="9" s="1"/>
  <c r="N438" i="9" s="1"/>
  <c r="N440" i="9" s="1"/>
  <c r="N442" i="9" s="1"/>
  <c r="N444" i="9" s="1"/>
  <c r="N446" i="9" s="1"/>
  <c r="N448" i="9" s="1"/>
  <c r="N450" i="9" s="1"/>
  <c r="N452" i="9" s="1"/>
  <c r="N454" i="9" s="1"/>
  <c r="N456" i="9" s="1"/>
  <c r="N458" i="9" s="1"/>
  <c r="O452" i="9"/>
  <c r="J458" i="9" s="1"/>
  <c r="G458" i="9"/>
  <c r="F458" i="9"/>
  <c r="B429" i="9"/>
  <c r="B431" i="9"/>
  <c r="B433" i="9" s="1"/>
  <c r="B435" i="9" s="1"/>
  <c r="N429" i="9"/>
  <c r="N431" i="9"/>
  <c r="N433" i="9" s="1"/>
  <c r="N435" i="9" s="1"/>
  <c r="N437" i="9" s="1"/>
  <c r="N439" i="9" s="1"/>
  <c r="N441" i="9" s="1"/>
  <c r="N443" i="9" s="1"/>
  <c r="N445" i="9" s="1"/>
  <c r="N447" i="9" s="1"/>
  <c r="N449" i="9" s="1"/>
  <c r="N451" i="9" s="1"/>
  <c r="N453" i="9" s="1"/>
  <c r="N455" i="9" s="1"/>
  <c r="N457" i="9" s="1"/>
  <c r="O451" i="9"/>
  <c r="J457" i="9" s="1"/>
  <c r="H4" i="9"/>
  <c r="H429" i="9"/>
  <c r="H431" i="9"/>
  <c r="H433" i="9" s="1"/>
  <c r="A429" i="9"/>
  <c r="A431" i="9"/>
  <c r="A433" i="9"/>
  <c r="A435" i="9"/>
  <c r="A437" i="9"/>
  <c r="A439" i="9" s="1"/>
  <c r="A441" i="9" s="1"/>
  <c r="A443" i="9" s="1"/>
  <c r="A445" i="9" s="1"/>
  <c r="A447" i="9" s="1"/>
  <c r="A449" i="9"/>
  <c r="A451" i="9" s="1"/>
  <c r="A453" i="9" s="1"/>
  <c r="A455" i="9" s="1"/>
  <c r="A457" i="9" s="1"/>
  <c r="O180" i="9"/>
  <c r="J428" i="9"/>
  <c r="O448" i="9"/>
  <c r="O447" i="9"/>
  <c r="O446" i="9"/>
  <c r="K428" i="9"/>
  <c r="I428" i="9"/>
  <c r="G428" i="9"/>
  <c r="H391" i="9"/>
  <c r="H393" i="9" s="1"/>
  <c r="L394" i="9"/>
  <c r="K394" i="9" s="1"/>
  <c r="O416" i="9"/>
  <c r="J422" i="9" s="1"/>
  <c r="G422" i="9"/>
  <c r="N392" i="9"/>
  <c r="N394" i="9"/>
  <c r="N396" i="9"/>
  <c r="N398" i="9"/>
  <c r="N400" i="9"/>
  <c r="N402" i="9"/>
  <c r="N404" i="9" s="1"/>
  <c r="N406" i="9" s="1"/>
  <c r="N408" i="9" s="1"/>
  <c r="N410" i="9" s="1"/>
  <c r="N412" i="9" s="1"/>
  <c r="N414" i="9" s="1"/>
  <c r="N416" i="9" s="1"/>
  <c r="N418" i="9" s="1"/>
  <c r="N420" i="9" s="1"/>
  <c r="N422" i="9" s="1"/>
  <c r="H395" i="9"/>
  <c r="H397" i="9"/>
  <c r="H399" i="9"/>
  <c r="H401" i="9"/>
  <c r="H403" i="9" s="1"/>
  <c r="O415" i="9"/>
  <c r="J421" i="9"/>
  <c r="N393" i="9"/>
  <c r="N395" i="9"/>
  <c r="N397" i="9" s="1"/>
  <c r="N399" i="9"/>
  <c r="N401" i="9" s="1"/>
  <c r="N403" i="9"/>
  <c r="N405" i="9"/>
  <c r="N407" i="9" s="1"/>
  <c r="N409" i="9" s="1"/>
  <c r="N411" i="9" s="1"/>
  <c r="N413" i="9" s="1"/>
  <c r="N415" i="9" s="1"/>
  <c r="N417" i="9" s="1"/>
  <c r="N419" i="9" s="1"/>
  <c r="N421" i="9" s="1"/>
  <c r="I421" i="9" s="1"/>
  <c r="J392" i="9"/>
  <c r="I392" i="9" s="1"/>
  <c r="K392" i="9"/>
  <c r="D392" i="9" s="1"/>
  <c r="G392" i="9"/>
  <c r="H34" i="9"/>
  <c r="H35" i="9" s="1"/>
  <c r="J34" i="9"/>
  <c r="G34" i="9"/>
  <c r="J49" i="9"/>
  <c r="G49" i="9"/>
  <c r="I49" i="9"/>
  <c r="J19" i="9"/>
  <c r="J4" i="9"/>
  <c r="B393" i="9"/>
  <c r="B395" i="9" s="1"/>
  <c r="L393" i="9"/>
  <c r="L395" i="9" s="1"/>
  <c r="L397" i="9" s="1"/>
  <c r="L399" i="9" s="1"/>
  <c r="L401" i="9" s="1"/>
  <c r="L403" i="9" s="1"/>
  <c r="L405" i="9" s="1"/>
  <c r="L407" i="9" s="1"/>
  <c r="L409" i="9" s="1"/>
  <c r="L411" i="9" s="1"/>
  <c r="L413" i="9" s="1"/>
  <c r="L415" i="9" s="1"/>
  <c r="L417" i="9" s="1"/>
  <c r="L419" i="9" s="1"/>
  <c r="L421" i="9" s="1"/>
  <c r="A393" i="9"/>
  <c r="A395" i="9"/>
  <c r="A397" i="9"/>
  <c r="A399" i="9" s="1"/>
  <c r="A401" i="9" s="1"/>
  <c r="A403" i="9"/>
  <c r="A405" i="9" s="1"/>
  <c r="A407" i="9" s="1"/>
  <c r="A409" i="9" s="1"/>
  <c r="A411" i="9" s="1"/>
  <c r="A413" i="9" s="1"/>
  <c r="A415" i="9" s="1"/>
  <c r="A417" i="9" s="1"/>
  <c r="A419" i="9" s="1"/>
  <c r="A421" i="9" s="1"/>
  <c r="O412" i="9"/>
  <c r="O411" i="9"/>
  <c r="O410" i="9"/>
  <c r="H273" i="9"/>
  <c r="O298" i="9"/>
  <c r="J304" i="9"/>
  <c r="I304" i="9" s="1"/>
  <c r="H304" i="9"/>
  <c r="G304" i="9" s="1"/>
  <c r="N304" i="9"/>
  <c r="F304" i="9"/>
  <c r="F303" i="9" s="1"/>
  <c r="O297" i="9"/>
  <c r="J303" i="9" s="1"/>
  <c r="N303" i="9"/>
  <c r="O380" i="9"/>
  <c r="J386" i="9"/>
  <c r="G386" i="9"/>
  <c r="N356" i="9"/>
  <c r="I356" i="9" s="1"/>
  <c r="F386" i="9"/>
  <c r="O340" i="9"/>
  <c r="J346" i="9"/>
  <c r="G346" i="9"/>
  <c r="N316" i="9"/>
  <c r="N318" i="9"/>
  <c r="N320" i="9"/>
  <c r="N322" i="9" s="1"/>
  <c r="N324" i="9" s="1"/>
  <c r="N326" i="9" s="1"/>
  <c r="N328" i="9" s="1"/>
  <c r="N330" i="9" s="1"/>
  <c r="N332" i="9" s="1"/>
  <c r="N334" i="9" s="1"/>
  <c r="N336" i="9" s="1"/>
  <c r="N338" i="9" s="1"/>
  <c r="N340" i="9" s="1"/>
  <c r="N342" i="9" s="1"/>
  <c r="N344" i="9" s="1"/>
  <c r="N346" i="9" s="1"/>
  <c r="I346" i="9" s="1"/>
  <c r="F346" i="9"/>
  <c r="O143" i="9"/>
  <c r="J149" i="9" s="1"/>
  <c r="H186" i="9"/>
  <c r="H118" i="9"/>
  <c r="H120" i="9"/>
  <c r="H122" i="9"/>
  <c r="H124" i="9" s="1"/>
  <c r="O142" i="9"/>
  <c r="J148" i="9" s="1"/>
  <c r="L120" i="9"/>
  <c r="L122" i="9"/>
  <c r="L124" i="9"/>
  <c r="L126" i="9"/>
  <c r="L128" i="9"/>
  <c r="K128" i="9" s="1"/>
  <c r="L130" i="9"/>
  <c r="L132" i="9"/>
  <c r="K132" i="9" s="1"/>
  <c r="N120" i="9"/>
  <c r="N122" i="9"/>
  <c r="N124" i="9"/>
  <c r="N126" i="9"/>
  <c r="N128" i="9" s="1"/>
  <c r="N130" i="9" s="1"/>
  <c r="N132" i="9" s="1"/>
  <c r="N134" i="9" s="1"/>
  <c r="N136" i="9" s="1"/>
  <c r="N138" i="9" s="1"/>
  <c r="N140" i="9" s="1"/>
  <c r="N142" i="9" s="1"/>
  <c r="N144" i="9" s="1"/>
  <c r="N146" i="9" s="1"/>
  <c r="N148" i="9" s="1"/>
  <c r="L121" i="9"/>
  <c r="K121" i="9" s="1"/>
  <c r="N119" i="9"/>
  <c r="N121" i="9"/>
  <c r="N123" i="9"/>
  <c r="N125" i="9" s="1"/>
  <c r="N127" i="9" s="1"/>
  <c r="N129" i="9" s="1"/>
  <c r="N131" i="9" s="1"/>
  <c r="N133" i="9" s="1"/>
  <c r="N135" i="9" s="1"/>
  <c r="N137" i="9" s="1"/>
  <c r="N139" i="9" s="1"/>
  <c r="N141" i="9" s="1"/>
  <c r="N143" i="9" s="1"/>
  <c r="N145" i="9" s="1"/>
  <c r="N147" i="9" s="1"/>
  <c r="N149" i="9" s="1"/>
  <c r="J274" i="9"/>
  <c r="H275" i="9"/>
  <c r="H277" i="9" s="1"/>
  <c r="H279" i="9" s="1"/>
  <c r="H281" i="9" s="1"/>
  <c r="H283" i="9" s="1"/>
  <c r="N275" i="9"/>
  <c r="K274" i="9"/>
  <c r="H274" i="9"/>
  <c r="G274" i="9"/>
  <c r="N274" i="9"/>
  <c r="I274" i="9"/>
  <c r="D274" i="9"/>
  <c r="N302" i="9"/>
  <c r="N301" i="9"/>
  <c r="N300" i="9"/>
  <c r="N299" i="9"/>
  <c r="N298" i="9"/>
  <c r="N297" i="9"/>
  <c r="N296" i="9"/>
  <c r="N295" i="9"/>
  <c r="N294" i="9"/>
  <c r="N293" i="9"/>
  <c r="N292" i="9"/>
  <c r="N291" i="9"/>
  <c r="N290" i="9"/>
  <c r="N289" i="9"/>
  <c r="N288" i="9"/>
  <c r="N287" i="9"/>
  <c r="N286" i="9"/>
  <c r="N285" i="9"/>
  <c r="N284" i="9"/>
  <c r="N283" i="9"/>
  <c r="N282" i="9"/>
  <c r="N281" i="9"/>
  <c r="N280" i="9"/>
  <c r="N279" i="9"/>
  <c r="N278" i="9"/>
  <c r="N277" i="9"/>
  <c r="N276" i="9"/>
  <c r="E386" i="9"/>
  <c r="B357" i="9"/>
  <c r="B359" i="9"/>
  <c r="B361" i="9" s="1"/>
  <c r="N357" i="9"/>
  <c r="N359" i="9"/>
  <c r="N361" i="9"/>
  <c r="N363" i="9"/>
  <c r="N365" i="9" s="1"/>
  <c r="N367" i="9" s="1"/>
  <c r="N369" i="9" s="1"/>
  <c r="N371" i="9" s="1"/>
  <c r="N373" i="9" s="1"/>
  <c r="N375" i="9" s="1"/>
  <c r="N377" i="9" s="1"/>
  <c r="N379" i="9" s="1"/>
  <c r="N381" i="9" s="1"/>
  <c r="N383" i="9" s="1"/>
  <c r="N385" i="9"/>
  <c r="O379" i="9"/>
  <c r="J385" i="9" s="1"/>
  <c r="H355" i="9"/>
  <c r="H357" i="9"/>
  <c r="H359" i="9" s="1"/>
  <c r="A357" i="9"/>
  <c r="A359" i="9" s="1"/>
  <c r="A361" i="9" s="1"/>
  <c r="A363" i="9" s="1"/>
  <c r="A365" i="9"/>
  <c r="A367" i="9" s="1"/>
  <c r="A369" i="9" s="1"/>
  <c r="A371" i="9" s="1"/>
  <c r="A373" i="9" s="1"/>
  <c r="A375" i="9" s="1"/>
  <c r="A377" i="9" s="1"/>
  <c r="A379" i="9" s="1"/>
  <c r="A381" i="9" s="1"/>
  <c r="A383" i="9" s="1"/>
  <c r="A385" i="9" s="1"/>
  <c r="J356" i="9"/>
  <c r="G356" i="9" s="1"/>
  <c r="O376" i="9"/>
  <c r="O375" i="9"/>
  <c r="O374" i="9"/>
  <c r="B360" i="9"/>
  <c r="K356" i="9"/>
  <c r="B317" i="9"/>
  <c r="B319" i="9"/>
  <c r="B321" i="9"/>
  <c r="B323" i="9" s="1"/>
  <c r="N317" i="9"/>
  <c r="N319" i="9" s="1"/>
  <c r="N321" i="9" s="1"/>
  <c r="N323" i="9" s="1"/>
  <c r="N325" i="9" s="1"/>
  <c r="N327" i="9" s="1"/>
  <c r="N329" i="9" s="1"/>
  <c r="N331" i="9" s="1"/>
  <c r="N333" i="9" s="1"/>
  <c r="N335" i="9" s="1"/>
  <c r="N337" i="9" s="1"/>
  <c r="N339" i="9"/>
  <c r="N341" i="9" s="1"/>
  <c r="N343" i="9" s="1"/>
  <c r="N345" i="9" s="1"/>
  <c r="O339" i="9"/>
  <c r="J345" i="9" s="1"/>
  <c r="H315" i="9"/>
  <c r="H317" i="9"/>
  <c r="H319" i="9"/>
  <c r="H321" i="9"/>
  <c r="H323" i="9" s="1"/>
  <c r="H325" i="9" s="1"/>
  <c r="A317" i="9"/>
  <c r="A319" i="9"/>
  <c r="A321" i="9" s="1"/>
  <c r="A323" i="9" s="1"/>
  <c r="A325" i="9" s="1"/>
  <c r="A327" i="9" s="1"/>
  <c r="A329" i="9" s="1"/>
  <c r="A331" i="9" s="1"/>
  <c r="A333" i="9" s="1"/>
  <c r="A335" i="9" s="1"/>
  <c r="A337" i="9" s="1"/>
  <c r="A339" i="9" s="1"/>
  <c r="A341" i="9" s="1"/>
  <c r="A343" i="9" s="1"/>
  <c r="A345" i="9" s="1"/>
  <c r="J316" i="9"/>
  <c r="O336" i="9"/>
  <c r="O335" i="9"/>
  <c r="O334" i="9"/>
  <c r="B320" i="9"/>
  <c r="K316" i="9"/>
  <c r="I316" i="9"/>
  <c r="G316" i="9"/>
  <c r="E304" i="9"/>
  <c r="B275" i="9"/>
  <c r="B277" i="9"/>
  <c r="B279" i="9"/>
  <c r="B281" i="9"/>
  <c r="B283" i="9"/>
  <c r="B285" i="9" s="1"/>
  <c r="A275" i="9"/>
  <c r="A277" i="9" s="1"/>
  <c r="A279" i="9" s="1"/>
  <c r="A281" i="9" s="1"/>
  <c r="A283" i="9" s="1"/>
  <c r="A285" i="9" s="1"/>
  <c r="A287" i="9" s="1"/>
  <c r="A289" i="9" s="1"/>
  <c r="A291" i="9" s="1"/>
  <c r="A293" i="9" s="1"/>
  <c r="A295" i="9" s="1"/>
  <c r="A297" i="9" s="1"/>
  <c r="A299" i="9" s="1"/>
  <c r="A301" i="9" s="1"/>
  <c r="A303" i="9" s="1"/>
  <c r="H302" i="9"/>
  <c r="H300" i="9"/>
  <c r="H298" i="9"/>
  <c r="H296" i="9"/>
  <c r="O294" i="9"/>
  <c r="H294" i="9"/>
  <c r="O293" i="9"/>
  <c r="O292" i="9"/>
  <c r="H292" i="9"/>
  <c r="H290" i="9"/>
  <c r="H288" i="9"/>
  <c r="H286" i="9"/>
  <c r="H284" i="9"/>
  <c r="B284" i="9"/>
  <c r="H282" i="9"/>
  <c r="B282" i="9"/>
  <c r="H280" i="9"/>
  <c r="B280" i="9"/>
  <c r="H278" i="9"/>
  <c r="B278" i="9"/>
  <c r="H276" i="9"/>
  <c r="J119" i="9"/>
  <c r="J118" i="9"/>
  <c r="G118" i="9" s="1"/>
  <c r="K130" i="9"/>
  <c r="K126" i="9"/>
  <c r="K124" i="9"/>
  <c r="K122" i="9"/>
  <c r="K120" i="9"/>
  <c r="K119" i="9"/>
  <c r="I118" i="9"/>
  <c r="D118" i="9"/>
  <c r="N158" i="9"/>
  <c r="N160" i="9"/>
  <c r="N162" i="9" s="1"/>
  <c r="N164" i="9" s="1"/>
  <c r="N166" i="9" s="1"/>
  <c r="N168" i="9" s="1"/>
  <c r="N170" i="9" s="1"/>
  <c r="N172" i="9" s="1"/>
  <c r="N174" i="9" s="1"/>
  <c r="N176" i="9" s="1"/>
  <c r="N178" i="9" s="1"/>
  <c r="N180" i="9" s="1"/>
  <c r="N182" i="9" s="1"/>
  <c r="N184" i="9" s="1"/>
  <c r="N186" i="9" s="1"/>
  <c r="L158" i="9"/>
  <c r="L160" i="9"/>
  <c r="L162" i="9"/>
  <c r="L164" i="9" s="1"/>
  <c r="L166" i="9" s="1"/>
  <c r="L157" i="9"/>
  <c r="L159" i="9" s="1"/>
  <c r="H184" i="9"/>
  <c r="H155" i="9"/>
  <c r="H157" i="9"/>
  <c r="H159" i="9"/>
  <c r="H161" i="9"/>
  <c r="H163" i="9" s="1"/>
  <c r="H182" i="9"/>
  <c r="H180" i="9"/>
  <c r="H178" i="9"/>
  <c r="H176" i="9"/>
  <c r="H174" i="9"/>
  <c r="H172" i="9"/>
  <c r="H170" i="9"/>
  <c r="H168" i="9"/>
  <c r="H166" i="9"/>
  <c r="H164" i="9"/>
  <c r="K164" i="9"/>
  <c r="H162" i="9"/>
  <c r="K162" i="9"/>
  <c r="H160" i="9"/>
  <c r="K160" i="9"/>
  <c r="H158" i="9"/>
  <c r="K158" i="9"/>
  <c r="K157" i="9"/>
  <c r="K156" i="9"/>
  <c r="H156" i="9"/>
  <c r="H225" i="9"/>
  <c r="O219" i="9"/>
  <c r="J225" i="9"/>
  <c r="I225" i="9" s="1"/>
  <c r="O218" i="9"/>
  <c r="J224" i="9" s="1"/>
  <c r="G224" i="9" s="1"/>
  <c r="J195" i="9"/>
  <c r="G195" i="9" s="1"/>
  <c r="H223" i="9"/>
  <c r="H194" i="9"/>
  <c r="H196" i="9"/>
  <c r="H198" i="9"/>
  <c r="J194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I195" i="9"/>
  <c r="D195" i="9" s="1"/>
  <c r="G194" i="9"/>
  <c r="I194" i="9"/>
  <c r="H265" i="9"/>
  <c r="O259" i="9"/>
  <c r="J265" i="9" s="1"/>
  <c r="N265" i="9"/>
  <c r="I265" i="9"/>
  <c r="O258" i="9"/>
  <c r="J264" i="9"/>
  <c r="G264" i="9" s="1"/>
  <c r="N264" i="9"/>
  <c r="J235" i="9"/>
  <c r="H263" i="9"/>
  <c r="N263" i="9"/>
  <c r="H234" i="9"/>
  <c r="H236" i="9"/>
  <c r="H238" i="9"/>
  <c r="H240" i="9"/>
  <c r="J234" i="9"/>
  <c r="N262" i="9"/>
  <c r="H261" i="9"/>
  <c r="N261" i="9"/>
  <c r="N260" i="9"/>
  <c r="H259" i="9"/>
  <c r="N259" i="9"/>
  <c r="N258" i="9"/>
  <c r="H257" i="9"/>
  <c r="N257" i="9"/>
  <c r="N256" i="9"/>
  <c r="H255" i="9"/>
  <c r="N255" i="9"/>
  <c r="N254" i="9"/>
  <c r="H253" i="9"/>
  <c r="N253" i="9"/>
  <c r="N252" i="9"/>
  <c r="H251" i="9"/>
  <c r="N251" i="9"/>
  <c r="N250" i="9"/>
  <c r="H249" i="9"/>
  <c r="N249" i="9"/>
  <c r="N248" i="9"/>
  <c r="H247" i="9"/>
  <c r="N247" i="9"/>
  <c r="N246" i="9"/>
  <c r="H245" i="9"/>
  <c r="N245" i="9"/>
  <c r="N244" i="9"/>
  <c r="H243" i="9"/>
  <c r="N243" i="9"/>
  <c r="N242" i="9"/>
  <c r="H241" i="9"/>
  <c r="N241" i="9"/>
  <c r="N240" i="9"/>
  <c r="H239" i="9"/>
  <c r="N239" i="9"/>
  <c r="N238" i="9"/>
  <c r="H237" i="9"/>
  <c r="N237" i="9"/>
  <c r="N236" i="9"/>
  <c r="K235" i="9"/>
  <c r="H235" i="9"/>
  <c r="G235" i="9"/>
  <c r="N235" i="9"/>
  <c r="I235" i="9"/>
  <c r="B236" i="9"/>
  <c r="B238" i="9" s="1"/>
  <c r="A236" i="9"/>
  <c r="A238" i="9" s="1"/>
  <c r="A240" i="9" s="1"/>
  <c r="A242" i="9" s="1"/>
  <c r="A244" i="9" s="1"/>
  <c r="A246" i="9" s="1"/>
  <c r="A248" i="9" s="1"/>
  <c r="A250" i="9" s="1"/>
  <c r="A252" i="9" s="1"/>
  <c r="A254" i="9" s="1"/>
  <c r="A256" i="9" s="1"/>
  <c r="A258" i="9" s="1"/>
  <c r="A260" i="9" s="1"/>
  <c r="A262" i="9" s="1"/>
  <c r="A264" i="9" s="1"/>
  <c r="O255" i="9"/>
  <c r="O254" i="9"/>
  <c r="O253" i="9"/>
  <c r="B120" i="9"/>
  <c r="B122" i="9"/>
  <c r="B123" i="9" s="1"/>
  <c r="B124" i="9"/>
  <c r="B125" i="9" s="1"/>
  <c r="B126" i="9"/>
  <c r="A120" i="9"/>
  <c r="A122" i="9"/>
  <c r="A124" i="9" s="1"/>
  <c r="A126" i="9" s="1"/>
  <c r="A128" i="9" s="1"/>
  <c r="A130" i="9" s="1"/>
  <c r="A132" i="9" s="1"/>
  <c r="A134" i="9" s="1"/>
  <c r="A136" i="9" s="1"/>
  <c r="A138" i="9" s="1"/>
  <c r="A140" i="9" s="1"/>
  <c r="A142" i="9"/>
  <c r="A144" i="9" s="1"/>
  <c r="A146" i="9" s="1"/>
  <c r="A148" i="9" s="1"/>
  <c r="O139" i="9"/>
  <c r="O138" i="9"/>
  <c r="O137" i="9"/>
  <c r="B196" i="9"/>
  <c r="B198" i="9" s="1"/>
  <c r="A196" i="9"/>
  <c r="A198" i="9"/>
  <c r="A200" i="9" s="1"/>
  <c r="A202" i="9" s="1"/>
  <c r="A204" i="9" s="1"/>
  <c r="A206" i="9" s="1"/>
  <c r="A208" i="9" s="1"/>
  <c r="A210" i="9" s="1"/>
  <c r="A212" i="9" s="1"/>
  <c r="A214" i="9"/>
  <c r="A216" i="9" s="1"/>
  <c r="A218" i="9" s="1"/>
  <c r="A220" i="9" s="1"/>
  <c r="A222" i="9" s="1"/>
  <c r="A224" i="9" s="1"/>
  <c r="O215" i="9"/>
  <c r="O214" i="9"/>
  <c r="O213" i="9"/>
  <c r="J5" i="9"/>
  <c r="J6" i="9" s="1"/>
  <c r="J7" i="9" s="1"/>
  <c r="N157" i="9"/>
  <c r="N159" i="9" s="1"/>
  <c r="N161" i="9"/>
  <c r="N163" i="9" s="1"/>
  <c r="N165" i="9" s="1"/>
  <c r="N167" i="9" s="1"/>
  <c r="N169" i="9" s="1"/>
  <c r="N171" i="9" s="1"/>
  <c r="N173" i="9" s="1"/>
  <c r="N175" i="9" s="1"/>
  <c r="N177" i="9" s="1"/>
  <c r="N179" i="9" s="1"/>
  <c r="N181" i="9" s="1"/>
  <c r="N183" i="9" s="1"/>
  <c r="N185" i="9" s="1"/>
  <c r="B157" i="9"/>
  <c r="B159" i="9"/>
  <c r="B160" i="9" s="1"/>
  <c r="O176" i="9"/>
  <c r="O175" i="9"/>
  <c r="O174" i="9"/>
  <c r="A157" i="9"/>
  <c r="A159" i="9"/>
  <c r="A161" i="9"/>
  <c r="A163" i="9"/>
  <c r="A165" i="9" s="1"/>
  <c r="A167" i="9" s="1"/>
  <c r="A169" i="9" s="1"/>
  <c r="A171" i="9" s="1"/>
  <c r="A173" i="9" s="1"/>
  <c r="A175" i="9" s="1"/>
  <c r="A177" i="9" s="1"/>
  <c r="A179" i="9" s="1"/>
  <c r="A181" i="9" s="1"/>
  <c r="A183" i="9" s="1"/>
  <c r="A185" i="9" s="1"/>
  <c r="K4" i="9"/>
  <c r="G4" i="9"/>
  <c r="I4" i="9"/>
  <c r="H5" i="9"/>
  <c r="L5" i="9"/>
  <c r="L6" i="9" s="1"/>
  <c r="K6" i="9" s="1"/>
  <c r="D68" i="9"/>
  <c r="F19" i="9"/>
  <c r="H6" i="9"/>
  <c r="H7" i="9" s="1"/>
  <c r="I19" i="9"/>
  <c r="K19" i="9"/>
  <c r="J73" i="9"/>
  <c r="L7" i="9"/>
  <c r="L8" i="9"/>
  <c r="K8" i="9" s="1"/>
  <c r="L9" i="9"/>
  <c r="K7" i="9"/>
  <c r="I6" i="9"/>
  <c r="J71" i="9"/>
  <c r="C53" i="9"/>
  <c r="F68" i="9"/>
  <c r="E53" i="9"/>
  <c r="B54" i="9"/>
  <c r="B55" i="9" s="1"/>
  <c r="B56" i="9" s="1"/>
  <c r="B57" i="9" s="1"/>
  <c r="B58" i="9" s="1"/>
  <c r="B59" i="9" s="1"/>
  <c r="B60" i="9" s="1"/>
  <c r="B61" i="9" s="1"/>
  <c r="B62" i="9" s="1"/>
  <c r="B63" i="9"/>
  <c r="B64" i="9" s="1"/>
  <c r="B65" i="9" s="1"/>
  <c r="B66" i="9" s="1"/>
  <c r="B67" i="9" s="1"/>
  <c r="B68" i="9" s="1"/>
  <c r="A54" i="9"/>
  <c r="A55" i="9"/>
  <c r="A56" i="9" s="1"/>
  <c r="A57" i="9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G19" i="9"/>
  <c r="L35" i="9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F49" i="9"/>
  <c r="N40" i="9"/>
  <c r="N39" i="9"/>
  <c r="N38" i="9"/>
  <c r="B35" i="9"/>
  <c r="B36" i="9" s="1"/>
  <c r="B37" i="9" s="1"/>
  <c r="B38" i="9" s="1"/>
  <c r="B39" i="9" s="1"/>
  <c r="B40" i="9" s="1"/>
  <c r="B41" i="9" s="1"/>
  <c r="B42" i="9"/>
  <c r="B43" i="9" s="1"/>
  <c r="B44" i="9" s="1"/>
  <c r="B45" i="9" s="1"/>
  <c r="B46" i="9" s="1"/>
  <c r="B47" i="9" s="1"/>
  <c r="B48" i="9" s="1"/>
  <c r="B49" i="9" s="1"/>
  <c r="A35" i="9"/>
  <c r="A36" i="9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" i="9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B5" i="9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/>
  <c r="B18" i="9"/>
  <c r="B19" i="9" s="1"/>
  <c r="M24" i="9"/>
  <c r="M23" i="9"/>
  <c r="M22" i="9"/>
  <c r="E19" i="9"/>
  <c r="D13" i="11"/>
  <c r="C5" i="11"/>
  <c r="C23" i="11" s="1"/>
  <c r="D2" i="11"/>
  <c r="D3" i="11"/>
  <c r="E3" i="11" s="1"/>
  <c r="D4" i="11"/>
  <c r="E4" i="11" s="1"/>
  <c r="D5" i="11"/>
  <c r="D23" i="11" s="1"/>
  <c r="D27" i="11" s="1"/>
  <c r="D28" i="11" s="1"/>
  <c r="D24" i="11"/>
  <c r="C7" i="11"/>
  <c r="C6" i="11"/>
  <c r="D6" i="11" s="1"/>
  <c r="D32" i="11"/>
  <c r="D9" i="11"/>
  <c r="D38" i="11"/>
  <c r="D41" i="11" s="1"/>
  <c r="D53" i="11" s="1"/>
  <c r="D40" i="11"/>
  <c r="D34" i="11"/>
  <c r="C28" i="11"/>
  <c r="C36" i="11"/>
  <c r="C38" i="11"/>
  <c r="C40" i="11" s="1"/>
  <c r="C41" i="11"/>
  <c r="C43" i="11"/>
  <c r="C51" i="11"/>
  <c r="C16" i="11"/>
  <c r="C18" i="11"/>
  <c r="C17" i="11"/>
  <c r="F14" i="11" s="1"/>
  <c r="D14" i="11"/>
  <c r="D51" i="11"/>
  <c r="C64" i="11"/>
  <c r="C73" i="11"/>
  <c r="D73" i="11"/>
  <c r="D75" i="11"/>
  <c r="C75" i="11"/>
  <c r="E9" i="11"/>
  <c r="D64" i="11"/>
  <c r="D66" i="11"/>
  <c r="I6" i="15"/>
  <c r="F6" i="15"/>
  <c r="H6" i="15" s="1"/>
  <c r="K193" i="17"/>
  <c r="K192" i="17"/>
  <c r="K191" i="17"/>
  <c r="K190" i="17"/>
  <c r="K189" i="17"/>
  <c r="K188" i="17"/>
  <c r="K187" i="17"/>
  <c r="K186" i="17"/>
  <c r="L198" i="17"/>
  <c r="M198" i="17" s="1"/>
  <c r="L189" i="17"/>
  <c r="L190" i="17"/>
  <c r="L193" i="17"/>
  <c r="L192" i="17"/>
  <c r="L187" i="17"/>
  <c r="L188" i="17"/>
  <c r="L186" i="17"/>
  <c r="J193" i="17"/>
  <c r="J192" i="17"/>
  <c r="J191" i="17"/>
  <c r="J190" i="17"/>
  <c r="J189" i="17"/>
  <c r="J188" i="17"/>
  <c r="J187" i="17"/>
  <c r="A633" i="17"/>
  <c r="A438" i="17"/>
  <c r="A431" i="17"/>
  <c r="A415" i="17"/>
  <c r="A397" i="17"/>
  <c r="A306" i="17"/>
  <c r="K291" i="17"/>
  <c r="K290" i="17"/>
  <c r="K289" i="17"/>
  <c r="K278" i="17"/>
  <c r="K277" i="17"/>
  <c r="K276" i="17"/>
  <c r="K263" i="17"/>
  <c r="K262" i="17"/>
  <c r="K261" i="17"/>
  <c r="K260" i="17"/>
  <c r="K229" i="17"/>
  <c r="K228" i="17"/>
  <c r="K227" i="17"/>
  <c r="J186" i="17"/>
  <c r="A111" i="17"/>
  <c r="A104" i="17"/>
  <c r="A88" i="17"/>
  <c r="A70" i="17"/>
  <c r="K229" i="18"/>
  <c r="K1240" i="18"/>
  <c r="K1239" i="18"/>
  <c r="K1238" i="18"/>
  <c r="K332" i="18"/>
  <c r="K331" i="18"/>
  <c r="K330" i="18"/>
  <c r="K329" i="18"/>
  <c r="K259" i="18"/>
  <c r="K258" i="18"/>
  <c r="K257" i="18"/>
  <c r="K232" i="18"/>
  <c r="K231" i="18"/>
  <c r="K230" i="18"/>
  <c r="A1386" i="18"/>
  <c r="A1143" i="18"/>
  <c r="A1127" i="18"/>
  <c r="A1110" i="18"/>
  <c r="A1001" i="18"/>
  <c r="A809" i="18"/>
  <c r="A793" i="18"/>
  <c r="A776" i="18"/>
  <c r="A685" i="18"/>
  <c r="A490" i="18"/>
  <c r="A483" i="18"/>
  <c r="A467" i="18"/>
  <c r="A449" i="18"/>
  <c r="A347" i="18"/>
  <c r="A137" i="18"/>
  <c r="A130" i="18"/>
  <c r="A114" i="18"/>
  <c r="A95" i="18"/>
  <c r="AK544" i="12"/>
  <c r="AJ544" i="12"/>
  <c r="AI544" i="12"/>
  <c r="AD544" i="12"/>
  <c r="H571" i="12"/>
  <c r="H564" i="12"/>
  <c r="H561" i="12"/>
  <c r="H557" i="12"/>
  <c r="H555" i="12"/>
  <c r="H554" i="12"/>
  <c r="H551" i="12"/>
  <c r="H549" i="12"/>
  <c r="H548" i="12"/>
  <c r="G566" i="12"/>
  <c r="G557" i="12"/>
  <c r="G555" i="12"/>
  <c r="T508" i="12"/>
  <c r="H538" i="12"/>
  <c r="H531" i="12"/>
  <c r="H526" i="12"/>
  <c r="H519" i="12"/>
  <c r="H507" i="12"/>
  <c r="G525" i="12"/>
  <c r="G513" i="12"/>
  <c r="G508" i="12"/>
  <c r="T507" i="12"/>
  <c r="I537" i="12"/>
  <c r="I575" i="12"/>
  <c r="I574" i="12"/>
  <c r="A541" i="12"/>
  <c r="A542" i="12"/>
  <c r="D544" i="12"/>
  <c r="F544" i="12"/>
  <c r="T544" i="12"/>
  <c r="V544" i="12"/>
  <c r="X544" i="12"/>
  <c r="Z544" i="12"/>
  <c r="AB544" i="12"/>
  <c r="AG544" i="12"/>
  <c r="D545" i="12"/>
  <c r="H545" i="12" s="1"/>
  <c r="F545" i="12"/>
  <c r="AG545" i="12"/>
  <c r="D546" i="12"/>
  <c r="AG546" i="12"/>
  <c r="A547" i="12"/>
  <c r="A549" i="12" s="1"/>
  <c r="A551" i="12" s="1"/>
  <c r="A553" i="12" s="1"/>
  <c r="A555" i="12" s="1"/>
  <c r="A557" i="12" s="1"/>
  <c r="A559" i="12" s="1"/>
  <c r="A561" i="12" s="1"/>
  <c r="A563" i="12" s="1"/>
  <c r="A565" i="12" s="1"/>
  <c r="A567" i="12" s="1"/>
  <c r="D547" i="12"/>
  <c r="E547" i="12" s="1"/>
  <c r="AG547" i="12"/>
  <c r="D548" i="12"/>
  <c r="G548" i="12" s="1"/>
  <c r="E548" i="12"/>
  <c r="F548" i="12"/>
  <c r="AG548" i="12"/>
  <c r="D549" i="12"/>
  <c r="E549" i="12"/>
  <c r="F549" i="12"/>
  <c r="AG549" i="12"/>
  <c r="D550" i="12"/>
  <c r="AG550" i="12"/>
  <c r="D551" i="12"/>
  <c r="E551" i="12"/>
  <c r="F551" i="12"/>
  <c r="AG551" i="12"/>
  <c r="A552" i="12"/>
  <c r="D552" i="12"/>
  <c r="H552" i="12" s="1"/>
  <c r="F552" i="12"/>
  <c r="AG552" i="12"/>
  <c r="D553" i="12"/>
  <c r="E553" i="12"/>
  <c r="F553" i="12"/>
  <c r="AG553" i="12"/>
  <c r="A554" i="12"/>
  <c r="D554" i="12"/>
  <c r="E554" i="12" s="1"/>
  <c r="AG554" i="12"/>
  <c r="D555" i="12"/>
  <c r="E555" i="12"/>
  <c r="F555" i="12"/>
  <c r="AG555" i="12"/>
  <c r="D556" i="12"/>
  <c r="E556" i="12" s="1"/>
  <c r="F556" i="12"/>
  <c r="AG556" i="12"/>
  <c r="D557" i="12"/>
  <c r="E557" i="12"/>
  <c r="F557" i="12"/>
  <c r="AG557" i="12"/>
  <c r="D558" i="12"/>
  <c r="H558" i="12" s="1"/>
  <c r="E558" i="12"/>
  <c r="F558" i="12"/>
  <c r="AG558" i="12"/>
  <c r="D559" i="12"/>
  <c r="H559" i="12" s="1"/>
  <c r="E559" i="12"/>
  <c r="F559" i="12"/>
  <c r="G559" i="12" s="1"/>
  <c r="AG559" i="12"/>
  <c r="D560" i="12"/>
  <c r="AG560" i="12"/>
  <c r="D561" i="12"/>
  <c r="E561" i="12"/>
  <c r="F561" i="12"/>
  <c r="AG561" i="12"/>
  <c r="A562" i="12"/>
  <c r="D562" i="12"/>
  <c r="E562" i="12" s="1"/>
  <c r="F562" i="12"/>
  <c r="AG562" i="12"/>
  <c r="D563" i="12"/>
  <c r="E563" i="12" s="1"/>
  <c r="F563" i="12"/>
  <c r="AG563" i="12"/>
  <c r="A564" i="12"/>
  <c r="D564" i="12"/>
  <c r="AG564" i="12"/>
  <c r="D565" i="12"/>
  <c r="AG565" i="12"/>
  <c r="D566" i="12"/>
  <c r="H566" i="12" s="1"/>
  <c r="E566" i="12"/>
  <c r="F566" i="12"/>
  <c r="AG566" i="12"/>
  <c r="D567" i="12"/>
  <c r="E567" i="12" s="1"/>
  <c r="AG567" i="12"/>
  <c r="A568" i="12"/>
  <c r="D568" i="12"/>
  <c r="H568" i="12" s="1"/>
  <c r="E568" i="12"/>
  <c r="F568" i="12"/>
  <c r="AG568" i="12"/>
  <c r="A569" i="12"/>
  <c r="A571" i="12" s="1"/>
  <c r="D569" i="12"/>
  <c r="AG569" i="12"/>
  <c r="D570" i="12"/>
  <c r="H570" i="12" s="1"/>
  <c r="E570" i="12"/>
  <c r="F570" i="12"/>
  <c r="AG570" i="12"/>
  <c r="D571" i="12"/>
  <c r="E571" i="12" s="1"/>
  <c r="AG571" i="12"/>
  <c r="D572" i="12"/>
  <c r="H572" i="12" s="1"/>
  <c r="F572" i="12"/>
  <c r="AG572" i="12"/>
  <c r="D573" i="12"/>
  <c r="E573" i="12" s="1"/>
  <c r="AG573" i="12"/>
  <c r="D574" i="12"/>
  <c r="E574" i="12"/>
  <c r="F574" i="12"/>
  <c r="AG574" i="12"/>
  <c r="AH574" i="12"/>
  <c r="D575" i="12"/>
  <c r="H575" i="12" s="1"/>
  <c r="AG575" i="12"/>
  <c r="AH575" i="12"/>
  <c r="D538" i="12"/>
  <c r="G538" i="12" s="1"/>
  <c r="D537" i="12"/>
  <c r="D536" i="12"/>
  <c r="D535" i="12"/>
  <c r="H535" i="12" s="1"/>
  <c r="E535" i="12"/>
  <c r="D534" i="12"/>
  <c r="H534" i="12" s="1"/>
  <c r="E534" i="12"/>
  <c r="D533" i="12"/>
  <c r="H533" i="12" s="1"/>
  <c r="D532" i="12"/>
  <c r="D531" i="12"/>
  <c r="E531" i="12" s="1"/>
  <c r="D530" i="12"/>
  <c r="H530" i="12" s="1"/>
  <c r="E530" i="12"/>
  <c r="D529" i="12"/>
  <c r="G529" i="12" s="1"/>
  <c r="E529" i="12"/>
  <c r="D528" i="12"/>
  <c r="G528" i="12" s="1"/>
  <c r="D527" i="12"/>
  <c r="D526" i="12"/>
  <c r="D525" i="12"/>
  <c r="H525" i="12" s="1"/>
  <c r="E525" i="12"/>
  <c r="D524" i="12"/>
  <c r="H524" i="12" s="1"/>
  <c r="E524" i="12"/>
  <c r="D523" i="12"/>
  <c r="F523" i="12" s="1"/>
  <c r="D522" i="12"/>
  <c r="D521" i="12"/>
  <c r="H521" i="12" s="1"/>
  <c r="D520" i="12"/>
  <c r="H520" i="12" s="1"/>
  <c r="E520" i="12"/>
  <c r="D519" i="12"/>
  <c r="E519" i="12" s="1"/>
  <c r="D518" i="12"/>
  <c r="H518" i="12" s="1"/>
  <c r="D517" i="12"/>
  <c r="D516" i="12"/>
  <c r="D515" i="12"/>
  <c r="H515" i="12" s="1"/>
  <c r="E515" i="12"/>
  <c r="D514" i="12"/>
  <c r="H514" i="12" s="1"/>
  <c r="D513" i="12"/>
  <c r="F513" i="12" s="1"/>
  <c r="D512" i="12"/>
  <c r="D511" i="12"/>
  <c r="E511" i="12" s="1"/>
  <c r="D510" i="12"/>
  <c r="H510" i="12" s="1"/>
  <c r="E510" i="12"/>
  <c r="D509" i="12"/>
  <c r="H509" i="12" s="1"/>
  <c r="D508" i="12"/>
  <c r="H508" i="12" s="1"/>
  <c r="D507" i="12"/>
  <c r="AH537" i="12"/>
  <c r="F538" i="12"/>
  <c r="E538" i="12"/>
  <c r="A510" i="12"/>
  <c r="A512" i="12" s="1"/>
  <c r="A514" i="12" s="1"/>
  <c r="AG538" i="12"/>
  <c r="F536" i="12"/>
  <c r="AG537" i="12"/>
  <c r="F535" i="12"/>
  <c r="AG536" i="12"/>
  <c r="AG535" i="12"/>
  <c r="AG534" i="12"/>
  <c r="AG533" i="12"/>
  <c r="F531" i="12"/>
  <c r="AG532" i="12"/>
  <c r="F530" i="12"/>
  <c r="AG531" i="12"/>
  <c r="F529" i="12"/>
  <c r="AG530" i="12"/>
  <c r="F528" i="12"/>
  <c r="AG529" i="12"/>
  <c r="AG528" i="12"/>
  <c r="F526" i="12"/>
  <c r="AG527" i="12"/>
  <c r="F525" i="12"/>
  <c r="AG526" i="12"/>
  <c r="AG525" i="12"/>
  <c r="AG524" i="12"/>
  <c r="AG523" i="12"/>
  <c r="F521" i="12"/>
  <c r="AG522" i="12"/>
  <c r="F520" i="12"/>
  <c r="G520" i="12" s="1"/>
  <c r="AG521" i="12"/>
  <c r="F519" i="12"/>
  <c r="AG520" i="12"/>
  <c r="F518" i="12"/>
  <c r="AG519" i="12"/>
  <c r="AG518" i="12"/>
  <c r="F516" i="12"/>
  <c r="AG517" i="12"/>
  <c r="F515" i="12"/>
  <c r="AG516" i="12"/>
  <c r="AG515" i="12"/>
  <c r="AG514" i="12"/>
  <c r="AG513" i="12"/>
  <c r="A513" i="12"/>
  <c r="F511" i="12"/>
  <c r="AG512" i="12"/>
  <c r="F510" i="12"/>
  <c r="G510" i="12" s="1"/>
  <c r="AG511" i="12"/>
  <c r="F509" i="12"/>
  <c r="AG510" i="12"/>
  <c r="F508" i="12"/>
  <c r="AG509" i="12"/>
  <c r="F507" i="12"/>
  <c r="AG508" i="12"/>
  <c r="AG507" i="12"/>
  <c r="AB507" i="12"/>
  <c r="Z507" i="12"/>
  <c r="X507" i="12"/>
  <c r="V507" i="12"/>
  <c r="A505" i="12"/>
  <c r="A504" i="12"/>
  <c r="C397" i="12"/>
  <c r="C398" i="12"/>
  <c r="C399" i="12"/>
  <c r="A80" i="12"/>
  <c r="A79" i="12"/>
  <c r="D421" i="12" s="1"/>
  <c r="F421" i="12" s="1"/>
  <c r="D427" i="12"/>
  <c r="F427" i="12" s="1"/>
  <c r="D425" i="12"/>
  <c r="D423" i="12"/>
  <c r="D422" i="12"/>
  <c r="D419" i="12"/>
  <c r="D417" i="12"/>
  <c r="F417" i="12" s="1"/>
  <c r="D415" i="12"/>
  <c r="D413" i="12"/>
  <c r="D409" i="12"/>
  <c r="D407" i="12"/>
  <c r="F407" i="12" s="1"/>
  <c r="D405" i="12"/>
  <c r="D403" i="12"/>
  <c r="A394" i="12"/>
  <c r="D401" i="12"/>
  <c r="D399" i="12"/>
  <c r="D397" i="12"/>
  <c r="H397" i="12"/>
  <c r="G397" i="12"/>
  <c r="D389" i="12"/>
  <c r="F389" i="12" s="1"/>
  <c r="D388" i="12"/>
  <c r="D387" i="12"/>
  <c r="H387" i="12"/>
  <c r="F387" i="12"/>
  <c r="G387" i="12" s="1"/>
  <c r="D385" i="12"/>
  <c r="H385" i="12"/>
  <c r="F385" i="12"/>
  <c r="G385" i="12"/>
  <c r="D383" i="12"/>
  <c r="D379" i="12"/>
  <c r="F379" i="12" s="1"/>
  <c r="D378" i="12"/>
  <c r="D377" i="12"/>
  <c r="H377" i="12"/>
  <c r="F377" i="12"/>
  <c r="G377" i="12" s="1"/>
  <c r="D375" i="12"/>
  <c r="H375" i="12"/>
  <c r="F375" i="12"/>
  <c r="G375" i="12"/>
  <c r="D373" i="12"/>
  <c r="D369" i="12"/>
  <c r="F369" i="12" s="1"/>
  <c r="D367" i="12"/>
  <c r="H367" i="12"/>
  <c r="F367" i="12"/>
  <c r="G367" i="12" s="1"/>
  <c r="A358" i="12"/>
  <c r="D361" i="12" s="1"/>
  <c r="D363" i="12"/>
  <c r="H363" i="12"/>
  <c r="F363" i="12"/>
  <c r="G363" i="12"/>
  <c r="D362" i="12"/>
  <c r="D351" i="12"/>
  <c r="H351" i="12" s="1"/>
  <c r="D349" i="12"/>
  <c r="D347" i="12"/>
  <c r="H347" i="12"/>
  <c r="F347" i="12"/>
  <c r="G347" i="12" s="1"/>
  <c r="D345" i="12"/>
  <c r="H345" i="12"/>
  <c r="F345" i="12"/>
  <c r="G345" i="12"/>
  <c r="D344" i="12"/>
  <c r="D343" i="12"/>
  <c r="H343" i="12"/>
  <c r="F343" i="12"/>
  <c r="G343" i="12" s="1"/>
  <c r="D341" i="12"/>
  <c r="H341" i="12" s="1"/>
  <c r="D339" i="12"/>
  <c r="D337" i="12"/>
  <c r="H337" i="12" s="1"/>
  <c r="F337" i="12"/>
  <c r="G337" i="12" s="1"/>
  <c r="D335" i="12"/>
  <c r="H335" i="12" s="1"/>
  <c r="D333" i="12"/>
  <c r="H333" i="12"/>
  <c r="F333" i="12"/>
  <c r="G333" i="12"/>
  <c r="D331" i="12"/>
  <c r="H331" i="12" s="1"/>
  <c r="D329" i="12"/>
  <c r="D327" i="12"/>
  <c r="H327" i="12" s="1"/>
  <c r="F327" i="12"/>
  <c r="G327" i="12" s="1"/>
  <c r="A318" i="12"/>
  <c r="D321" i="12" s="1"/>
  <c r="D323" i="12"/>
  <c r="F321" i="12"/>
  <c r="D310" i="12"/>
  <c r="H310" i="12"/>
  <c r="F310" i="12"/>
  <c r="G310" i="12"/>
  <c r="D309" i="12"/>
  <c r="F309" i="12" s="1"/>
  <c r="D308" i="12"/>
  <c r="D307" i="12"/>
  <c r="H307" i="12"/>
  <c r="F307" i="12"/>
  <c r="G307" i="12" s="1"/>
  <c r="D306" i="12"/>
  <c r="H306" i="12"/>
  <c r="F306" i="12"/>
  <c r="G306" i="12" s="1"/>
  <c r="D305" i="12"/>
  <c r="H305" i="12" s="1"/>
  <c r="D304" i="12"/>
  <c r="F304" i="12" s="1"/>
  <c r="D303" i="12"/>
  <c r="D302" i="12"/>
  <c r="H302" i="12"/>
  <c r="F302" i="12"/>
  <c r="G302" i="12" s="1"/>
  <c r="D301" i="12"/>
  <c r="H301" i="12"/>
  <c r="F301" i="12"/>
  <c r="G301" i="12" s="1"/>
  <c r="D300" i="12"/>
  <c r="H300" i="12"/>
  <c r="F300" i="12"/>
  <c r="G300" i="12"/>
  <c r="D299" i="12"/>
  <c r="F299" i="12" s="1"/>
  <c r="D298" i="12"/>
  <c r="D297" i="12"/>
  <c r="H297" i="12"/>
  <c r="F297" i="12"/>
  <c r="G297" i="12" s="1"/>
  <c r="D296" i="12"/>
  <c r="H296" i="12"/>
  <c r="F296" i="12"/>
  <c r="G296" i="12" s="1"/>
  <c r="D295" i="12"/>
  <c r="H295" i="12" s="1"/>
  <c r="D294" i="12"/>
  <c r="F294" i="12" s="1"/>
  <c r="D293" i="12"/>
  <c r="D292" i="12"/>
  <c r="H292" i="12"/>
  <c r="F292" i="12"/>
  <c r="G292" i="12" s="1"/>
  <c r="D291" i="12"/>
  <c r="H291" i="12"/>
  <c r="F291" i="12"/>
  <c r="G291" i="12" s="1"/>
  <c r="D290" i="12"/>
  <c r="F290" i="12" s="1"/>
  <c r="G290" i="12" s="1"/>
  <c r="H290" i="12"/>
  <c r="D289" i="12"/>
  <c r="F289" i="12" s="1"/>
  <c r="D288" i="12"/>
  <c r="D287" i="12"/>
  <c r="H287" i="12"/>
  <c r="F287" i="12"/>
  <c r="G287" i="12" s="1"/>
  <c r="D286" i="12"/>
  <c r="H286" i="12"/>
  <c r="F286" i="12"/>
  <c r="G286" i="12" s="1"/>
  <c r="D285" i="12"/>
  <c r="F285" i="12" s="1"/>
  <c r="H285" i="12"/>
  <c r="G285" i="12"/>
  <c r="D284" i="12"/>
  <c r="F284" i="12" s="1"/>
  <c r="D283" i="12"/>
  <c r="D282" i="12"/>
  <c r="H282" i="12"/>
  <c r="F282" i="12"/>
  <c r="G282" i="12" s="1"/>
  <c r="D281" i="12"/>
  <c r="H281" i="12"/>
  <c r="F281" i="12"/>
  <c r="G281" i="12" s="1"/>
  <c r="D280" i="12"/>
  <c r="H280" i="12" s="1"/>
  <c r="F280" i="12"/>
  <c r="G280" i="12"/>
  <c r="D279" i="12"/>
  <c r="F279" i="12" s="1"/>
  <c r="H279" i="12"/>
  <c r="D271" i="12"/>
  <c r="D270" i="12"/>
  <c r="H270" i="12"/>
  <c r="F270" i="12"/>
  <c r="G270" i="12"/>
  <c r="D269" i="12"/>
  <c r="H269" i="12"/>
  <c r="F269" i="12"/>
  <c r="G269" i="12" s="1"/>
  <c r="D268" i="12"/>
  <c r="H268" i="12"/>
  <c r="F268" i="12"/>
  <c r="G268" i="12"/>
  <c r="D267" i="12"/>
  <c r="F267" i="12" s="1"/>
  <c r="H267" i="12"/>
  <c r="D266" i="12"/>
  <c r="D265" i="12"/>
  <c r="H265" i="12"/>
  <c r="F265" i="12"/>
  <c r="G265" i="12"/>
  <c r="D264" i="12"/>
  <c r="H264" i="12"/>
  <c r="F264" i="12"/>
  <c r="G264" i="12" s="1"/>
  <c r="D263" i="12"/>
  <c r="H263" i="12"/>
  <c r="F263" i="12"/>
  <c r="G263" i="12"/>
  <c r="D262" i="12"/>
  <c r="F262" i="12" s="1"/>
  <c r="D261" i="12"/>
  <c r="D260" i="12"/>
  <c r="H260" i="12"/>
  <c r="F260" i="12"/>
  <c r="G260" i="12" s="1"/>
  <c r="D259" i="12"/>
  <c r="H259" i="12"/>
  <c r="F259" i="12"/>
  <c r="G259" i="12" s="1"/>
  <c r="D258" i="12"/>
  <c r="H258" i="12"/>
  <c r="F258" i="12"/>
  <c r="G258" i="12"/>
  <c r="D257" i="12"/>
  <c r="F257" i="12" s="1"/>
  <c r="D256" i="12"/>
  <c r="D255" i="12"/>
  <c r="H255" i="12"/>
  <c r="F255" i="12"/>
  <c r="G255" i="12" s="1"/>
  <c r="D254" i="12"/>
  <c r="H254" i="12"/>
  <c r="F254" i="12"/>
  <c r="G254" i="12" s="1"/>
  <c r="D253" i="12"/>
  <c r="H253" i="12" s="1"/>
  <c r="D252" i="12"/>
  <c r="F252" i="12" s="1"/>
  <c r="H252" i="12"/>
  <c r="D251" i="12"/>
  <c r="D250" i="12"/>
  <c r="H250" i="12"/>
  <c r="F250" i="12"/>
  <c r="G250" i="12"/>
  <c r="D249" i="12"/>
  <c r="H249" i="12"/>
  <c r="F249" i="12"/>
  <c r="G249" i="12" s="1"/>
  <c r="D248" i="12"/>
  <c r="H248" i="12"/>
  <c r="F248" i="12"/>
  <c r="G248" i="12"/>
  <c r="D247" i="12"/>
  <c r="F247" i="12" s="1"/>
  <c r="D246" i="12"/>
  <c r="D245" i="12"/>
  <c r="H245" i="12"/>
  <c r="F245" i="12"/>
  <c r="G245" i="12"/>
  <c r="D244" i="12"/>
  <c r="H244" i="12"/>
  <c r="F244" i="12"/>
  <c r="G244" i="12" s="1"/>
  <c r="D243" i="12"/>
  <c r="F243" i="12" s="1"/>
  <c r="H243" i="12"/>
  <c r="G243" i="12"/>
  <c r="D242" i="12"/>
  <c r="F242" i="12" s="1"/>
  <c r="H242" i="12"/>
  <c r="D241" i="12"/>
  <c r="D240" i="12"/>
  <c r="H240" i="12"/>
  <c r="F240" i="12"/>
  <c r="G240" i="12"/>
  <c r="D231" i="12"/>
  <c r="H231" i="12"/>
  <c r="F231" i="12"/>
  <c r="G231" i="12" s="1"/>
  <c r="D230" i="12"/>
  <c r="H230" i="12"/>
  <c r="F230" i="12"/>
  <c r="G230" i="12"/>
  <c r="D229" i="12"/>
  <c r="F229" i="12" s="1"/>
  <c r="H229" i="12"/>
  <c r="D228" i="12"/>
  <c r="D227" i="12"/>
  <c r="H227" i="12"/>
  <c r="F227" i="12"/>
  <c r="G227" i="12" s="1"/>
  <c r="D226" i="12"/>
  <c r="H226" i="12"/>
  <c r="F226" i="12"/>
  <c r="G226" i="12" s="1"/>
  <c r="D225" i="12"/>
  <c r="H225" i="12" s="1"/>
  <c r="D224" i="12"/>
  <c r="F224" i="12" s="1"/>
  <c r="H224" i="12"/>
  <c r="D223" i="12"/>
  <c r="D222" i="12"/>
  <c r="H222" i="12"/>
  <c r="F222" i="12"/>
  <c r="G222" i="12"/>
  <c r="D221" i="12"/>
  <c r="H221" i="12"/>
  <c r="F221" i="12"/>
  <c r="G221" i="12" s="1"/>
  <c r="D220" i="12"/>
  <c r="H220" i="12"/>
  <c r="F220" i="12"/>
  <c r="G220" i="12"/>
  <c r="D219" i="12"/>
  <c r="F219" i="12" s="1"/>
  <c r="H219" i="12"/>
  <c r="D218" i="12"/>
  <c r="D217" i="12"/>
  <c r="H217" i="12"/>
  <c r="F217" i="12"/>
  <c r="G217" i="12" s="1"/>
  <c r="D216" i="12"/>
  <c r="H216" i="12"/>
  <c r="F216" i="12"/>
  <c r="G216" i="12" s="1"/>
  <c r="D215" i="12"/>
  <c r="H215" i="12" s="1"/>
  <c r="F215" i="12"/>
  <c r="G215" i="12"/>
  <c r="D214" i="12"/>
  <c r="F214" i="12" s="1"/>
  <c r="H214" i="12"/>
  <c r="D213" i="12"/>
  <c r="D212" i="12"/>
  <c r="H212" i="12"/>
  <c r="F212" i="12"/>
  <c r="G212" i="12" s="1"/>
  <c r="D211" i="12"/>
  <c r="H211" i="12"/>
  <c r="F211" i="12"/>
  <c r="G211" i="12" s="1"/>
  <c r="D210" i="12"/>
  <c r="H210" i="12" s="1"/>
  <c r="D209" i="12"/>
  <c r="F209" i="12" s="1"/>
  <c r="D208" i="12"/>
  <c r="D207" i="12"/>
  <c r="H207" i="12"/>
  <c r="F207" i="12"/>
  <c r="G207" i="12"/>
  <c r="D206" i="12"/>
  <c r="H206" i="12"/>
  <c r="F206" i="12"/>
  <c r="G206" i="12" s="1"/>
  <c r="D205" i="12"/>
  <c r="H205" i="12"/>
  <c r="F205" i="12"/>
  <c r="G205" i="12"/>
  <c r="D204" i="12"/>
  <c r="F204" i="12" s="1"/>
  <c r="D203" i="12"/>
  <c r="D202" i="12"/>
  <c r="H202" i="12"/>
  <c r="F202" i="12"/>
  <c r="G202" i="12"/>
  <c r="D201" i="12"/>
  <c r="H201" i="12"/>
  <c r="F201" i="12"/>
  <c r="G201" i="12" s="1"/>
  <c r="D200" i="12"/>
  <c r="H200" i="12"/>
  <c r="F200" i="12"/>
  <c r="G200" i="12"/>
  <c r="D192" i="12"/>
  <c r="F192" i="12" s="1"/>
  <c r="H192" i="12"/>
  <c r="D191" i="12"/>
  <c r="D190" i="12"/>
  <c r="H190" i="12"/>
  <c r="F190" i="12"/>
  <c r="G190" i="12" s="1"/>
  <c r="D189" i="12"/>
  <c r="H189" i="12"/>
  <c r="F189" i="12"/>
  <c r="G189" i="12" s="1"/>
  <c r="D188" i="12"/>
  <c r="H188" i="12"/>
  <c r="F188" i="12"/>
  <c r="G188" i="12"/>
  <c r="D187" i="12"/>
  <c r="F187" i="12" s="1"/>
  <c r="H187" i="12"/>
  <c r="D186" i="12"/>
  <c r="D185" i="12"/>
  <c r="H185" i="12"/>
  <c r="F185" i="12"/>
  <c r="G185" i="12" s="1"/>
  <c r="D184" i="12"/>
  <c r="H184" i="12"/>
  <c r="F184" i="12"/>
  <c r="G184" i="12" s="1"/>
  <c r="D183" i="12"/>
  <c r="H183" i="12"/>
  <c r="F183" i="12"/>
  <c r="G183" i="12"/>
  <c r="D182" i="12"/>
  <c r="F182" i="12" s="1"/>
  <c r="D181" i="12"/>
  <c r="D180" i="12"/>
  <c r="H180" i="12"/>
  <c r="F180" i="12"/>
  <c r="G180" i="12" s="1"/>
  <c r="D179" i="12"/>
  <c r="H179" i="12"/>
  <c r="F179" i="12"/>
  <c r="G179" i="12" s="1"/>
  <c r="D178" i="12"/>
  <c r="H178" i="12"/>
  <c r="F178" i="12"/>
  <c r="G178" i="12"/>
  <c r="D177" i="12"/>
  <c r="F177" i="12" s="1"/>
  <c r="D176" i="12"/>
  <c r="D175" i="12"/>
  <c r="H175" i="12"/>
  <c r="F175" i="12"/>
  <c r="G175" i="12"/>
  <c r="D174" i="12"/>
  <c r="H174" i="12"/>
  <c r="F174" i="12"/>
  <c r="G174" i="12" s="1"/>
  <c r="D173" i="12"/>
  <c r="H173" i="12"/>
  <c r="F173" i="12"/>
  <c r="G173" i="12"/>
  <c r="D172" i="12"/>
  <c r="F172" i="12" s="1"/>
  <c r="D171" i="12"/>
  <c r="D170" i="12"/>
  <c r="H170" i="12"/>
  <c r="F170" i="12"/>
  <c r="G170" i="12" s="1"/>
  <c r="D169" i="12"/>
  <c r="H169" i="12"/>
  <c r="F169" i="12"/>
  <c r="G169" i="12" s="1"/>
  <c r="D168" i="12"/>
  <c r="H168" i="12"/>
  <c r="F168" i="12"/>
  <c r="G168" i="12"/>
  <c r="D167" i="12"/>
  <c r="F167" i="12" s="1"/>
  <c r="H167" i="12"/>
  <c r="D166" i="12"/>
  <c r="D165" i="12"/>
  <c r="H165" i="12"/>
  <c r="F165" i="12"/>
  <c r="G165" i="12"/>
  <c r="D164" i="12"/>
  <c r="H164" i="12"/>
  <c r="F164" i="12"/>
  <c r="G164" i="12" s="1"/>
  <c r="D163" i="12"/>
  <c r="H163" i="12" s="1"/>
  <c r="D162" i="12"/>
  <c r="F162" i="12" s="1"/>
  <c r="D161" i="12"/>
  <c r="D152" i="12"/>
  <c r="H152" i="12"/>
  <c r="F152" i="12"/>
  <c r="G152" i="12" s="1"/>
  <c r="D150" i="12"/>
  <c r="F150" i="12" s="1"/>
  <c r="D149" i="12"/>
  <c r="D148" i="12"/>
  <c r="H148" i="12"/>
  <c r="F148" i="12"/>
  <c r="G148" i="12" s="1"/>
  <c r="D146" i="12"/>
  <c r="H146" i="12"/>
  <c r="F146" i="12"/>
  <c r="G146" i="12"/>
  <c r="D144" i="12"/>
  <c r="D142" i="12"/>
  <c r="H142" i="12"/>
  <c r="F142" i="12"/>
  <c r="G142" i="12" s="1"/>
  <c r="D140" i="12"/>
  <c r="H140" i="12"/>
  <c r="D139" i="12"/>
  <c r="D138" i="12"/>
  <c r="H138" i="12"/>
  <c r="F138" i="12"/>
  <c r="G138" i="12"/>
  <c r="D136" i="12"/>
  <c r="H136" i="12"/>
  <c r="F136" i="12"/>
  <c r="G136" i="12"/>
  <c r="D135" i="12"/>
  <c r="H135" i="12"/>
  <c r="D134" i="12"/>
  <c r="D132" i="12"/>
  <c r="H132" i="12"/>
  <c r="F132" i="12"/>
  <c r="G132" i="12" s="1"/>
  <c r="D130" i="12"/>
  <c r="H130" i="12"/>
  <c r="D129" i="12"/>
  <c r="D128" i="12"/>
  <c r="H128" i="12"/>
  <c r="F128" i="12"/>
  <c r="G128" i="12"/>
  <c r="A119" i="12"/>
  <c r="D122" i="12" s="1"/>
  <c r="D125" i="12"/>
  <c r="D124" i="12"/>
  <c r="H124" i="12" s="1"/>
  <c r="D123" i="12"/>
  <c r="H123" i="12"/>
  <c r="F123" i="12"/>
  <c r="H122" i="12"/>
  <c r="F122" i="12"/>
  <c r="D44" i="12"/>
  <c r="H44" i="12"/>
  <c r="D43" i="12"/>
  <c r="F43" i="12"/>
  <c r="C113" i="12"/>
  <c r="D113" i="12"/>
  <c r="F113" i="12" s="1"/>
  <c r="G113" i="12" s="1"/>
  <c r="H113" i="12"/>
  <c r="C112" i="12"/>
  <c r="D112" i="12"/>
  <c r="F112" i="12" s="1"/>
  <c r="H112" i="12"/>
  <c r="C111" i="12"/>
  <c r="D111" i="12"/>
  <c r="C110" i="12"/>
  <c r="D110" i="12"/>
  <c r="H110" i="12"/>
  <c r="C109" i="12"/>
  <c r="D109" i="12"/>
  <c r="F109" i="12" s="1"/>
  <c r="H109" i="12"/>
  <c r="C108" i="12"/>
  <c r="D108" i="12"/>
  <c r="F108" i="12" s="1"/>
  <c r="C107" i="12"/>
  <c r="C106" i="12"/>
  <c r="D106" i="12"/>
  <c r="H106" i="12"/>
  <c r="C105" i="12"/>
  <c r="D105" i="12"/>
  <c r="H105" i="12"/>
  <c r="C104" i="12"/>
  <c r="D104" i="12"/>
  <c r="F104" i="12" s="1"/>
  <c r="C103" i="12"/>
  <c r="C102" i="12"/>
  <c r="D102" i="12"/>
  <c r="F102" i="12" s="1"/>
  <c r="H102" i="12"/>
  <c r="C101" i="12"/>
  <c r="D101" i="12"/>
  <c r="F101" i="12" s="1"/>
  <c r="H101" i="12"/>
  <c r="C100" i="12"/>
  <c r="D100" i="12"/>
  <c r="H100" i="12"/>
  <c r="C99" i="12"/>
  <c r="D99" i="12"/>
  <c r="F99" i="12" s="1"/>
  <c r="H99" i="12"/>
  <c r="C98" i="12"/>
  <c r="D98" i="12"/>
  <c r="H98" i="12"/>
  <c r="C97" i="12"/>
  <c r="C96" i="12"/>
  <c r="D96" i="12"/>
  <c r="C95" i="12"/>
  <c r="D95" i="12"/>
  <c r="F95" i="12" s="1"/>
  <c r="H95" i="12"/>
  <c r="C94" i="12"/>
  <c r="H94" i="12" s="1"/>
  <c r="D94" i="12"/>
  <c r="F94" i="12" s="1"/>
  <c r="C93" i="12"/>
  <c r="D93" i="12"/>
  <c r="C92" i="12"/>
  <c r="D92" i="12"/>
  <c r="H92" i="12"/>
  <c r="C91" i="12"/>
  <c r="D91" i="12"/>
  <c r="H91" i="12"/>
  <c r="C90" i="12"/>
  <c r="D90" i="12"/>
  <c r="H90" i="12"/>
  <c r="C89" i="12"/>
  <c r="D89" i="12"/>
  <c r="F89" i="12" s="1"/>
  <c r="C88" i="12"/>
  <c r="D88" i="12"/>
  <c r="F88" i="12" s="1"/>
  <c r="G88" i="12" s="1"/>
  <c r="H88" i="12"/>
  <c r="C87" i="12"/>
  <c r="C86" i="12"/>
  <c r="D86" i="12"/>
  <c r="F86" i="12" s="1"/>
  <c r="G86" i="12" s="1"/>
  <c r="H86" i="12"/>
  <c r="C85" i="12"/>
  <c r="D85" i="12"/>
  <c r="C84" i="12"/>
  <c r="D84" i="12"/>
  <c r="F84" i="12" s="1"/>
  <c r="C83" i="12"/>
  <c r="D83" i="12"/>
  <c r="H83" i="12"/>
  <c r="C82" i="12"/>
  <c r="D82" i="12"/>
  <c r="F82" i="12" s="1"/>
  <c r="D74" i="12"/>
  <c r="H74" i="12" s="1"/>
  <c r="D73" i="12"/>
  <c r="D72" i="12"/>
  <c r="H72" i="12"/>
  <c r="D71" i="12"/>
  <c r="D70" i="12"/>
  <c r="F70" i="12" s="1"/>
  <c r="H70" i="12"/>
  <c r="D69" i="12"/>
  <c r="D68" i="12"/>
  <c r="D67" i="12"/>
  <c r="H67" i="12"/>
  <c r="D66" i="12"/>
  <c r="H66" i="12"/>
  <c r="D65" i="12"/>
  <c r="F65" i="12" s="1"/>
  <c r="H65" i="12"/>
  <c r="D64" i="12"/>
  <c r="H64" i="12" s="1"/>
  <c r="D63" i="12"/>
  <c r="D62" i="12"/>
  <c r="H62" i="12"/>
  <c r="D61" i="12"/>
  <c r="H61" i="12"/>
  <c r="D60" i="12"/>
  <c r="H60" i="12"/>
  <c r="D59" i="12"/>
  <c r="F59" i="12" s="1"/>
  <c r="H59" i="12"/>
  <c r="D58" i="12"/>
  <c r="D57" i="12"/>
  <c r="H57" i="12"/>
  <c r="D56" i="12"/>
  <c r="H56" i="12"/>
  <c r="D55" i="12"/>
  <c r="H55" i="12"/>
  <c r="D54" i="12"/>
  <c r="F54" i="12" s="1"/>
  <c r="H54" i="12"/>
  <c r="D53" i="12"/>
  <c r="D52" i="12"/>
  <c r="H52" i="12"/>
  <c r="D51" i="12"/>
  <c r="H51" i="12"/>
  <c r="D50" i="12"/>
  <c r="H50" i="12"/>
  <c r="D49" i="12"/>
  <c r="H49" i="12"/>
  <c r="D48" i="12"/>
  <c r="D47" i="12"/>
  <c r="H47" i="12"/>
  <c r="D46" i="12"/>
  <c r="H46" i="12" s="1"/>
  <c r="D45" i="12"/>
  <c r="H45" i="12"/>
  <c r="F74" i="12"/>
  <c r="G74" i="12" s="1"/>
  <c r="F73" i="12"/>
  <c r="F72" i="12"/>
  <c r="G72" i="12"/>
  <c r="F71" i="12"/>
  <c r="F68" i="12"/>
  <c r="F67" i="12"/>
  <c r="G67" i="12"/>
  <c r="F66" i="12"/>
  <c r="G66" i="12" s="1"/>
  <c r="F63" i="12"/>
  <c r="F62" i="12"/>
  <c r="G62" i="12"/>
  <c r="F61" i="12"/>
  <c r="G61" i="12"/>
  <c r="F60" i="12"/>
  <c r="F57" i="12"/>
  <c r="G57" i="12"/>
  <c r="F56" i="12"/>
  <c r="G56" i="12"/>
  <c r="F55" i="12"/>
  <c r="G55" i="12" s="1"/>
  <c r="F52" i="12"/>
  <c r="G52" i="12"/>
  <c r="F51" i="12"/>
  <c r="G51" i="12"/>
  <c r="F50" i="12"/>
  <c r="G50" i="12"/>
  <c r="F49" i="12"/>
  <c r="F47" i="12"/>
  <c r="G47" i="12"/>
  <c r="F46" i="12"/>
  <c r="G46" i="12" s="1"/>
  <c r="F45" i="12"/>
  <c r="G45" i="12"/>
  <c r="F44" i="12"/>
  <c r="G44" i="12" s="1"/>
  <c r="F111" i="12"/>
  <c r="F110" i="12"/>
  <c r="G110" i="12" s="1"/>
  <c r="G109" i="12"/>
  <c r="F106" i="12"/>
  <c r="G106" i="12"/>
  <c r="F105" i="12"/>
  <c r="F100" i="12"/>
  <c r="G100" i="12" s="1"/>
  <c r="G99" i="12"/>
  <c r="F98" i="12"/>
  <c r="G98" i="12"/>
  <c r="F96" i="12"/>
  <c r="G94" i="12"/>
  <c r="F92" i="12"/>
  <c r="G92" i="12"/>
  <c r="F91" i="12"/>
  <c r="G91" i="12" s="1"/>
  <c r="F90" i="12"/>
  <c r="G90" i="12" s="1"/>
  <c r="F85" i="12"/>
  <c r="G84" i="12"/>
  <c r="E240" i="12"/>
  <c r="T240" i="12"/>
  <c r="AK82" i="12"/>
  <c r="AM82" i="12" s="1"/>
  <c r="I82" i="12"/>
  <c r="AH82" i="12"/>
  <c r="J122" i="12"/>
  <c r="T122" i="12"/>
  <c r="E280" i="12"/>
  <c r="I280" i="12"/>
  <c r="AH280" i="12" s="1"/>
  <c r="J280" i="12"/>
  <c r="T279" i="12"/>
  <c r="T361" i="12"/>
  <c r="I398" i="12"/>
  <c r="J398" i="12"/>
  <c r="E397" i="12"/>
  <c r="T397" i="12"/>
  <c r="AH398" i="12"/>
  <c r="C433" i="12"/>
  <c r="C434" i="12"/>
  <c r="G434" i="12" s="1"/>
  <c r="C435" i="12"/>
  <c r="C436" i="12" s="1"/>
  <c r="D464" i="12"/>
  <c r="F464" i="12" s="1"/>
  <c r="D463" i="12"/>
  <c r="F463" i="12" s="1"/>
  <c r="D462" i="12"/>
  <c r="D461" i="12"/>
  <c r="F461" i="12" s="1"/>
  <c r="D459" i="12"/>
  <c r="D458" i="12"/>
  <c r="F458" i="12" s="1"/>
  <c r="D457" i="12"/>
  <c r="D456" i="12"/>
  <c r="D455" i="12"/>
  <c r="D454" i="12"/>
  <c r="D453" i="12"/>
  <c r="D452" i="12"/>
  <c r="F452" i="12" s="1"/>
  <c r="D451" i="12"/>
  <c r="F451" i="12" s="1"/>
  <c r="D449" i="12"/>
  <c r="F449" i="12" s="1"/>
  <c r="D448" i="12"/>
  <c r="F448" i="12" s="1"/>
  <c r="D447" i="12"/>
  <c r="F447" i="12" s="1"/>
  <c r="D446" i="12"/>
  <c r="F446" i="12" s="1"/>
  <c r="D445" i="12"/>
  <c r="D444" i="12"/>
  <c r="D443" i="12"/>
  <c r="D442" i="12"/>
  <c r="D441" i="12"/>
  <c r="F441" i="12" s="1"/>
  <c r="D439" i="12"/>
  <c r="D438" i="12"/>
  <c r="A430" i="12"/>
  <c r="D433" i="12" s="1"/>
  <c r="D435" i="12"/>
  <c r="F435" i="12" s="1"/>
  <c r="G435" i="12"/>
  <c r="D434" i="12"/>
  <c r="A473" i="12"/>
  <c r="A475" i="12" s="1"/>
  <c r="C470" i="12"/>
  <c r="E470" i="12" s="1"/>
  <c r="C471" i="12"/>
  <c r="C472" i="12"/>
  <c r="C473" i="12"/>
  <c r="E473" i="12" s="1"/>
  <c r="C474" i="12"/>
  <c r="D501" i="12"/>
  <c r="D500" i="12"/>
  <c r="D498" i="12"/>
  <c r="D497" i="12"/>
  <c r="F497" i="12" s="1"/>
  <c r="D496" i="12"/>
  <c r="F496" i="12" s="1"/>
  <c r="D494" i="12"/>
  <c r="D493" i="12"/>
  <c r="F493" i="12" s="1"/>
  <c r="D492" i="12"/>
  <c r="F492" i="12" s="1"/>
  <c r="D490" i="12"/>
  <c r="D489" i="12"/>
  <c r="D488" i="12"/>
  <c r="F488" i="12" s="1"/>
  <c r="D486" i="12"/>
  <c r="F486" i="12" s="1"/>
  <c r="D485" i="12"/>
  <c r="F485" i="12" s="1"/>
  <c r="D484" i="12"/>
  <c r="D482" i="12"/>
  <c r="D481" i="12"/>
  <c r="D480" i="12"/>
  <c r="F480" i="12" s="1"/>
  <c r="D478" i="12"/>
  <c r="D477" i="12"/>
  <c r="F477" i="12" s="1"/>
  <c r="D476" i="12"/>
  <c r="F476" i="12" s="1"/>
  <c r="A467" i="12"/>
  <c r="D470" i="12" s="1"/>
  <c r="D474" i="12"/>
  <c r="D473" i="12"/>
  <c r="F473" i="12" s="1"/>
  <c r="D472" i="12"/>
  <c r="F472" i="12" s="1"/>
  <c r="A468" i="12"/>
  <c r="F501" i="12"/>
  <c r="F500" i="12"/>
  <c r="F498" i="12"/>
  <c r="F494" i="12"/>
  <c r="F490" i="12"/>
  <c r="F489" i="12"/>
  <c r="F484" i="12"/>
  <c r="F482" i="12"/>
  <c r="F481" i="12"/>
  <c r="F478" i="12"/>
  <c r="F474" i="12"/>
  <c r="F470" i="12"/>
  <c r="F462" i="12"/>
  <c r="F459" i="12"/>
  <c r="F457" i="12"/>
  <c r="F456" i="12"/>
  <c r="F455" i="12"/>
  <c r="F454" i="12"/>
  <c r="F453" i="12"/>
  <c r="F445" i="12"/>
  <c r="F444" i="12"/>
  <c r="F443" i="12"/>
  <c r="F442" i="12"/>
  <c r="F439" i="12"/>
  <c r="F438" i="12"/>
  <c r="F425" i="12"/>
  <c r="F423" i="12"/>
  <c r="F422" i="12"/>
  <c r="F419" i="12"/>
  <c r="F415" i="12"/>
  <c r="F413" i="12"/>
  <c r="F409" i="12"/>
  <c r="F405" i="12"/>
  <c r="F403" i="12"/>
  <c r="F401" i="12"/>
  <c r="F399" i="12"/>
  <c r="F397" i="12"/>
  <c r="I464" i="12"/>
  <c r="I434" i="12"/>
  <c r="T433" i="12"/>
  <c r="AH434" i="12"/>
  <c r="AH464" i="12"/>
  <c r="H435" i="12"/>
  <c r="I428" i="12"/>
  <c r="E399" i="12"/>
  <c r="AH428" i="12"/>
  <c r="I392" i="12"/>
  <c r="I362" i="12"/>
  <c r="AH362" i="12"/>
  <c r="E362" i="12"/>
  <c r="E363" i="12"/>
  <c r="E367" i="12"/>
  <c r="E369" i="12"/>
  <c r="E373" i="12"/>
  <c r="E375" i="12"/>
  <c r="E377" i="12"/>
  <c r="E379" i="12"/>
  <c r="E383" i="12"/>
  <c r="E385" i="12"/>
  <c r="E387" i="12"/>
  <c r="E388" i="12"/>
  <c r="E389" i="12"/>
  <c r="AH392" i="12"/>
  <c r="E321" i="12"/>
  <c r="T321" i="12"/>
  <c r="I322" i="12"/>
  <c r="AH322" i="12"/>
  <c r="E323" i="12"/>
  <c r="E327" i="12"/>
  <c r="E329" i="12"/>
  <c r="E331" i="12"/>
  <c r="E333" i="12"/>
  <c r="E335" i="12"/>
  <c r="E337" i="12"/>
  <c r="E339" i="12"/>
  <c r="E341" i="12"/>
  <c r="E343" i="12"/>
  <c r="E344" i="12"/>
  <c r="E345" i="12"/>
  <c r="E347" i="12"/>
  <c r="E349" i="12"/>
  <c r="E351" i="12"/>
  <c r="I352" i="12"/>
  <c r="AH352" i="12"/>
  <c r="V321" i="12"/>
  <c r="E281" i="12"/>
  <c r="E282" i="12"/>
  <c r="E283" i="12"/>
  <c r="E284" i="12"/>
  <c r="E285" i="12"/>
  <c r="E286" i="12"/>
  <c r="E287" i="12"/>
  <c r="E288" i="12"/>
  <c r="E289" i="12"/>
  <c r="E290" i="12"/>
  <c r="E291" i="12"/>
  <c r="E292" i="12"/>
  <c r="E293" i="12"/>
  <c r="E294" i="12"/>
  <c r="E295" i="12"/>
  <c r="E296" i="12"/>
  <c r="E297" i="12"/>
  <c r="E298" i="12"/>
  <c r="E299" i="12"/>
  <c r="E300" i="12"/>
  <c r="E301" i="12"/>
  <c r="E302" i="12"/>
  <c r="E303" i="12"/>
  <c r="E304" i="12"/>
  <c r="E305" i="12"/>
  <c r="E306" i="12"/>
  <c r="E307" i="12"/>
  <c r="E308" i="12"/>
  <c r="E309" i="12"/>
  <c r="I310" i="12"/>
  <c r="I241" i="12"/>
  <c r="AH241" i="12" s="1"/>
  <c r="E241" i="12"/>
  <c r="E242" i="12"/>
  <c r="E243" i="12"/>
  <c r="E244" i="12"/>
  <c r="E245" i="12"/>
  <c r="E246" i="12"/>
  <c r="E247" i="12"/>
  <c r="E248" i="12"/>
  <c r="E249" i="12"/>
  <c r="E250" i="12"/>
  <c r="E251" i="12"/>
  <c r="E252" i="12"/>
  <c r="E253" i="12"/>
  <c r="E254" i="12"/>
  <c r="E255" i="12"/>
  <c r="E256" i="12"/>
  <c r="E257" i="12"/>
  <c r="E258" i="12"/>
  <c r="E259" i="12"/>
  <c r="E260" i="12"/>
  <c r="E261" i="12"/>
  <c r="E262" i="12"/>
  <c r="E263" i="12"/>
  <c r="E264" i="12"/>
  <c r="E265" i="12"/>
  <c r="E266" i="12"/>
  <c r="E267" i="12"/>
  <c r="E268" i="12"/>
  <c r="E269" i="12"/>
  <c r="I270" i="12"/>
  <c r="AH270" i="12" s="1"/>
  <c r="E270" i="12"/>
  <c r="E271" i="12"/>
  <c r="I200" i="12"/>
  <c r="AH200" i="12"/>
  <c r="E200" i="12"/>
  <c r="T200" i="12"/>
  <c r="I201" i="12"/>
  <c r="J201" i="12"/>
  <c r="AH201" i="12"/>
  <c r="E201" i="12"/>
  <c r="E202" i="12"/>
  <c r="E203" i="12"/>
  <c r="E204" i="12"/>
  <c r="E205" i="12"/>
  <c r="E206" i="12"/>
  <c r="E207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22" i="12"/>
  <c r="E223" i="12"/>
  <c r="E224" i="12"/>
  <c r="E225" i="12"/>
  <c r="E226" i="12"/>
  <c r="E227" i="12"/>
  <c r="E228" i="12"/>
  <c r="E229" i="12"/>
  <c r="I230" i="12"/>
  <c r="E230" i="12"/>
  <c r="T161" i="12"/>
  <c r="E162" i="12"/>
  <c r="E163" i="12"/>
  <c r="E164" i="12"/>
  <c r="A40" i="12"/>
  <c r="I43" i="12" s="1"/>
  <c r="AH43" i="12" s="1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28" i="12"/>
  <c r="E130" i="12"/>
  <c r="E132" i="12"/>
  <c r="E134" i="12"/>
  <c r="E136" i="12"/>
  <c r="E138" i="12"/>
  <c r="E140" i="12"/>
  <c r="E142" i="12"/>
  <c r="E144" i="12"/>
  <c r="E146" i="12"/>
  <c r="E148" i="12"/>
  <c r="E150" i="12"/>
  <c r="E152" i="12"/>
  <c r="A22" i="12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436" i="12"/>
  <c r="A438" i="12" s="1"/>
  <c r="A400" i="12"/>
  <c r="A402" i="12" s="1"/>
  <c r="A404" i="12" s="1"/>
  <c r="A406" i="12" s="1"/>
  <c r="A364" i="12"/>
  <c r="A366" i="12" s="1"/>
  <c r="A368" i="12"/>
  <c r="A370" i="12"/>
  <c r="A371" i="12" s="1"/>
  <c r="A372" i="12"/>
  <c r="A374" i="12"/>
  <c r="A375" i="12" s="1"/>
  <c r="A376" i="12"/>
  <c r="A324" i="12"/>
  <c r="A326" i="12"/>
  <c r="A328" i="12" s="1"/>
  <c r="A330" i="12" s="1"/>
  <c r="A332" i="12" s="1"/>
  <c r="A334" i="12" s="1"/>
  <c r="A336" i="12" s="1"/>
  <c r="A337" i="12" s="1"/>
  <c r="A338" i="12"/>
  <c r="A340" i="12"/>
  <c r="A342" i="12" s="1"/>
  <c r="A282" i="12"/>
  <c r="A284" i="12"/>
  <c r="A286" i="12"/>
  <c r="A288" i="12"/>
  <c r="A290" i="12"/>
  <c r="A292" i="12"/>
  <c r="A294" i="12" s="1"/>
  <c r="A243" i="12"/>
  <c r="A245" i="12" s="1"/>
  <c r="A247" i="12" s="1"/>
  <c r="A203" i="12"/>
  <c r="A205" i="12"/>
  <c r="A207" i="12"/>
  <c r="A209" i="12"/>
  <c r="A211" i="12"/>
  <c r="A213" i="12"/>
  <c r="A214" i="12" s="1"/>
  <c r="A164" i="12"/>
  <c r="A166" i="12" s="1"/>
  <c r="A168" i="12" s="1"/>
  <c r="A170" i="12" s="1"/>
  <c r="A172" i="12" s="1"/>
  <c r="A174" i="12" s="1"/>
  <c r="A176" i="12" s="1"/>
  <c r="A178" i="12" s="1"/>
  <c r="A125" i="12"/>
  <c r="A127" i="12"/>
  <c r="A129" i="12"/>
  <c r="A131" i="12"/>
  <c r="A133" i="12"/>
  <c r="A135" i="12"/>
  <c r="A137" i="12"/>
  <c r="A138" i="12" s="1"/>
  <c r="A139" i="12"/>
  <c r="A85" i="12"/>
  <c r="A87" i="12"/>
  <c r="A89" i="12"/>
  <c r="A91" i="12" s="1"/>
  <c r="A93" i="12" s="1"/>
  <c r="I113" i="12"/>
  <c r="AH113" i="12"/>
  <c r="I112" i="12"/>
  <c r="E82" i="12"/>
  <c r="E83" i="12"/>
  <c r="E84" i="12"/>
  <c r="E85" i="12"/>
  <c r="E86" i="12"/>
  <c r="E88" i="12"/>
  <c r="E89" i="12"/>
  <c r="E90" i="12"/>
  <c r="E91" i="12"/>
  <c r="E92" i="12"/>
  <c r="E93" i="12"/>
  <c r="E94" i="12"/>
  <c r="E95" i="12"/>
  <c r="E96" i="12"/>
  <c r="E98" i="12"/>
  <c r="E99" i="12"/>
  <c r="E100" i="12"/>
  <c r="E101" i="12"/>
  <c r="E102" i="12"/>
  <c r="E104" i="12"/>
  <c r="E105" i="12"/>
  <c r="E106" i="12"/>
  <c r="E108" i="12"/>
  <c r="E109" i="12"/>
  <c r="E110" i="12"/>
  <c r="I111" i="12"/>
  <c r="AH111" i="12"/>
  <c r="E111" i="12"/>
  <c r="E112" i="12"/>
  <c r="AJ82" i="12"/>
  <c r="AL82" i="12"/>
  <c r="AN82" i="12" s="1"/>
  <c r="E113" i="12"/>
  <c r="T43" i="12"/>
  <c r="A41" i="12"/>
  <c r="I44" i="12" s="1"/>
  <c r="AH44" i="12" s="1"/>
  <c r="I74" i="12"/>
  <c r="AH74" i="12" s="1"/>
  <c r="I73" i="12"/>
  <c r="E43" i="12"/>
  <c r="E44" i="12"/>
  <c r="E45" i="12"/>
  <c r="E46" i="12"/>
  <c r="E47" i="12"/>
  <c r="E48" i="12"/>
  <c r="E49" i="12"/>
  <c r="E50" i="12"/>
  <c r="E51" i="12"/>
  <c r="E52" i="12"/>
  <c r="E54" i="12"/>
  <c r="E55" i="12"/>
  <c r="E56" i="12"/>
  <c r="E57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231" i="12"/>
  <c r="E310" i="12"/>
  <c r="E149" i="12"/>
  <c r="E139" i="12"/>
  <c r="E135" i="12"/>
  <c r="E129" i="12"/>
  <c r="E125" i="12"/>
  <c r="E123" i="12"/>
  <c r="AD433" i="12"/>
  <c r="A431" i="12"/>
  <c r="AG464" i="12"/>
  <c r="AG463" i="12"/>
  <c r="AG462" i="12"/>
  <c r="AG461" i="12"/>
  <c r="AG460" i="12"/>
  <c r="AG459" i="12"/>
  <c r="AG458" i="12"/>
  <c r="AG457" i="12"/>
  <c r="AG456" i="12"/>
  <c r="AG455" i="12"/>
  <c r="AG454" i="12"/>
  <c r="AG453" i="12"/>
  <c r="AG452" i="12"/>
  <c r="AG451" i="12"/>
  <c r="AG450" i="12"/>
  <c r="AG449" i="12"/>
  <c r="AG448" i="12"/>
  <c r="AG447" i="12"/>
  <c r="AG446" i="12"/>
  <c r="AG445" i="12"/>
  <c r="AG444" i="12"/>
  <c r="AG443" i="12"/>
  <c r="AG442" i="12"/>
  <c r="AG441" i="12"/>
  <c r="AG440" i="12"/>
  <c r="AG439" i="12"/>
  <c r="AG438" i="12"/>
  <c r="AG437" i="12"/>
  <c r="AG436" i="12"/>
  <c r="AG435" i="12"/>
  <c r="AG434" i="12"/>
  <c r="AG433" i="12"/>
  <c r="AB433" i="12"/>
  <c r="Z433" i="12"/>
  <c r="X433" i="12"/>
  <c r="V433" i="12"/>
  <c r="AD397" i="12"/>
  <c r="A395" i="12"/>
  <c r="AG428" i="12"/>
  <c r="AG427" i="12"/>
  <c r="AG426" i="12"/>
  <c r="AG425" i="12"/>
  <c r="AG424" i="12"/>
  <c r="AG423" i="12"/>
  <c r="AG422" i="12"/>
  <c r="AG421" i="12"/>
  <c r="AG420" i="12"/>
  <c r="AG419" i="12"/>
  <c r="AG418" i="12"/>
  <c r="AG417" i="12"/>
  <c r="AG416" i="12"/>
  <c r="AG415" i="12"/>
  <c r="AG414" i="12"/>
  <c r="AG413" i="12"/>
  <c r="AG412" i="12"/>
  <c r="AG411" i="12"/>
  <c r="AG410" i="12"/>
  <c r="AG409" i="12"/>
  <c r="AG408" i="12"/>
  <c r="AG407" i="12"/>
  <c r="AG406" i="12"/>
  <c r="AG405" i="12"/>
  <c r="A405" i="12"/>
  <c r="AG404" i="12"/>
  <c r="AG403" i="12"/>
  <c r="A403" i="12"/>
  <c r="AG402" i="12"/>
  <c r="AG401" i="12"/>
  <c r="AG400" i="12"/>
  <c r="AG399" i="12"/>
  <c r="AG398" i="12"/>
  <c r="AG397" i="12"/>
  <c r="AB397" i="12"/>
  <c r="Z397" i="12"/>
  <c r="X397" i="12"/>
  <c r="V397" i="12"/>
  <c r="A373" i="12"/>
  <c r="A369" i="12"/>
  <c r="A367" i="12"/>
  <c r="A341" i="12"/>
  <c r="A339" i="12"/>
  <c r="A335" i="12"/>
  <c r="A333" i="12"/>
  <c r="A331" i="12"/>
  <c r="A329" i="12"/>
  <c r="A327" i="12"/>
  <c r="A291" i="12"/>
  <c r="A289" i="12"/>
  <c r="A287" i="12"/>
  <c r="A285" i="12"/>
  <c r="A246" i="12"/>
  <c r="A212" i="12"/>
  <c r="A210" i="12"/>
  <c r="A208" i="12"/>
  <c r="A206" i="12"/>
  <c r="A177" i="12"/>
  <c r="A175" i="12"/>
  <c r="A173" i="12"/>
  <c r="A171" i="12"/>
  <c r="A169" i="12"/>
  <c r="A167" i="12"/>
  <c r="A136" i="12"/>
  <c r="A134" i="12"/>
  <c r="A132" i="12"/>
  <c r="A130" i="12"/>
  <c r="A128" i="12"/>
  <c r="A92" i="12"/>
  <c r="A90" i="12"/>
  <c r="A88" i="12"/>
  <c r="A46" i="12"/>
  <c r="A48" i="12" s="1"/>
  <c r="AG392" i="12"/>
  <c r="AG391" i="12"/>
  <c r="AG390" i="12"/>
  <c r="AG389" i="12"/>
  <c r="AG388" i="12"/>
  <c r="AG387" i="12"/>
  <c r="AG386" i="12"/>
  <c r="AG385" i="12"/>
  <c r="AG384" i="12"/>
  <c r="AG383" i="12"/>
  <c r="AG382" i="12"/>
  <c r="AG381" i="12"/>
  <c r="AG380" i="12"/>
  <c r="AG379" i="12"/>
  <c r="AG378" i="12"/>
  <c r="AG377" i="12"/>
  <c r="AG376" i="12"/>
  <c r="AG375" i="12"/>
  <c r="AG374" i="12"/>
  <c r="AG373" i="12"/>
  <c r="AG372" i="12"/>
  <c r="AG371" i="12"/>
  <c r="AG370" i="12"/>
  <c r="AG369" i="12"/>
  <c r="AG368" i="12"/>
  <c r="AG367" i="12"/>
  <c r="AG366" i="12"/>
  <c r="AG365" i="12"/>
  <c r="AG364" i="12"/>
  <c r="AG363" i="12"/>
  <c r="AG362" i="12"/>
  <c r="AG361" i="12"/>
  <c r="AD361" i="12"/>
  <c r="AB361" i="12"/>
  <c r="Z361" i="12"/>
  <c r="X361" i="12"/>
  <c r="V361" i="12"/>
  <c r="A359" i="12"/>
  <c r="AG352" i="12"/>
  <c r="AG351" i="12"/>
  <c r="AG350" i="12"/>
  <c r="AG349" i="12"/>
  <c r="AG348" i="12"/>
  <c r="AG347" i="12"/>
  <c r="AG346" i="12"/>
  <c r="AG345" i="12"/>
  <c r="AG344" i="12"/>
  <c r="AG343" i="12"/>
  <c r="AG342" i="12"/>
  <c r="AG341" i="12"/>
  <c r="AG340" i="12"/>
  <c r="AG339" i="12"/>
  <c r="AG338" i="12"/>
  <c r="AG337" i="12"/>
  <c r="AG336" i="12"/>
  <c r="AG335" i="12"/>
  <c r="AG334" i="12"/>
  <c r="AG333" i="12"/>
  <c r="AG332" i="12"/>
  <c r="AG331" i="12"/>
  <c r="AG330" i="12"/>
  <c r="AG329" i="12"/>
  <c r="AG328" i="12"/>
  <c r="AG327" i="12"/>
  <c r="AG326" i="12"/>
  <c r="AG325" i="12"/>
  <c r="AG324" i="12"/>
  <c r="AG323" i="12"/>
  <c r="AG322" i="12"/>
  <c r="AG321" i="12"/>
  <c r="AD321" i="12"/>
  <c r="AB321" i="12"/>
  <c r="Z321" i="12"/>
  <c r="X321" i="12"/>
  <c r="A319" i="12"/>
  <c r="AB279" i="12"/>
  <c r="Z279" i="12"/>
  <c r="X279" i="12"/>
  <c r="V279" i="12"/>
  <c r="A276" i="12"/>
  <c r="A277" i="12"/>
  <c r="AG279" i="12"/>
  <c r="AG280" i="12"/>
  <c r="AG281" i="12"/>
  <c r="AG282" i="12"/>
  <c r="AG283" i="12"/>
  <c r="AG284" i="12"/>
  <c r="AG285" i="12"/>
  <c r="AG286" i="12"/>
  <c r="AG287" i="12"/>
  <c r="AG288" i="12"/>
  <c r="AG289" i="12"/>
  <c r="AG290" i="12"/>
  <c r="AG291" i="12"/>
  <c r="AG292" i="12"/>
  <c r="AG293" i="12"/>
  <c r="AG294" i="12"/>
  <c r="AG295" i="12"/>
  <c r="AG296" i="12"/>
  <c r="AG297" i="12"/>
  <c r="AG298" i="12"/>
  <c r="AG299" i="12"/>
  <c r="AG300" i="12"/>
  <c r="AG301" i="12"/>
  <c r="AG302" i="12"/>
  <c r="AG303" i="12"/>
  <c r="AG304" i="12"/>
  <c r="AG305" i="12"/>
  <c r="AG306" i="12"/>
  <c r="AG307" i="12"/>
  <c r="AG308" i="12"/>
  <c r="AG309" i="12"/>
  <c r="AG310" i="12"/>
  <c r="AG271" i="12"/>
  <c r="AG270" i="12"/>
  <c r="AG269" i="12"/>
  <c r="AG268" i="12"/>
  <c r="AG267" i="12"/>
  <c r="AG266" i="12"/>
  <c r="AG265" i="12"/>
  <c r="AG264" i="12"/>
  <c r="AG263" i="12"/>
  <c r="AG262" i="12"/>
  <c r="AG261" i="12"/>
  <c r="AG260" i="12"/>
  <c r="AG259" i="12"/>
  <c r="AG258" i="12"/>
  <c r="AG257" i="12"/>
  <c r="AG256" i="12"/>
  <c r="AG255" i="12"/>
  <c r="AG254" i="12"/>
  <c r="AG253" i="12"/>
  <c r="AG252" i="12"/>
  <c r="AG251" i="12"/>
  <c r="AG250" i="12"/>
  <c r="AG249" i="12"/>
  <c r="AG248" i="12"/>
  <c r="AG247" i="12"/>
  <c r="AG246" i="12"/>
  <c r="AG245" i="12"/>
  <c r="AG244" i="12"/>
  <c r="AG243" i="12"/>
  <c r="AG242" i="12"/>
  <c r="AG241" i="12"/>
  <c r="AG240" i="12"/>
  <c r="A238" i="12"/>
  <c r="A237" i="12"/>
  <c r="V122" i="12"/>
  <c r="X122" i="12"/>
  <c r="Z122" i="12"/>
  <c r="AB122" i="12"/>
  <c r="AD122" i="12"/>
  <c r="E192" i="12"/>
  <c r="AD161" i="12"/>
  <c r="AB161" i="12"/>
  <c r="Z161" i="12"/>
  <c r="X161" i="12"/>
  <c r="V161" i="12"/>
  <c r="AG231" i="12"/>
  <c r="AG230" i="12"/>
  <c r="AG229" i="12"/>
  <c r="AG228" i="12"/>
  <c r="AG227" i="12"/>
  <c r="AG226" i="12"/>
  <c r="AG225" i="12"/>
  <c r="AG224" i="12"/>
  <c r="AG223" i="12"/>
  <c r="AG222" i="12"/>
  <c r="AG221" i="12"/>
  <c r="AG220" i="12"/>
  <c r="AG219" i="12"/>
  <c r="AG218" i="12"/>
  <c r="AG217" i="12"/>
  <c r="AG216" i="12"/>
  <c r="AG215" i="12"/>
  <c r="AG214" i="12"/>
  <c r="AG213" i="12"/>
  <c r="AG212" i="12"/>
  <c r="AG211" i="12"/>
  <c r="AG210" i="12"/>
  <c r="AG209" i="12"/>
  <c r="AG208" i="12"/>
  <c r="AG207" i="12"/>
  <c r="AG206" i="12"/>
  <c r="AG205" i="12"/>
  <c r="AG204" i="12"/>
  <c r="AG203" i="12"/>
  <c r="AG202" i="12"/>
  <c r="AG201" i="12"/>
  <c r="AG200" i="12"/>
  <c r="A198" i="12"/>
  <c r="A197" i="12"/>
  <c r="A159" i="12"/>
  <c r="A158" i="12"/>
  <c r="AG192" i="12"/>
  <c r="AG191" i="12"/>
  <c r="AG190" i="12"/>
  <c r="AG189" i="12"/>
  <c r="AG188" i="12"/>
  <c r="AG187" i="12"/>
  <c r="AG186" i="12"/>
  <c r="AG185" i="12"/>
  <c r="AG184" i="12"/>
  <c r="AG183" i="12"/>
  <c r="AG182" i="12"/>
  <c r="AG181" i="12"/>
  <c r="AG180" i="12"/>
  <c r="AG179" i="12"/>
  <c r="AG178" i="12"/>
  <c r="AG177" i="12"/>
  <c r="AG176" i="12"/>
  <c r="AG175" i="12"/>
  <c r="AG174" i="12"/>
  <c r="AG173" i="12"/>
  <c r="AG172" i="12"/>
  <c r="AG171" i="12"/>
  <c r="AG170" i="12"/>
  <c r="AG169" i="12"/>
  <c r="AG168" i="12"/>
  <c r="AG167" i="12"/>
  <c r="AG166" i="12"/>
  <c r="AG165" i="12"/>
  <c r="AG164" i="12"/>
  <c r="AG163" i="12"/>
  <c r="AG162" i="12"/>
  <c r="AG161" i="12"/>
  <c r="A120" i="12"/>
  <c r="AG153" i="12"/>
  <c r="AG152" i="12"/>
  <c r="AG151" i="12"/>
  <c r="AG150" i="12"/>
  <c r="AG149" i="12"/>
  <c r="AG148" i="12"/>
  <c r="AG147" i="12"/>
  <c r="AG146" i="12"/>
  <c r="AG145" i="12"/>
  <c r="AG144" i="12"/>
  <c r="AG143" i="12"/>
  <c r="AG142" i="12"/>
  <c r="AG141" i="12"/>
  <c r="AG140" i="12"/>
  <c r="AG139" i="12"/>
  <c r="AG138" i="12"/>
  <c r="AG137" i="12"/>
  <c r="AG136" i="12"/>
  <c r="AG135" i="12"/>
  <c r="AG134" i="12"/>
  <c r="AG133" i="12"/>
  <c r="AG132" i="12"/>
  <c r="AG131" i="12"/>
  <c r="AG130" i="12"/>
  <c r="AG129" i="12"/>
  <c r="AG128" i="12"/>
  <c r="AG127" i="12"/>
  <c r="AG126" i="12"/>
  <c r="AG125" i="12"/>
  <c r="AG124" i="12"/>
  <c r="AG123" i="12"/>
  <c r="AG122" i="12"/>
  <c r="AG113" i="12"/>
  <c r="AG111" i="12"/>
  <c r="AG109" i="12"/>
  <c r="AG107" i="12"/>
  <c r="AG105" i="12"/>
  <c r="AG103" i="12"/>
  <c r="AG101" i="12"/>
  <c r="AG99" i="12"/>
  <c r="AG97" i="12"/>
  <c r="AG95" i="12"/>
  <c r="AG93" i="12"/>
  <c r="AG91" i="12"/>
  <c r="AG89" i="12"/>
  <c r="AG87" i="12"/>
  <c r="AG85" i="12"/>
  <c r="AG83" i="12"/>
  <c r="AG73" i="12"/>
  <c r="AG71" i="12"/>
  <c r="AG69" i="12"/>
  <c r="AG67" i="12"/>
  <c r="AG65" i="12"/>
  <c r="AG63" i="12"/>
  <c r="AG61" i="12"/>
  <c r="AG59" i="12"/>
  <c r="AG57" i="12"/>
  <c r="AG55" i="12"/>
  <c r="AG53" i="12"/>
  <c r="AG51" i="12"/>
  <c r="AG49" i="12"/>
  <c r="AG47" i="12"/>
  <c r="AG74" i="12"/>
  <c r="AG72" i="12"/>
  <c r="AG70" i="12"/>
  <c r="AG68" i="12"/>
  <c r="AG66" i="12"/>
  <c r="AG64" i="12"/>
  <c r="AG62" i="12"/>
  <c r="AG60" i="12"/>
  <c r="AG58" i="12"/>
  <c r="AG56" i="12"/>
  <c r="AG54" i="12"/>
  <c r="AG52" i="12"/>
  <c r="AG50" i="12"/>
  <c r="AG48" i="12"/>
  <c r="AG46" i="12"/>
  <c r="AG44" i="12"/>
  <c r="AG45" i="12"/>
  <c r="AG43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I21" i="12"/>
  <c r="AH21" i="12" s="1"/>
  <c r="E21" i="12"/>
  <c r="T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I36" i="12"/>
  <c r="BR4" i="12"/>
  <c r="AH36" i="12" s="1"/>
  <c r="E36" i="12"/>
  <c r="AG112" i="12"/>
  <c r="AG110" i="12"/>
  <c r="AG108" i="12"/>
  <c r="AG106" i="12"/>
  <c r="AG104" i="12"/>
  <c r="AG102" i="12"/>
  <c r="AG100" i="12"/>
  <c r="AG98" i="12"/>
  <c r="AG96" i="12"/>
  <c r="AG94" i="12"/>
  <c r="AG92" i="12"/>
  <c r="AG90" i="12"/>
  <c r="AG88" i="12"/>
  <c r="AG86" i="12"/>
  <c r="AG82" i="12"/>
  <c r="W1" i="12"/>
  <c r="AC1" i="12" s="1"/>
  <c r="AH1" i="12" s="1"/>
  <c r="AK1" i="12" s="1"/>
  <c r="AN1" i="12" s="1"/>
  <c r="AQ1" i="12" s="1"/>
  <c r="AT1" i="12" s="1"/>
  <c r="AW1" i="12" s="1"/>
  <c r="AZ1" i="12" s="1"/>
  <c r="BC1" i="12" s="1"/>
  <c r="BF1" i="12" s="1"/>
  <c r="BI1" i="12" s="1"/>
  <c r="BL1" i="12" s="1"/>
  <c r="BO1" i="12" s="1"/>
  <c r="BR1" i="12" s="1"/>
  <c r="S1" i="12"/>
  <c r="Y1" i="12" s="1"/>
  <c r="AE1" i="12" s="1"/>
  <c r="AI1" i="12" s="1"/>
  <c r="AL1" i="12" s="1"/>
  <c r="AO1" i="12" s="1"/>
  <c r="AR1" i="12" s="1"/>
  <c r="AU1" i="12" s="1"/>
  <c r="AX1" i="12" s="1"/>
  <c r="BA1" i="12" s="1"/>
  <c r="BD1" i="12" s="1"/>
  <c r="BG1" i="12" s="1"/>
  <c r="BJ1" i="12" s="1"/>
  <c r="BM1" i="12" s="1"/>
  <c r="BP1" i="12" s="1"/>
  <c r="AG84" i="12"/>
  <c r="A343" i="12" l="1"/>
  <c r="A344" i="12"/>
  <c r="A49" i="12"/>
  <c r="A50" i="12"/>
  <c r="A440" i="12"/>
  <c r="A439" i="12"/>
  <c r="AH73" i="12"/>
  <c r="A296" i="12"/>
  <c r="A295" i="12"/>
  <c r="A378" i="12"/>
  <c r="A377" i="12"/>
  <c r="A141" i="12"/>
  <c r="A140" i="12"/>
  <c r="A180" i="12"/>
  <c r="A179" i="12"/>
  <c r="A293" i="12"/>
  <c r="A215" i="12"/>
  <c r="A249" i="12"/>
  <c r="A248" i="12"/>
  <c r="A94" i="12"/>
  <c r="A95" i="12"/>
  <c r="A408" i="12"/>
  <c r="A407" i="12"/>
  <c r="AH112" i="12"/>
  <c r="AH230" i="12"/>
  <c r="G433" i="12"/>
  <c r="F433" i="12"/>
  <c r="E433" i="12"/>
  <c r="H433" i="12"/>
  <c r="C475" i="12"/>
  <c r="E474" i="12"/>
  <c r="H82" i="12"/>
  <c r="AH310" i="12"/>
  <c r="G85" i="12"/>
  <c r="H85" i="12"/>
  <c r="F93" i="12"/>
  <c r="G93" i="12" s="1"/>
  <c r="F124" i="12"/>
  <c r="E124" i="12"/>
  <c r="G124" i="12"/>
  <c r="E472" i="12"/>
  <c r="H69" i="12"/>
  <c r="F69" i="12"/>
  <c r="G69" i="12"/>
  <c r="G82" i="12"/>
  <c r="H58" i="12"/>
  <c r="F58" i="12"/>
  <c r="G58" i="12" s="1"/>
  <c r="G102" i="12"/>
  <c r="H111" i="12"/>
  <c r="G111" i="12"/>
  <c r="H53" i="12"/>
  <c r="G53" i="12"/>
  <c r="F53" i="12"/>
  <c r="F64" i="12"/>
  <c r="G64" i="12"/>
  <c r="C437" i="12"/>
  <c r="AH122" i="12"/>
  <c r="AI123" i="12" s="1"/>
  <c r="AJ123" i="12"/>
  <c r="AK123" i="12"/>
  <c r="G71" i="12"/>
  <c r="H108" i="12"/>
  <c r="G108" i="12"/>
  <c r="A573" i="12"/>
  <c r="A572" i="12"/>
  <c r="H104" i="12"/>
  <c r="G104" i="12"/>
  <c r="A477" i="12"/>
  <c r="A476" i="12"/>
  <c r="G49" i="12"/>
  <c r="G60" i="12"/>
  <c r="H96" i="12"/>
  <c r="G96" i="12"/>
  <c r="E58" i="12"/>
  <c r="E53" i="12"/>
  <c r="F434" i="12"/>
  <c r="H434" i="12"/>
  <c r="H89" i="12"/>
  <c r="G89" i="12"/>
  <c r="H93" i="12"/>
  <c r="H161" i="12"/>
  <c r="F161" i="12"/>
  <c r="G161" i="12"/>
  <c r="H283" i="12"/>
  <c r="F283" i="12"/>
  <c r="G283" i="12"/>
  <c r="G344" i="12"/>
  <c r="H344" i="12"/>
  <c r="F344" i="12"/>
  <c r="G349" i="12"/>
  <c r="H349" i="12"/>
  <c r="F349" i="12"/>
  <c r="H517" i="12"/>
  <c r="F517" i="12"/>
  <c r="G517" i="12" s="1"/>
  <c r="E517" i="12"/>
  <c r="H532" i="12"/>
  <c r="E532" i="12"/>
  <c r="F532" i="12"/>
  <c r="H546" i="12"/>
  <c r="E546" i="12"/>
  <c r="F546" i="12"/>
  <c r="G546" i="12" s="1"/>
  <c r="H166" i="12"/>
  <c r="F166" i="12"/>
  <c r="G166" i="12" s="1"/>
  <c r="H186" i="12"/>
  <c r="F186" i="12"/>
  <c r="G186" i="12"/>
  <c r="H208" i="12"/>
  <c r="F208" i="12"/>
  <c r="G208" i="12" s="1"/>
  <c r="H213" i="12"/>
  <c r="F213" i="12"/>
  <c r="G213" i="12" s="1"/>
  <c r="H261" i="12"/>
  <c r="F261" i="12"/>
  <c r="G261" i="12" s="1"/>
  <c r="H288" i="12"/>
  <c r="F288" i="12"/>
  <c r="G288" i="12" s="1"/>
  <c r="H378" i="12"/>
  <c r="F378" i="12"/>
  <c r="G378" i="12"/>
  <c r="H550" i="12"/>
  <c r="G550" i="12"/>
  <c r="E550" i="12"/>
  <c r="F550" i="12"/>
  <c r="B199" i="9"/>
  <c r="B200" i="9"/>
  <c r="H48" i="12"/>
  <c r="H241" i="12"/>
  <c r="F241" i="12"/>
  <c r="G241" i="12"/>
  <c r="H293" i="12"/>
  <c r="F293" i="12"/>
  <c r="G293" i="12"/>
  <c r="H298" i="12"/>
  <c r="F298" i="12"/>
  <c r="G298" i="12" s="1"/>
  <c r="H323" i="12"/>
  <c r="F323" i="12"/>
  <c r="G323" i="12"/>
  <c r="E361" i="12"/>
  <c r="F361" i="12"/>
  <c r="G361" i="12" s="1"/>
  <c r="H373" i="12"/>
  <c r="F373" i="12"/>
  <c r="G373" i="12" s="1"/>
  <c r="G565" i="12"/>
  <c r="E565" i="12"/>
  <c r="F565" i="12"/>
  <c r="H565" i="12"/>
  <c r="E435" i="12"/>
  <c r="E471" i="12"/>
  <c r="H71" i="12"/>
  <c r="H125" i="12"/>
  <c r="F125" i="12"/>
  <c r="G125" i="12" s="1"/>
  <c r="H149" i="12"/>
  <c r="F149" i="12"/>
  <c r="G149" i="12"/>
  <c r="H218" i="12"/>
  <c r="F218" i="12"/>
  <c r="G218" i="12" s="1"/>
  <c r="H339" i="12"/>
  <c r="F339" i="12"/>
  <c r="G339" i="12" s="1"/>
  <c r="D398" i="12"/>
  <c r="D386" i="12"/>
  <c r="D376" i="12"/>
  <c r="D366" i="12"/>
  <c r="D147" i="12"/>
  <c r="D137" i="12"/>
  <c r="D127" i="12"/>
  <c r="D107" i="12"/>
  <c r="D97" i="12"/>
  <c r="D87" i="12"/>
  <c r="D436" i="12"/>
  <c r="D471" i="12"/>
  <c r="F471" i="12" s="1"/>
  <c r="D424" i="12"/>
  <c r="F424" i="12" s="1"/>
  <c r="D414" i="12"/>
  <c r="F414" i="12" s="1"/>
  <c r="D404" i="12"/>
  <c r="F404" i="12" s="1"/>
  <c r="D348" i="12"/>
  <c r="D338" i="12"/>
  <c r="D328" i="12"/>
  <c r="D460" i="12"/>
  <c r="F460" i="12" s="1"/>
  <c r="D450" i="12"/>
  <c r="F450" i="12" s="1"/>
  <c r="D440" i="12"/>
  <c r="F440" i="12" s="1"/>
  <c r="D499" i="12"/>
  <c r="F499" i="12" s="1"/>
  <c r="D495" i="12"/>
  <c r="F495" i="12" s="1"/>
  <c r="D491" i="12"/>
  <c r="F491" i="12" s="1"/>
  <c r="D487" i="12"/>
  <c r="F487" i="12" s="1"/>
  <c r="D483" i="12"/>
  <c r="F483" i="12" s="1"/>
  <c r="D479" i="12"/>
  <c r="F479" i="12" s="1"/>
  <c r="D475" i="12"/>
  <c r="F475" i="12" s="1"/>
  <c r="D420" i="12"/>
  <c r="F420" i="12" s="1"/>
  <c r="D410" i="12"/>
  <c r="F410" i="12" s="1"/>
  <c r="D350" i="12"/>
  <c r="D340" i="12"/>
  <c r="D330" i="12"/>
  <c r="D400" i="12"/>
  <c r="F400" i="12" s="1"/>
  <c r="D390" i="12"/>
  <c r="D380" i="12"/>
  <c r="D370" i="12"/>
  <c r="D151" i="12"/>
  <c r="D141" i="12"/>
  <c r="D131" i="12"/>
  <c r="D426" i="12"/>
  <c r="F426" i="12" s="1"/>
  <c r="D416" i="12"/>
  <c r="F416" i="12" s="1"/>
  <c r="D406" i="12"/>
  <c r="F406" i="12" s="1"/>
  <c r="D352" i="12"/>
  <c r="D342" i="12"/>
  <c r="D332" i="12"/>
  <c r="D392" i="12"/>
  <c r="D382" i="12"/>
  <c r="D372" i="12"/>
  <c r="D322" i="12"/>
  <c r="D153" i="12"/>
  <c r="D143" i="12"/>
  <c r="D133" i="12"/>
  <c r="D428" i="12"/>
  <c r="F428" i="12" s="1"/>
  <c r="D384" i="12"/>
  <c r="D374" i="12"/>
  <c r="D324" i="12"/>
  <c r="D145" i="12"/>
  <c r="D418" i="12"/>
  <c r="F418" i="12" s="1"/>
  <c r="D408" i="12"/>
  <c r="F408" i="12" s="1"/>
  <c r="D364" i="12"/>
  <c r="D346" i="12"/>
  <c r="D336" i="12"/>
  <c r="D326" i="12"/>
  <c r="F527" i="12"/>
  <c r="G527" i="12" s="1"/>
  <c r="H527" i="12"/>
  <c r="E527" i="12"/>
  <c r="D437" i="12"/>
  <c r="F437" i="12" s="1"/>
  <c r="G112" i="12"/>
  <c r="G105" i="12"/>
  <c r="H129" i="12"/>
  <c r="F129" i="12"/>
  <c r="G129" i="12" s="1"/>
  <c r="H134" i="12"/>
  <c r="F134" i="12"/>
  <c r="G134" i="12"/>
  <c r="H144" i="12"/>
  <c r="F144" i="12"/>
  <c r="G144" i="12" s="1"/>
  <c r="H171" i="12"/>
  <c r="F171" i="12"/>
  <c r="G171" i="12" s="1"/>
  <c r="H191" i="12"/>
  <c r="F191" i="12"/>
  <c r="G191" i="12"/>
  <c r="H266" i="12"/>
  <c r="F266" i="12"/>
  <c r="G266" i="12" s="1"/>
  <c r="H303" i="12"/>
  <c r="F303" i="12"/>
  <c r="G303" i="12"/>
  <c r="H308" i="12"/>
  <c r="F308" i="12"/>
  <c r="G308" i="12" s="1"/>
  <c r="H321" i="12"/>
  <c r="G321" i="12"/>
  <c r="H361" i="12"/>
  <c r="E512" i="12"/>
  <c r="F512" i="12"/>
  <c r="G512" i="12" s="1"/>
  <c r="G532" i="12"/>
  <c r="H246" i="12"/>
  <c r="F246" i="12"/>
  <c r="G246" i="12"/>
  <c r="H362" i="12"/>
  <c r="F362" i="12"/>
  <c r="G362" i="12" s="1"/>
  <c r="H388" i="12"/>
  <c r="F388" i="12"/>
  <c r="G388" i="12" s="1"/>
  <c r="G101" i="12"/>
  <c r="F130" i="12"/>
  <c r="G130" i="12" s="1"/>
  <c r="F135" i="12"/>
  <c r="G135" i="12"/>
  <c r="H139" i="12"/>
  <c r="F139" i="12"/>
  <c r="G139" i="12"/>
  <c r="H383" i="12"/>
  <c r="F383" i="12"/>
  <c r="G383" i="12"/>
  <c r="A516" i="12"/>
  <c r="A515" i="12"/>
  <c r="E522" i="12"/>
  <c r="H522" i="12"/>
  <c r="F522" i="12"/>
  <c r="G522" i="12" s="1"/>
  <c r="A570" i="12"/>
  <c r="H512" i="12"/>
  <c r="E208" i="12"/>
  <c r="G59" i="12"/>
  <c r="G70" i="12"/>
  <c r="H73" i="12"/>
  <c r="G73" i="12"/>
  <c r="H84" i="12"/>
  <c r="G95" i="12"/>
  <c r="G123" i="12"/>
  <c r="H176" i="12"/>
  <c r="F176" i="12"/>
  <c r="G176" i="12"/>
  <c r="H223" i="12"/>
  <c r="F223" i="12"/>
  <c r="G223" i="12"/>
  <c r="D334" i="12"/>
  <c r="D368" i="12"/>
  <c r="D412" i="12"/>
  <c r="F412" i="12" s="1"/>
  <c r="F537" i="12"/>
  <c r="G537" i="12" s="1"/>
  <c r="H537" i="12"/>
  <c r="E537" i="12"/>
  <c r="E161" i="12"/>
  <c r="E434" i="12"/>
  <c r="F48" i="12"/>
  <c r="G48" i="12" s="1"/>
  <c r="G54" i="12"/>
  <c r="G65" i="12"/>
  <c r="H68" i="12"/>
  <c r="G68" i="12"/>
  <c r="D103" i="12"/>
  <c r="H107" i="12"/>
  <c r="F140" i="12"/>
  <c r="G140" i="12"/>
  <c r="H203" i="12"/>
  <c r="F203" i="12"/>
  <c r="G203" i="12"/>
  <c r="H228" i="12"/>
  <c r="F228" i="12"/>
  <c r="G228" i="12" s="1"/>
  <c r="H251" i="12"/>
  <c r="F251" i="12"/>
  <c r="G251" i="12" s="1"/>
  <c r="H271" i="12"/>
  <c r="F271" i="12"/>
  <c r="G271" i="12"/>
  <c r="D402" i="12"/>
  <c r="F402" i="12" s="1"/>
  <c r="G507" i="12"/>
  <c r="E507" i="12"/>
  <c r="H560" i="12"/>
  <c r="E560" i="12"/>
  <c r="F560" i="12"/>
  <c r="G560" i="12" s="1"/>
  <c r="E378" i="12"/>
  <c r="F83" i="12"/>
  <c r="G83" i="12" s="1"/>
  <c r="H63" i="12"/>
  <c r="G63" i="12"/>
  <c r="H181" i="12"/>
  <c r="F181" i="12"/>
  <c r="G181" i="12" s="1"/>
  <c r="H256" i="12"/>
  <c r="F256" i="12"/>
  <c r="G256" i="12"/>
  <c r="G329" i="12"/>
  <c r="H329" i="12"/>
  <c r="F329" i="12"/>
  <c r="C400" i="12"/>
  <c r="H399" i="12"/>
  <c r="G399" i="12"/>
  <c r="H150" i="12"/>
  <c r="H162" i="12"/>
  <c r="H172" i="12"/>
  <c r="H177" i="12"/>
  <c r="H182" i="12"/>
  <c r="H204" i="12"/>
  <c r="H209" i="12"/>
  <c r="H247" i="12"/>
  <c r="H257" i="12"/>
  <c r="H262" i="12"/>
  <c r="H284" i="12"/>
  <c r="H289" i="12"/>
  <c r="H294" i="12"/>
  <c r="H299" i="12"/>
  <c r="H304" i="12"/>
  <c r="H309" i="12"/>
  <c r="H369" i="12"/>
  <c r="H379" i="12"/>
  <c r="H389" i="12"/>
  <c r="G516" i="12"/>
  <c r="G526" i="12"/>
  <c r="G536" i="12"/>
  <c r="E575" i="12"/>
  <c r="E569" i="12"/>
  <c r="G518" i="12"/>
  <c r="G530" i="12"/>
  <c r="H536" i="12"/>
  <c r="G570" i="12"/>
  <c r="H573" i="12"/>
  <c r="G571" i="12"/>
  <c r="G519" i="12"/>
  <c r="G531" i="12"/>
  <c r="H511" i="12"/>
  <c r="H523" i="12"/>
  <c r="G572" i="12"/>
  <c r="F163" i="12"/>
  <c r="G163" i="12" s="1"/>
  <c r="F210" i="12"/>
  <c r="G210" i="12" s="1"/>
  <c r="F225" i="12"/>
  <c r="G225" i="12" s="1"/>
  <c r="F253" i="12"/>
  <c r="G253" i="12" s="1"/>
  <c r="F295" i="12"/>
  <c r="G295" i="12" s="1"/>
  <c r="F305" i="12"/>
  <c r="G305" i="12" s="1"/>
  <c r="E508" i="12"/>
  <c r="E513" i="12"/>
  <c r="E518" i="12"/>
  <c r="E523" i="12"/>
  <c r="E528" i="12"/>
  <c r="E533" i="12"/>
  <c r="A560" i="12"/>
  <c r="A550" i="12"/>
  <c r="E545" i="12"/>
  <c r="G544" i="12"/>
  <c r="E544" i="12"/>
  <c r="G509" i="12"/>
  <c r="G521" i="12"/>
  <c r="H513" i="12"/>
  <c r="G558" i="12"/>
  <c r="H547" i="12"/>
  <c r="H165" i="9"/>
  <c r="D126" i="12"/>
  <c r="F335" i="12"/>
  <c r="G335" i="12" s="1"/>
  <c r="D365" i="12"/>
  <c r="A566" i="12"/>
  <c r="H563" i="12"/>
  <c r="G563" i="12"/>
  <c r="G556" i="12"/>
  <c r="G534" i="12"/>
  <c r="H516" i="12"/>
  <c r="H528" i="12"/>
  <c r="H544" i="12"/>
  <c r="H567" i="12"/>
  <c r="D325" i="12"/>
  <c r="E509" i="12"/>
  <c r="E514" i="12"/>
  <c r="E572" i="12"/>
  <c r="A556" i="12"/>
  <c r="E552" i="12"/>
  <c r="G511" i="12"/>
  <c r="G523" i="12"/>
  <c r="G535" i="12"/>
  <c r="H529" i="12"/>
  <c r="G545" i="12"/>
  <c r="G574" i="12"/>
  <c r="H574" i="12"/>
  <c r="G568" i="12"/>
  <c r="H562" i="12"/>
  <c r="G562" i="12"/>
  <c r="G549" i="12"/>
  <c r="G524" i="12"/>
  <c r="H569" i="12"/>
  <c r="C62" i="11"/>
  <c r="C66" i="11"/>
  <c r="C68" i="11" s="1"/>
  <c r="C69" i="11" s="1"/>
  <c r="C53" i="11"/>
  <c r="C44" i="11"/>
  <c r="C49" i="11" s="1"/>
  <c r="D11" i="11"/>
  <c r="E279" i="12"/>
  <c r="G150" i="12"/>
  <c r="G162" i="12"/>
  <c r="G167" i="12"/>
  <c r="G172" i="12"/>
  <c r="G177" i="12"/>
  <c r="G182" i="12"/>
  <c r="G187" i="12"/>
  <c r="G192" i="12"/>
  <c r="G204" i="12"/>
  <c r="G209" i="12"/>
  <c r="G214" i="12"/>
  <c r="G219" i="12"/>
  <c r="G224" i="12"/>
  <c r="G229" i="12"/>
  <c r="G242" i="12"/>
  <c r="G247" i="12"/>
  <c r="G252" i="12"/>
  <c r="G257" i="12"/>
  <c r="G262" i="12"/>
  <c r="G267" i="12"/>
  <c r="G279" i="12"/>
  <c r="G284" i="12"/>
  <c r="G289" i="12"/>
  <c r="G294" i="12"/>
  <c r="G299" i="12"/>
  <c r="G304" i="12"/>
  <c r="G309" i="12"/>
  <c r="F331" i="12"/>
  <c r="G331" i="12" s="1"/>
  <c r="F341" i="12"/>
  <c r="G341" i="12" s="1"/>
  <c r="F351" i="12"/>
  <c r="G351" i="12" s="1"/>
  <c r="G369" i="12"/>
  <c r="G379" i="12"/>
  <c r="G389" i="12"/>
  <c r="F514" i="12"/>
  <c r="F524" i="12"/>
  <c r="F533" i="12"/>
  <c r="G533" i="12" s="1"/>
  <c r="F534" i="12"/>
  <c r="F567" i="12"/>
  <c r="G567" i="12" s="1"/>
  <c r="F564" i="12"/>
  <c r="G564" i="12" s="1"/>
  <c r="F554" i="12"/>
  <c r="G554" i="12" s="1"/>
  <c r="F547" i="12"/>
  <c r="G547" i="12" s="1"/>
  <c r="G514" i="12"/>
  <c r="D371" i="12"/>
  <c r="D381" i="12"/>
  <c r="D391" i="12"/>
  <c r="D411" i="12"/>
  <c r="F411" i="12" s="1"/>
  <c r="E516" i="12"/>
  <c r="E521" i="12"/>
  <c r="E526" i="12"/>
  <c r="E536" i="12"/>
  <c r="F575" i="12"/>
  <c r="G575" i="12" s="1"/>
  <c r="F573" i="12"/>
  <c r="G573" i="12" s="1"/>
  <c r="F571" i="12"/>
  <c r="F569" i="12"/>
  <c r="G569" i="12" s="1"/>
  <c r="E564" i="12"/>
  <c r="A558" i="12"/>
  <c r="G515" i="12"/>
  <c r="G552" i="12"/>
  <c r="H556" i="12"/>
  <c r="H242" i="9"/>
  <c r="L10" i="9"/>
  <c r="K9" i="9"/>
  <c r="B127" i="9"/>
  <c r="B128" i="9"/>
  <c r="B239" i="9"/>
  <c r="B240" i="9"/>
  <c r="G561" i="12"/>
  <c r="H553" i="12"/>
  <c r="G553" i="12"/>
  <c r="G551" i="12"/>
  <c r="F11" i="11"/>
  <c r="D16" i="11"/>
  <c r="D18" i="11"/>
  <c r="D17" i="11" s="1"/>
  <c r="C55" i="9"/>
  <c r="G55" i="9"/>
  <c r="I55" i="9"/>
  <c r="J55" i="9"/>
  <c r="H55" i="9"/>
  <c r="E55" i="9"/>
  <c r="C10" i="11"/>
  <c r="D7" i="11"/>
  <c r="D10" i="11" s="1"/>
  <c r="D31" i="11" s="1"/>
  <c r="D6" i="9"/>
  <c r="H8" i="9"/>
  <c r="G7" i="9"/>
  <c r="D7" i="9"/>
  <c r="J8" i="9"/>
  <c r="I7" i="9"/>
  <c r="K5" i="9"/>
  <c r="B161" i="9"/>
  <c r="G156" i="9"/>
  <c r="L161" i="9"/>
  <c r="K159" i="9"/>
  <c r="B286" i="9"/>
  <c r="B287" i="9"/>
  <c r="E5" i="11"/>
  <c r="I68" i="9"/>
  <c r="C68" i="9"/>
  <c r="E68" i="9"/>
  <c r="J68" i="9"/>
  <c r="D194" i="9"/>
  <c r="E49" i="9"/>
  <c r="D19" i="9"/>
  <c r="G68" i="9"/>
  <c r="H68" i="9"/>
  <c r="G234" i="9"/>
  <c r="I234" i="9"/>
  <c r="I224" i="9"/>
  <c r="C11" i="11"/>
  <c r="H53" i="9"/>
  <c r="I53" i="9"/>
  <c r="G53" i="9"/>
  <c r="D235" i="9"/>
  <c r="I264" i="9"/>
  <c r="H200" i="9"/>
  <c r="D4" i="9"/>
  <c r="L168" i="9"/>
  <c r="K166" i="9"/>
  <c r="B322" i="9"/>
  <c r="I345" i="9"/>
  <c r="G303" i="9"/>
  <c r="I309" i="12" s="1"/>
  <c r="I303" i="9"/>
  <c r="I427" i="9"/>
  <c r="I385" i="9"/>
  <c r="G149" i="9"/>
  <c r="I153" i="12" s="1"/>
  <c r="AH153" i="12" s="1"/>
  <c r="F149" i="9"/>
  <c r="I149" i="9"/>
  <c r="B397" i="9"/>
  <c r="B396" i="9"/>
  <c r="H435" i="9"/>
  <c r="E303" i="9"/>
  <c r="D316" i="9"/>
  <c r="E346" i="9"/>
  <c r="I148" i="9"/>
  <c r="N358" i="9"/>
  <c r="N360" i="9" s="1"/>
  <c r="N362" i="9" s="1"/>
  <c r="N364" i="9" s="1"/>
  <c r="N366" i="9" s="1"/>
  <c r="N368" i="9" s="1"/>
  <c r="N370" i="9" s="1"/>
  <c r="N372" i="9" s="1"/>
  <c r="N374" i="9" s="1"/>
  <c r="N376" i="9" s="1"/>
  <c r="N378" i="9" s="1"/>
  <c r="N380" i="9" s="1"/>
  <c r="N382" i="9" s="1"/>
  <c r="N384" i="9" s="1"/>
  <c r="N386" i="9" s="1"/>
  <c r="I386" i="9" s="1"/>
  <c r="J35" i="9"/>
  <c r="I34" i="9"/>
  <c r="D34" i="9" s="1"/>
  <c r="H405" i="9"/>
  <c r="G119" i="9"/>
  <c r="I123" i="12" s="1"/>
  <c r="I119" i="9"/>
  <c r="B324" i="9"/>
  <c r="B325" i="9"/>
  <c r="K200" i="9"/>
  <c r="L202" i="9"/>
  <c r="I5" i="9"/>
  <c r="D119" i="9"/>
  <c r="H126" i="9"/>
  <c r="I422" i="9"/>
  <c r="F422" i="9"/>
  <c r="G6" i="9"/>
  <c r="F225" i="9"/>
  <c r="G225" i="9"/>
  <c r="I231" i="12" s="1"/>
  <c r="H285" i="9"/>
  <c r="G5" i="9"/>
  <c r="G265" i="9"/>
  <c r="I271" i="12" s="1"/>
  <c r="AH271" i="12" s="1"/>
  <c r="F265" i="9"/>
  <c r="D356" i="9"/>
  <c r="B362" i="9"/>
  <c r="B363" i="9"/>
  <c r="L241" i="9"/>
  <c r="K239" i="9"/>
  <c r="G35" i="9"/>
  <c r="H36" i="9"/>
  <c r="K510" i="9"/>
  <c r="L512" i="9"/>
  <c r="L123" i="9"/>
  <c r="L134" i="9"/>
  <c r="D428" i="9"/>
  <c r="L515" i="9"/>
  <c r="H327" i="9"/>
  <c r="L368" i="9"/>
  <c r="K366" i="9"/>
  <c r="J547" i="9"/>
  <c r="J507" i="9"/>
  <c r="J391" i="9"/>
  <c r="J273" i="9"/>
  <c r="J155" i="9"/>
  <c r="E458" i="9"/>
  <c r="K284" i="9"/>
  <c r="L286" i="9"/>
  <c r="K199" i="9"/>
  <c r="L201" i="9"/>
  <c r="F577" i="9"/>
  <c r="E578" i="9"/>
  <c r="J315" i="9"/>
  <c r="H361" i="9"/>
  <c r="D49" i="9"/>
  <c r="K317" i="9"/>
  <c r="L319" i="9"/>
  <c r="L242" i="9"/>
  <c r="K240" i="9"/>
  <c r="J355" i="9"/>
  <c r="F186" i="9"/>
  <c r="J185" i="9"/>
  <c r="B513" i="9"/>
  <c r="B512" i="9"/>
  <c r="L324" i="9"/>
  <c r="L440" i="9"/>
  <c r="F538" i="9"/>
  <c r="G538" i="9"/>
  <c r="I538" i="12" s="1"/>
  <c r="I458" i="9"/>
  <c r="H549" i="9"/>
  <c r="G547" i="9"/>
  <c r="I544" i="12" s="1"/>
  <c r="AH544" i="12" s="1"/>
  <c r="L431" i="9"/>
  <c r="I457" i="9"/>
  <c r="L277" i="9"/>
  <c r="B436" i="9"/>
  <c r="B437" i="9"/>
  <c r="L359" i="9"/>
  <c r="K357" i="9"/>
  <c r="B562" i="9"/>
  <c r="B563" i="9"/>
  <c r="B432" i="9"/>
  <c r="B434" i="9"/>
  <c r="J548" i="9"/>
  <c r="J186" i="9"/>
  <c r="J156" i="9"/>
  <c r="B552" i="9"/>
  <c r="B558" i="9"/>
  <c r="J508" i="9"/>
  <c r="G427" i="9"/>
  <c r="L551" i="9"/>
  <c r="G508" i="9"/>
  <c r="D191" i="10"/>
  <c r="C191" i="10" s="1"/>
  <c r="L396" i="9"/>
  <c r="L554" i="9"/>
  <c r="G83" i="10"/>
  <c r="H155" i="10"/>
  <c r="I193" i="10"/>
  <c r="M7" i="10"/>
  <c r="K7" i="10"/>
  <c r="D7" i="10" s="1"/>
  <c r="H509" i="9"/>
  <c r="L21" i="10"/>
  <c r="J22" i="10"/>
  <c r="E206" i="10"/>
  <c r="K206" i="10"/>
  <c r="G21" i="10"/>
  <c r="I21" i="10"/>
  <c r="J192" i="10"/>
  <c r="J44" i="10"/>
  <c r="AF17" i="10"/>
  <c r="L16" i="10"/>
  <c r="J17" i="10"/>
  <c r="E228" i="10"/>
  <c r="F10" i="10"/>
  <c r="O9" i="10"/>
  <c r="N8" i="10"/>
  <c r="AF18" i="10"/>
  <c r="J9" i="10"/>
  <c r="I33" i="8"/>
  <c r="J5" i="8"/>
  <c r="AF16" i="10"/>
  <c r="AF15" i="10" s="1"/>
  <c r="AF14" i="10" s="1"/>
  <c r="AF13" i="10" s="1"/>
  <c r="AF12" i="10" s="1"/>
  <c r="AF11" i="10" s="1"/>
  <c r="AF10" i="10" s="1"/>
  <c r="AF9" i="10" s="1"/>
  <c r="AF8" i="10" s="1"/>
  <c r="H8" i="8"/>
  <c r="H129" i="8"/>
  <c r="E193" i="10"/>
  <c r="D193" i="10" s="1"/>
  <c r="C193" i="10" s="1"/>
  <c r="N6" i="10"/>
  <c r="J31" i="10"/>
  <c r="G5" i="8"/>
  <c r="K88" i="8"/>
  <c r="L89" i="8"/>
  <c r="L9" i="8"/>
  <c r="H88" i="8"/>
  <c r="L40" i="10"/>
  <c r="I126" i="8"/>
  <c r="D126" i="8" s="1"/>
  <c r="J127" i="8"/>
  <c r="G127" i="8" s="1"/>
  <c r="J86" i="8"/>
  <c r="G86" i="8" s="1"/>
  <c r="L129" i="8"/>
  <c r="K128" i="8"/>
  <c r="J82" i="12" l="1"/>
  <c r="AI82" i="12" s="1"/>
  <c r="O4" i="12"/>
  <c r="O18" i="12" s="1"/>
  <c r="H9" i="8"/>
  <c r="J45" i="10"/>
  <c r="L44" i="10"/>
  <c r="E229" i="10"/>
  <c r="K229" i="10"/>
  <c r="I44" i="10"/>
  <c r="G44" i="10"/>
  <c r="H511" i="9"/>
  <c r="L130" i="8"/>
  <c r="K129" i="8"/>
  <c r="O10" i="10"/>
  <c r="L194" i="10"/>
  <c r="F194" i="10"/>
  <c r="I186" i="9"/>
  <c r="J276" i="9"/>
  <c r="J237" i="9"/>
  <c r="J358" i="9"/>
  <c r="J318" i="9"/>
  <c r="G186" i="9"/>
  <c r="I192" i="12" s="1"/>
  <c r="B439" i="9"/>
  <c r="B438" i="9"/>
  <c r="E577" i="9"/>
  <c r="I273" i="9"/>
  <c r="J275" i="9"/>
  <c r="G273" i="9"/>
  <c r="J394" i="9"/>
  <c r="F264" i="9"/>
  <c r="E265" i="9"/>
  <c r="L170" i="9"/>
  <c r="K168" i="9"/>
  <c r="J9" i="9"/>
  <c r="I8" i="9"/>
  <c r="H244" i="9"/>
  <c r="H365" i="12"/>
  <c r="G365" i="12"/>
  <c r="E365" i="12"/>
  <c r="F365" i="12"/>
  <c r="H334" i="12"/>
  <c r="F334" i="12"/>
  <c r="G334" i="12" s="1"/>
  <c r="E334" i="12"/>
  <c r="H364" i="12"/>
  <c r="F364" i="12"/>
  <c r="G364" i="12" s="1"/>
  <c r="E364" i="12"/>
  <c r="F153" i="12"/>
  <c r="G153" i="12" s="1"/>
  <c r="H153" i="12"/>
  <c r="E153" i="12"/>
  <c r="H350" i="12"/>
  <c r="F350" i="12"/>
  <c r="G350" i="12"/>
  <c r="E350" i="12"/>
  <c r="F436" i="12"/>
  <c r="E436" i="12"/>
  <c r="F398" i="12"/>
  <c r="G398" i="12"/>
  <c r="E398" i="12"/>
  <c r="AK83" i="12"/>
  <c r="AL83" i="12" s="1"/>
  <c r="C476" i="12"/>
  <c r="E475" i="12"/>
  <c r="A217" i="12"/>
  <c r="A216" i="12"/>
  <c r="A380" i="12"/>
  <c r="A379" i="12"/>
  <c r="A442" i="12"/>
  <c r="A441" i="12"/>
  <c r="E11" i="11"/>
  <c r="C19" i="11"/>
  <c r="C20" i="11" s="1"/>
  <c r="C19" i="9"/>
  <c r="BP4" i="12"/>
  <c r="J36" i="12"/>
  <c r="J73" i="12"/>
  <c r="J49" i="12"/>
  <c r="J24" i="12"/>
  <c r="AE4" i="12"/>
  <c r="F322" i="12"/>
  <c r="G322" i="12"/>
  <c r="E322" i="12"/>
  <c r="H322" i="12"/>
  <c r="H131" i="12"/>
  <c r="F131" i="12"/>
  <c r="G131" i="12"/>
  <c r="E131" i="12"/>
  <c r="F87" i="12"/>
  <c r="G87" i="12"/>
  <c r="E87" i="12"/>
  <c r="A181" i="12"/>
  <c r="A182" i="12"/>
  <c r="AH309" i="12"/>
  <c r="K9" i="8"/>
  <c r="L10" i="8"/>
  <c r="I5" i="8"/>
  <c r="D5" i="8" s="1"/>
  <c r="C4" i="8" s="1"/>
  <c r="J6" i="8"/>
  <c r="K551" i="9"/>
  <c r="L553" i="9"/>
  <c r="J430" i="9"/>
  <c r="C49" i="9"/>
  <c r="J112" i="12"/>
  <c r="BQ4" i="12"/>
  <c r="I507" i="9"/>
  <c r="G507" i="9"/>
  <c r="J509" i="9"/>
  <c r="I46" i="12"/>
  <c r="I84" i="12"/>
  <c r="I83" i="12"/>
  <c r="I45" i="12"/>
  <c r="I22" i="12"/>
  <c r="H202" i="9"/>
  <c r="J121" i="9"/>
  <c r="L163" i="9"/>
  <c r="K161" i="9"/>
  <c r="J47" i="12"/>
  <c r="J23" i="12"/>
  <c r="Y4" i="12"/>
  <c r="H126" i="12"/>
  <c r="F126" i="12"/>
  <c r="G126" i="12"/>
  <c r="E126" i="12"/>
  <c r="F372" i="12"/>
  <c r="G372" i="12"/>
  <c r="E372" i="12"/>
  <c r="H372" i="12"/>
  <c r="H141" i="12"/>
  <c r="F141" i="12"/>
  <c r="G141" i="12" s="1"/>
  <c r="E141" i="12"/>
  <c r="E97" i="12"/>
  <c r="F97" i="12"/>
  <c r="G97" i="12" s="1"/>
  <c r="A298" i="12"/>
  <c r="A297" i="12"/>
  <c r="A51" i="12"/>
  <c r="A52" i="12"/>
  <c r="J87" i="8"/>
  <c r="I86" i="8"/>
  <c r="D86" i="8" s="1"/>
  <c r="I192" i="10"/>
  <c r="I508" i="12"/>
  <c r="J550" i="9"/>
  <c r="I548" i="9"/>
  <c r="G548" i="9"/>
  <c r="B515" i="9"/>
  <c r="B514" i="9"/>
  <c r="K201" i="9"/>
  <c r="L203" i="9"/>
  <c r="G391" i="9"/>
  <c r="J393" i="9"/>
  <c r="I391" i="9"/>
  <c r="K515" i="9"/>
  <c r="L517" i="9"/>
  <c r="H37" i="9"/>
  <c r="H128" i="9"/>
  <c r="B327" i="9"/>
  <c r="B326" i="9"/>
  <c r="K6" i="10"/>
  <c r="D6" i="10" s="1"/>
  <c r="M6" i="10"/>
  <c r="M191" i="10"/>
  <c r="J18" i="10"/>
  <c r="L17" i="10"/>
  <c r="E202" i="10"/>
  <c r="K202" i="10"/>
  <c r="I17" i="10"/>
  <c r="G17" i="10"/>
  <c r="K277" i="9"/>
  <c r="L279" i="9"/>
  <c r="L288" i="9"/>
  <c r="K286" i="9"/>
  <c r="J549" i="9"/>
  <c r="I547" i="9"/>
  <c r="D547" i="9" s="1"/>
  <c r="J434" i="12"/>
  <c r="H287" i="9"/>
  <c r="J123" i="12"/>
  <c r="B399" i="9"/>
  <c r="B398" i="9"/>
  <c r="J43" i="12"/>
  <c r="J21" i="12"/>
  <c r="AI21" i="12" s="1"/>
  <c r="J200" i="12"/>
  <c r="I162" i="12"/>
  <c r="B241" i="9"/>
  <c r="B242" i="9"/>
  <c r="F145" i="12"/>
  <c r="G145" i="12" s="1"/>
  <c r="H145" i="12"/>
  <c r="E145" i="12"/>
  <c r="F382" i="12"/>
  <c r="G382" i="12"/>
  <c r="E382" i="12"/>
  <c r="H382" i="12"/>
  <c r="H151" i="12"/>
  <c r="F151" i="12"/>
  <c r="G151" i="12"/>
  <c r="E151" i="12"/>
  <c r="F328" i="12"/>
  <c r="G328" i="12" s="1"/>
  <c r="H328" i="12"/>
  <c r="E328" i="12"/>
  <c r="F107" i="12"/>
  <c r="G107" i="12"/>
  <c r="E107" i="12"/>
  <c r="A479" i="12"/>
  <c r="A478" i="12"/>
  <c r="A143" i="12"/>
  <c r="A142" i="12"/>
  <c r="F11" i="10"/>
  <c r="E10" i="10"/>
  <c r="H437" i="9"/>
  <c r="L90" i="8"/>
  <c r="K89" i="8"/>
  <c r="I185" i="9"/>
  <c r="G185" i="9"/>
  <c r="I191" i="12" s="1"/>
  <c r="J120" i="9"/>
  <c r="J236" i="9"/>
  <c r="J196" i="9"/>
  <c r="H363" i="9"/>
  <c r="L243" i="9"/>
  <c r="K241" i="9"/>
  <c r="AH123" i="12"/>
  <c r="I87" i="12"/>
  <c r="AH87" i="12" s="1"/>
  <c r="I50" i="12"/>
  <c r="I49" i="12"/>
  <c r="I88" i="12"/>
  <c r="I24" i="12"/>
  <c r="H167" i="9"/>
  <c r="H400" i="12"/>
  <c r="G400" i="12"/>
  <c r="C401" i="12"/>
  <c r="E400" i="12"/>
  <c r="H87" i="12"/>
  <c r="F324" i="12"/>
  <c r="G324" i="12" s="1"/>
  <c r="H324" i="12"/>
  <c r="E324" i="12"/>
  <c r="F392" i="12"/>
  <c r="G392" i="12"/>
  <c r="H392" i="12"/>
  <c r="E392" i="12"/>
  <c r="H370" i="12"/>
  <c r="F370" i="12"/>
  <c r="G370" i="12"/>
  <c r="E370" i="12"/>
  <c r="F338" i="12"/>
  <c r="G338" i="12" s="1"/>
  <c r="H338" i="12"/>
  <c r="E338" i="12"/>
  <c r="H127" i="12"/>
  <c r="F127" i="12"/>
  <c r="G127" i="12"/>
  <c r="E127" i="12"/>
  <c r="E437" i="12"/>
  <c r="G437" i="12"/>
  <c r="C438" i="12"/>
  <c r="H437" i="12"/>
  <c r="J128" i="8"/>
  <c r="I127" i="8"/>
  <c r="D127" i="8" s="1"/>
  <c r="L9" i="10"/>
  <c r="N9" i="10" s="1"/>
  <c r="L10" i="10"/>
  <c r="N10" i="10" s="1"/>
  <c r="K194" i="10"/>
  <c r="E194" i="10"/>
  <c r="G9" i="10"/>
  <c r="I9" i="10"/>
  <c r="K554" i="9"/>
  <c r="L556" i="9"/>
  <c r="D427" i="9"/>
  <c r="I433" i="12"/>
  <c r="AH433" i="12" s="1"/>
  <c r="B565" i="9"/>
  <c r="B564" i="9"/>
  <c r="L433" i="9"/>
  <c r="K431" i="9"/>
  <c r="F185" i="9"/>
  <c r="E186" i="9"/>
  <c r="K368" i="9"/>
  <c r="L370" i="9"/>
  <c r="L136" i="9"/>
  <c r="K134" i="9"/>
  <c r="AH231" i="12"/>
  <c r="J54" i="9"/>
  <c r="I54" i="9"/>
  <c r="G54" i="9"/>
  <c r="H54" i="9"/>
  <c r="E54" i="9"/>
  <c r="C54" i="9"/>
  <c r="E149" i="9"/>
  <c r="H9" i="9"/>
  <c r="G8" i="9"/>
  <c r="B130" i="9"/>
  <c r="B129" i="9"/>
  <c r="F374" i="12"/>
  <c r="G374" i="12" s="1"/>
  <c r="H374" i="12"/>
  <c r="E374" i="12"/>
  <c r="H332" i="12"/>
  <c r="G332" i="12"/>
  <c r="F332" i="12"/>
  <c r="E332" i="12"/>
  <c r="H380" i="12"/>
  <c r="F380" i="12"/>
  <c r="G380" i="12" s="1"/>
  <c r="E380" i="12"/>
  <c r="F348" i="12"/>
  <c r="G348" i="12"/>
  <c r="H348" i="12"/>
  <c r="E348" i="12"/>
  <c r="H137" i="12"/>
  <c r="F137" i="12"/>
  <c r="G137" i="12" s="1"/>
  <c r="E137" i="12"/>
  <c r="H398" i="12"/>
  <c r="H436" i="12"/>
  <c r="A97" i="12"/>
  <c r="A96" i="12"/>
  <c r="A346" i="12"/>
  <c r="A345" i="12"/>
  <c r="J241" i="12"/>
  <c r="B163" i="9"/>
  <c r="B162" i="9"/>
  <c r="D35" i="11"/>
  <c r="D19" i="11"/>
  <c r="D20" i="11" s="1"/>
  <c r="F384" i="12"/>
  <c r="G384" i="12"/>
  <c r="H384" i="12"/>
  <c r="E384" i="12"/>
  <c r="H342" i="12"/>
  <c r="G342" i="12"/>
  <c r="F342" i="12"/>
  <c r="E342" i="12"/>
  <c r="H390" i="12"/>
  <c r="F390" i="12"/>
  <c r="G390" i="12" s="1"/>
  <c r="E390" i="12"/>
  <c r="H147" i="12"/>
  <c r="F147" i="12"/>
  <c r="G147" i="12" s="1"/>
  <c r="E147" i="12"/>
  <c r="B202" i="9"/>
  <c r="B201" i="9"/>
  <c r="A575" i="12"/>
  <c r="A576" i="12" s="1"/>
  <c r="A574" i="12"/>
  <c r="G436" i="12"/>
  <c r="H130" i="8"/>
  <c r="L22" i="10"/>
  <c r="J23" i="10"/>
  <c r="E207" i="10"/>
  <c r="K207" i="10"/>
  <c r="I22" i="10"/>
  <c r="G22" i="10"/>
  <c r="L398" i="9"/>
  <c r="K396" i="9"/>
  <c r="J510" i="9"/>
  <c r="I508" i="9"/>
  <c r="D508" i="9" s="1"/>
  <c r="AH538" i="12"/>
  <c r="I355" i="9"/>
  <c r="J357" i="9"/>
  <c r="G355" i="9"/>
  <c r="I315" i="9"/>
  <c r="J317" i="9"/>
  <c r="G315" i="9"/>
  <c r="K123" i="9"/>
  <c r="L125" i="9"/>
  <c r="B364" i="9"/>
  <c r="B365" i="9"/>
  <c r="F224" i="9"/>
  <c r="E225" i="9"/>
  <c r="J322" i="12"/>
  <c r="K8" i="10"/>
  <c r="D8" i="10" s="1"/>
  <c r="C8" i="10" s="1"/>
  <c r="M8" i="10"/>
  <c r="M193" i="10"/>
  <c r="E538" i="9"/>
  <c r="F537" i="9"/>
  <c r="I86" i="12"/>
  <c r="I85" i="12"/>
  <c r="I47" i="12"/>
  <c r="I48" i="12"/>
  <c r="I23" i="12"/>
  <c r="H407" i="9"/>
  <c r="D5" i="9"/>
  <c r="C31" i="11"/>
  <c r="E10" i="11"/>
  <c r="H391" i="12"/>
  <c r="F391" i="12"/>
  <c r="G391" i="12" s="1"/>
  <c r="E391" i="12"/>
  <c r="A517" i="12"/>
  <c r="A518" i="12"/>
  <c r="H326" i="12"/>
  <c r="F326" i="12"/>
  <c r="G326" i="12"/>
  <c r="E326" i="12"/>
  <c r="H352" i="12"/>
  <c r="G352" i="12"/>
  <c r="F352" i="12"/>
  <c r="E352" i="12"/>
  <c r="H366" i="12"/>
  <c r="E366" i="12"/>
  <c r="F366" i="12"/>
  <c r="G366" i="12" s="1"/>
  <c r="AF123" i="12"/>
  <c r="AF124" i="12"/>
  <c r="K440" i="9"/>
  <c r="L442" i="9"/>
  <c r="L244" i="9"/>
  <c r="K242" i="9"/>
  <c r="H329" i="9"/>
  <c r="L514" i="9"/>
  <c r="K512" i="9"/>
  <c r="J362" i="12"/>
  <c r="F53" i="9"/>
  <c r="D53" i="9"/>
  <c r="D234" i="9"/>
  <c r="I240" i="12"/>
  <c r="K10" i="9"/>
  <c r="L11" i="9"/>
  <c r="H381" i="12"/>
  <c r="G381" i="12"/>
  <c r="F381" i="12"/>
  <c r="E381" i="12"/>
  <c r="H103" i="12"/>
  <c r="F103" i="12"/>
  <c r="G103" i="12" s="1"/>
  <c r="E103" i="12"/>
  <c r="H336" i="12"/>
  <c r="F336" i="12"/>
  <c r="G336" i="12"/>
  <c r="E336" i="12"/>
  <c r="H133" i="12"/>
  <c r="F133" i="12"/>
  <c r="G133" i="12" s="1"/>
  <c r="E133" i="12"/>
  <c r="H330" i="12"/>
  <c r="F330" i="12"/>
  <c r="G330" i="12"/>
  <c r="E330" i="12"/>
  <c r="H376" i="12"/>
  <c r="G376" i="12"/>
  <c r="E376" i="12"/>
  <c r="F376" i="12"/>
  <c r="H97" i="12"/>
  <c r="H89" i="8"/>
  <c r="J32" i="10"/>
  <c r="L31" i="10"/>
  <c r="K216" i="10"/>
  <c r="G31" i="10"/>
  <c r="I31" i="10"/>
  <c r="E216" i="10"/>
  <c r="C7" i="10"/>
  <c r="I156" i="9"/>
  <c r="D156" i="9" s="1"/>
  <c r="J158" i="9"/>
  <c r="K359" i="9"/>
  <c r="L361" i="9"/>
  <c r="H551" i="9"/>
  <c r="G549" i="9"/>
  <c r="K324" i="9"/>
  <c r="L326" i="9"/>
  <c r="L321" i="9"/>
  <c r="K319" i="9"/>
  <c r="J157" i="9"/>
  <c r="I155" i="9"/>
  <c r="G155" i="9"/>
  <c r="J197" i="9"/>
  <c r="E422" i="9"/>
  <c r="K202" i="9"/>
  <c r="L204" i="9"/>
  <c r="I35" i="9"/>
  <c r="D35" i="9" s="1"/>
  <c r="J36" i="9"/>
  <c r="G36" i="9" s="1"/>
  <c r="J429" i="9"/>
  <c r="B288" i="9"/>
  <c r="B289" i="9"/>
  <c r="C56" i="9"/>
  <c r="G56" i="9"/>
  <c r="H56" i="9"/>
  <c r="E56" i="9"/>
  <c r="J56" i="9"/>
  <c r="I56" i="9"/>
  <c r="H371" i="12"/>
  <c r="G371" i="12"/>
  <c r="E371" i="12"/>
  <c r="F371" i="12"/>
  <c r="H325" i="12"/>
  <c r="F325" i="12"/>
  <c r="G325" i="12" s="1"/>
  <c r="E325" i="12"/>
  <c r="H368" i="12"/>
  <c r="F368" i="12"/>
  <c r="G368" i="12" s="1"/>
  <c r="E368" i="12"/>
  <c r="H346" i="12"/>
  <c r="F346" i="12"/>
  <c r="G346" i="12" s="1"/>
  <c r="E346" i="12"/>
  <c r="F143" i="12"/>
  <c r="G143" i="12" s="1"/>
  <c r="H143" i="12"/>
  <c r="E143" i="12"/>
  <c r="H340" i="12"/>
  <c r="F340" i="12"/>
  <c r="G340" i="12" s="1"/>
  <c r="E340" i="12"/>
  <c r="H386" i="12"/>
  <c r="G386" i="12"/>
  <c r="E386" i="12"/>
  <c r="F386" i="12"/>
  <c r="A410" i="12"/>
  <c r="A409" i="12"/>
  <c r="A251" i="12"/>
  <c r="A250" i="12"/>
  <c r="J162" i="12" l="1"/>
  <c r="J508" i="12"/>
  <c r="M10" i="10"/>
  <c r="M195" i="10"/>
  <c r="K10" i="10"/>
  <c r="D10" i="10" s="1"/>
  <c r="J84" i="12"/>
  <c r="U4" i="12"/>
  <c r="J24" i="10"/>
  <c r="L23" i="10"/>
  <c r="E208" i="10"/>
  <c r="K208" i="10"/>
  <c r="G23" i="10"/>
  <c r="I23" i="10"/>
  <c r="B165" i="9"/>
  <c r="B164" i="9"/>
  <c r="H365" i="9"/>
  <c r="I546" i="12"/>
  <c r="L516" i="9"/>
  <c r="K514" i="9"/>
  <c r="J512" i="9"/>
  <c r="I510" i="9"/>
  <c r="G510" i="9"/>
  <c r="H131" i="8"/>
  <c r="B132" i="9"/>
  <c r="B131" i="9"/>
  <c r="E185" i="9"/>
  <c r="AH50" i="12"/>
  <c r="I196" i="9"/>
  <c r="J198" i="9"/>
  <c r="G196" i="9"/>
  <c r="F12" i="10"/>
  <c r="E11" i="10"/>
  <c r="D391" i="9"/>
  <c r="I397" i="12"/>
  <c r="AH83" i="12"/>
  <c r="AM84" i="12"/>
  <c r="AN84" i="12" s="1"/>
  <c r="A183" i="12"/>
  <c r="A184" i="12"/>
  <c r="D194" i="10"/>
  <c r="C194" i="10" s="1"/>
  <c r="I429" i="9"/>
  <c r="J431" i="9"/>
  <c r="G429" i="9"/>
  <c r="I158" i="9"/>
  <c r="J160" i="9"/>
  <c r="G158" i="9"/>
  <c r="K11" i="9"/>
  <c r="L12" i="9"/>
  <c r="H331" i="9"/>
  <c r="H409" i="9"/>
  <c r="D315" i="9"/>
  <c r="I321" i="12"/>
  <c r="D8" i="9"/>
  <c r="I89" i="12"/>
  <c r="I52" i="12"/>
  <c r="I90" i="12"/>
  <c r="I51" i="12"/>
  <c r="AK4" i="12"/>
  <c r="AH25" i="12" s="1"/>
  <c r="I25" i="12"/>
  <c r="H438" i="12"/>
  <c r="G438" i="12"/>
  <c r="E438" i="12"/>
  <c r="C439" i="12"/>
  <c r="I236" i="9"/>
  <c r="G236" i="9"/>
  <c r="J238" i="9"/>
  <c r="AD22" i="12"/>
  <c r="T22" i="12"/>
  <c r="V22" i="12"/>
  <c r="Z22" i="12"/>
  <c r="AB22" i="12"/>
  <c r="AF22" i="12"/>
  <c r="X22" i="12"/>
  <c r="B329" i="9"/>
  <c r="B328" i="9"/>
  <c r="L205" i="9"/>
  <c r="K203" i="9"/>
  <c r="AH84" i="12"/>
  <c r="J432" i="9"/>
  <c r="I430" i="9"/>
  <c r="G430" i="9"/>
  <c r="A444" i="12"/>
  <c r="A443" i="12"/>
  <c r="K170" i="9"/>
  <c r="L172" i="9"/>
  <c r="J194" i="10"/>
  <c r="I194" i="10" s="1"/>
  <c r="T83" i="12"/>
  <c r="AI83" i="12" s="1"/>
  <c r="AF83" i="12"/>
  <c r="AJ83" i="12"/>
  <c r="X83" i="12"/>
  <c r="AD83" i="12"/>
  <c r="V83" i="12"/>
  <c r="AB84" i="12"/>
  <c r="V84" i="12"/>
  <c r="T84" i="12"/>
  <c r="Z84" i="12"/>
  <c r="AB83" i="12"/>
  <c r="AD84" i="12"/>
  <c r="X84" i="12"/>
  <c r="Z83" i="12"/>
  <c r="H553" i="9"/>
  <c r="L363" i="9"/>
  <c r="K361" i="9"/>
  <c r="J33" i="10"/>
  <c r="L32" i="10"/>
  <c r="I32" i="10"/>
  <c r="G32" i="10"/>
  <c r="K217" i="10"/>
  <c r="E217" i="10"/>
  <c r="G9" i="9"/>
  <c r="H10" i="9"/>
  <c r="K433" i="9"/>
  <c r="L435" i="9"/>
  <c r="I120" i="9"/>
  <c r="J122" i="9"/>
  <c r="G120" i="9"/>
  <c r="A145" i="12"/>
  <c r="A144" i="12"/>
  <c r="AK44" i="12"/>
  <c r="AI44" i="12"/>
  <c r="J88" i="8"/>
  <c r="I87" i="8"/>
  <c r="D87" i="8" s="1"/>
  <c r="G87" i="8"/>
  <c r="AH46" i="12"/>
  <c r="K553" i="9"/>
  <c r="L555" i="9"/>
  <c r="AI434" i="12"/>
  <c r="AF434" i="12" s="1"/>
  <c r="H90" i="8"/>
  <c r="AH47" i="12"/>
  <c r="B567" i="9"/>
  <c r="B566" i="9"/>
  <c r="T124" i="12"/>
  <c r="X124" i="12"/>
  <c r="V124" i="12"/>
  <c r="AD124" i="12"/>
  <c r="AB124" i="12"/>
  <c r="Z124" i="12"/>
  <c r="B290" i="9"/>
  <c r="B291" i="9"/>
  <c r="J199" i="9"/>
  <c r="I197" i="9"/>
  <c r="G197" i="9"/>
  <c r="A520" i="12"/>
  <c r="A519" i="12"/>
  <c r="AH23" i="12"/>
  <c r="I317" i="9"/>
  <c r="J319" i="9"/>
  <c r="G317" i="9"/>
  <c r="L400" i="9"/>
  <c r="K398" i="9"/>
  <c r="A253" i="12"/>
  <c r="A252" i="12"/>
  <c r="D155" i="9"/>
  <c r="I161" i="12"/>
  <c r="AH240" i="12"/>
  <c r="AI241" i="12"/>
  <c r="AK241" i="12"/>
  <c r="AH48" i="12"/>
  <c r="A348" i="12"/>
  <c r="A347" i="12"/>
  <c r="AH191" i="12"/>
  <c r="J544" i="12"/>
  <c r="H130" i="9"/>
  <c r="A53" i="12"/>
  <c r="A54" i="12"/>
  <c r="A382" i="12"/>
  <c r="A381" i="12"/>
  <c r="B441" i="9"/>
  <c r="B440" i="9"/>
  <c r="O11" i="10"/>
  <c r="L195" i="10"/>
  <c r="J195" i="10" s="1"/>
  <c r="N11" i="10"/>
  <c r="F195" i="10"/>
  <c r="D195" i="10" s="1"/>
  <c r="I549" i="9"/>
  <c r="D549" i="9" s="1"/>
  <c r="J551" i="9"/>
  <c r="J19" i="10"/>
  <c r="E203" i="10"/>
  <c r="G18" i="10"/>
  <c r="L18" i="10"/>
  <c r="I18" i="10"/>
  <c r="K203" i="10"/>
  <c r="H38" i="9"/>
  <c r="B517" i="9"/>
  <c r="B516" i="9"/>
  <c r="L165" i="9"/>
  <c r="K163" i="9"/>
  <c r="I509" i="9"/>
  <c r="J511" i="9"/>
  <c r="J7" i="8"/>
  <c r="I6" i="8"/>
  <c r="D6" i="8" s="1"/>
  <c r="G6" i="8"/>
  <c r="E264" i="9"/>
  <c r="AH192" i="12"/>
  <c r="J46" i="10"/>
  <c r="L45" i="10"/>
  <c r="K230" i="10"/>
  <c r="E230" i="10"/>
  <c r="G45" i="10"/>
  <c r="I45" i="10"/>
  <c r="A99" i="12"/>
  <c r="A98" i="12"/>
  <c r="K9" i="10"/>
  <c r="D9" i="10" s="1"/>
  <c r="C9" i="10" s="1"/>
  <c r="M9" i="10"/>
  <c r="M194" i="10"/>
  <c r="L245" i="9"/>
  <c r="K243" i="9"/>
  <c r="B243" i="9"/>
  <c r="B244" i="9"/>
  <c r="B400" i="9"/>
  <c r="B401" i="9"/>
  <c r="D548" i="9"/>
  <c r="I545" i="12"/>
  <c r="I121" i="9"/>
  <c r="J123" i="9"/>
  <c r="G121" i="9"/>
  <c r="I507" i="12"/>
  <c r="D507" i="9"/>
  <c r="A219" i="12"/>
  <c r="A218" i="12"/>
  <c r="H246" i="9"/>
  <c r="G394" i="9"/>
  <c r="I394" i="9"/>
  <c r="J396" i="9"/>
  <c r="G318" i="9"/>
  <c r="I318" i="9"/>
  <c r="J320" i="9"/>
  <c r="L131" i="8"/>
  <c r="K130" i="8"/>
  <c r="J240" i="12"/>
  <c r="AJ241" i="12" s="1"/>
  <c r="D355" i="9"/>
  <c r="I361" i="12"/>
  <c r="A411" i="12"/>
  <c r="A412" i="12"/>
  <c r="I36" i="9"/>
  <c r="D36" i="9" s="1"/>
  <c r="J37" i="9"/>
  <c r="I157" i="9"/>
  <c r="J159" i="9"/>
  <c r="G157" i="9"/>
  <c r="K442" i="9"/>
  <c r="L444" i="9"/>
  <c r="AH85" i="12"/>
  <c r="I357" i="9"/>
  <c r="G357" i="9"/>
  <c r="J359" i="9"/>
  <c r="D54" i="9"/>
  <c r="F54" i="9"/>
  <c r="AH86" i="12"/>
  <c r="E224" i="9"/>
  <c r="L138" i="9"/>
  <c r="K136" i="9"/>
  <c r="J433" i="12"/>
  <c r="AJ434" i="12" s="1"/>
  <c r="L91" i="8"/>
  <c r="K90" i="8"/>
  <c r="K288" i="9"/>
  <c r="L290" i="9"/>
  <c r="K517" i="9"/>
  <c r="L519" i="9"/>
  <c r="A300" i="12"/>
  <c r="A299" i="12"/>
  <c r="K10" i="8"/>
  <c r="L11" i="8"/>
  <c r="AK434" i="12"/>
  <c r="D273" i="9"/>
  <c r="I279" i="12"/>
  <c r="G358" i="9"/>
  <c r="I358" i="9"/>
  <c r="J360" i="9"/>
  <c r="H10" i="8"/>
  <c r="K244" i="9"/>
  <c r="L246" i="9"/>
  <c r="L372" i="9"/>
  <c r="K370" i="9"/>
  <c r="L558" i="9"/>
  <c r="K556" i="9"/>
  <c r="AJ44" i="12"/>
  <c r="AH24" i="12"/>
  <c r="A480" i="12"/>
  <c r="A481" i="12"/>
  <c r="AH162" i="12"/>
  <c r="L281" i="9"/>
  <c r="K279" i="9"/>
  <c r="J552" i="9"/>
  <c r="I550" i="9"/>
  <c r="G550" i="9"/>
  <c r="H204" i="9"/>
  <c r="I275" i="9"/>
  <c r="J277" i="9"/>
  <c r="G275" i="9"/>
  <c r="I237" i="9"/>
  <c r="J239" i="9"/>
  <c r="G237" i="9"/>
  <c r="G509" i="9"/>
  <c r="D36" i="11"/>
  <c r="D44" i="11" s="1"/>
  <c r="D43" i="11"/>
  <c r="K326" i="9"/>
  <c r="L328" i="9"/>
  <c r="X123" i="12"/>
  <c r="T123" i="12"/>
  <c r="AI124" i="12" s="1"/>
  <c r="Z123" i="12"/>
  <c r="V123" i="12"/>
  <c r="AD123" i="12"/>
  <c r="AB123" i="12"/>
  <c r="E537" i="9"/>
  <c r="J129" i="8"/>
  <c r="I128" i="8"/>
  <c r="D128" i="8" s="1"/>
  <c r="G128" i="8"/>
  <c r="H169" i="9"/>
  <c r="AH88" i="12"/>
  <c r="H439" i="9"/>
  <c r="C6" i="10"/>
  <c r="C192" i="10"/>
  <c r="AH508" i="12"/>
  <c r="AH22" i="12"/>
  <c r="U18" i="12"/>
  <c r="C477" i="12"/>
  <c r="E476" i="12"/>
  <c r="J57" i="9"/>
  <c r="C57" i="9"/>
  <c r="I57" i="9"/>
  <c r="E57" i="9"/>
  <c r="H57" i="9"/>
  <c r="G57" i="9"/>
  <c r="J278" i="9"/>
  <c r="I276" i="9"/>
  <c r="G276" i="9"/>
  <c r="G511" i="9"/>
  <c r="H513" i="9"/>
  <c r="L206" i="9"/>
  <c r="K204" i="9"/>
  <c r="L323" i="9"/>
  <c r="K321" i="9"/>
  <c r="B366" i="9"/>
  <c r="B367" i="9"/>
  <c r="J45" i="12"/>
  <c r="S4" i="12"/>
  <c r="J22" i="12"/>
  <c r="AI22" i="12" s="1"/>
  <c r="L127" i="9"/>
  <c r="K125" i="9"/>
  <c r="B204" i="9"/>
  <c r="B203" i="9"/>
  <c r="C402" i="12"/>
  <c r="G401" i="12"/>
  <c r="H401" i="12"/>
  <c r="E401" i="12"/>
  <c r="AH49" i="12"/>
  <c r="AI201" i="12"/>
  <c r="AJ201" i="12"/>
  <c r="AK201" i="12"/>
  <c r="H289" i="9"/>
  <c r="G393" i="9"/>
  <c r="I393" i="9"/>
  <c r="J395" i="9"/>
  <c r="AH45" i="12"/>
  <c r="AM83" i="12"/>
  <c r="AN83" i="12" s="1"/>
  <c r="J10" i="9"/>
  <c r="I9" i="9"/>
  <c r="AK84" i="12"/>
  <c r="AL84" i="12" s="1"/>
  <c r="AF84" i="12" l="1"/>
  <c r="AJ84" i="12"/>
  <c r="AD23" i="12"/>
  <c r="X23" i="12"/>
  <c r="V23" i="12"/>
  <c r="Z23" i="12"/>
  <c r="T23" i="12"/>
  <c r="AF23" i="12"/>
  <c r="AB23" i="12"/>
  <c r="J86" i="12"/>
  <c r="AA4" i="12"/>
  <c r="J546" i="12"/>
  <c r="I511" i="12"/>
  <c r="K328" i="9"/>
  <c r="L330" i="9"/>
  <c r="AH279" i="12"/>
  <c r="AK280" i="12"/>
  <c r="AH361" i="12"/>
  <c r="AK362" i="12" s="1"/>
  <c r="AJ362" i="12"/>
  <c r="AH507" i="12"/>
  <c r="B568" i="9"/>
  <c r="B569" i="9"/>
  <c r="G10" i="9"/>
  <c r="H11" i="9"/>
  <c r="G439" i="12"/>
  <c r="E439" i="12"/>
  <c r="H439" i="12"/>
  <c r="C440" i="12"/>
  <c r="AH89" i="12"/>
  <c r="H333" i="9"/>
  <c r="I10" i="9"/>
  <c r="J11" i="9"/>
  <c r="J130" i="8"/>
  <c r="I129" i="8"/>
  <c r="D129" i="8" s="1"/>
  <c r="G129" i="8"/>
  <c r="D275" i="9"/>
  <c r="I281" i="12"/>
  <c r="L374" i="9"/>
  <c r="K372" i="9"/>
  <c r="A302" i="12"/>
  <c r="A301" i="12"/>
  <c r="I359" i="9"/>
  <c r="J361" i="9"/>
  <c r="G359" i="9"/>
  <c r="J38" i="9"/>
  <c r="I37" i="9"/>
  <c r="J361" i="12"/>
  <c r="AI362" i="12" s="1"/>
  <c r="AF362" i="12" s="1"/>
  <c r="D394" i="9"/>
  <c r="I400" i="12"/>
  <c r="B246" i="9"/>
  <c r="B245" i="9"/>
  <c r="J8" i="8"/>
  <c r="I7" i="8"/>
  <c r="D7" i="8" s="1"/>
  <c r="G7" i="8"/>
  <c r="A384" i="12"/>
  <c r="A383" i="12"/>
  <c r="L402" i="9"/>
  <c r="K400" i="9"/>
  <c r="D197" i="9"/>
  <c r="I203" i="12"/>
  <c r="A147" i="12"/>
  <c r="A146" i="12"/>
  <c r="I91" i="12"/>
  <c r="I54" i="12"/>
  <c r="I92" i="12"/>
  <c r="I53" i="12"/>
  <c r="AN4" i="12"/>
  <c r="AH26" i="12" s="1"/>
  <c r="I26" i="12"/>
  <c r="D9" i="9"/>
  <c r="L365" i="9"/>
  <c r="K363" i="9"/>
  <c r="D430" i="9"/>
  <c r="I436" i="12"/>
  <c r="L207" i="9"/>
  <c r="K205" i="9"/>
  <c r="J51" i="12"/>
  <c r="AI4" i="12"/>
  <c r="J25" i="12"/>
  <c r="D429" i="9"/>
  <c r="I435" i="12"/>
  <c r="B134" i="9"/>
  <c r="B133" i="9"/>
  <c r="I395" i="9"/>
  <c r="G395" i="9"/>
  <c r="J397" i="9"/>
  <c r="A482" i="12"/>
  <c r="A483" i="12"/>
  <c r="J279" i="12"/>
  <c r="AI280" i="12" s="1"/>
  <c r="D121" i="9"/>
  <c r="I125" i="12"/>
  <c r="H441" i="9"/>
  <c r="J279" i="9"/>
  <c r="I277" i="9"/>
  <c r="G277" i="9"/>
  <c r="I547" i="12"/>
  <c r="D550" i="9"/>
  <c r="L248" i="9"/>
  <c r="K246" i="9"/>
  <c r="L521" i="9"/>
  <c r="K519" i="9"/>
  <c r="I363" i="12"/>
  <c r="D357" i="9"/>
  <c r="D55" i="9"/>
  <c r="F55" i="9"/>
  <c r="H248" i="9"/>
  <c r="J125" i="9"/>
  <c r="G123" i="9"/>
  <c r="I123" i="9"/>
  <c r="A101" i="12"/>
  <c r="A100" i="12"/>
  <c r="I511" i="9"/>
  <c r="D511" i="9" s="1"/>
  <c r="J513" i="9"/>
  <c r="I323" i="12"/>
  <c r="D317" i="9"/>
  <c r="I124" i="12"/>
  <c r="D120" i="9"/>
  <c r="L13" i="9"/>
  <c r="K12" i="9"/>
  <c r="J433" i="9"/>
  <c r="I431" i="9"/>
  <c r="G431" i="9"/>
  <c r="C403" i="12"/>
  <c r="H402" i="12"/>
  <c r="G402" i="12"/>
  <c r="E402" i="12"/>
  <c r="K206" i="9"/>
  <c r="L208" i="9"/>
  <c r="E58" i="9"/>
  <c r="C58" i="9"/>
  <c r="J58" i="9"/>
  <c r="I58" i="9"/>
  <c r="H58" i="9"/>
  <c r="G58" i="9"/>
  <c r="T202" i="12"/>
  <c r="AF201" i="12"/>
  <c r="X202" i="12"/>
  <c r="V202" i="12"/>
  <c r="AD202" i="12"/>
  <c r="AB202" i="12"/>
  <c r="Z202" i="12"/>
  <c r="H515" i="9"/>
  <c r="G513" i="9"/>
  <c r="L140" i="9"/>
  <c r="K138" i="9"/>
  <c r="C195" i="10"/>
  <c r="AH161" i="12"/>
  <c r="J321" i="9"/>
  <c r="I319" i="9"/>
  <c r="G319" i="9"/>
  <c r="J201" i="9"/>
  <c r="I199" i="9"/>
  <c r="G199" i="9"/>
  <c r="I122" i="9"/>
  <c r="G122" i="9"/>
  <c r="J124" i="9"/>
  <c r="I432" i="9"/>
  <c r="G432" i="9"/>
  <c r="J434" i="9"/>
  <c r="B330" i="9"/>
  <c r="B331" i="9"/>
  <c r="AH397" i="12"/>
  <c r="AK398" i="12" s="1"/>
  <c r="L518" i="9"/>
  <c r="K516" i="9"/>
  <c r="H367" i="9"/>
  <c r="I552" i="9"/>
  <c r="J554" i="9"/>
  <c r="G552" i="9"/>
  <c r="K290" i="9"/>
  <c r="L292" i="9"/>
  <c r="M11" i="10"/>
  <c r="K11" i="10"/>
  <c r="D11" i="10" s="1"/>
  <c r="C11" i="10" s="1"/>
  <c r="M196" i="10"/>
  <c r="J161" i="12"/>
  <c r="AI162" i="12" s="1"/>
  <c r="B292" i="9"/>
  <c r="B293" i="9"/>
  <c r="T434" i="12"/>
  <c r="Z434" i="12"/>
  <c r="X434" i="12"/>
  <c r="V434" i="12"/>
  <c r="AD434" i="12"/>
  <c r="AB434" i="12"/>
  <c r="J89" i="8"/>
  <c r="I88" i="8"/>
  <c r="D88" i="8" s="1"/>
  <c r="G88" i="8"/>
  <c r="I238" i="9"/>
  <c r="J240" i="9"/>
  <c r="G238" i="9"/>
  <c r="J397" i="12"/>
  <c r="K131" i="8"/>
  <c r="L132" i="8"/>
  <c r="K165" i="9"/>
  <c r="L167" i="9"/>
  <c r="L20" i="10"/>
  <c r="L19" i="10"/>
  <c r="E204" i="10"/>
  <c r="K204" i="10"/>
  <c r="G19" i="10"/>
  <c r="I19" i="10"/>
  <c r="I195" i="10"/>
  <c r="A55" i="12"/>
  <c r="A56" i="12"/>
  <c r="L557" i="9"/>
  <c r="K555" i="9"/>
  <c r="K172" i="9"/>
  <c r="L174" i="9"/>
  <c r="D236" i="9"/>
  <c r="I242" i="12"/>
  <c r="AH321" i="12"/>
  <c r="J25" i="10"/>
  <c r="L24" i="10"/>
  <c r="E209" i="10"/>
  <c r="I24" i="10"/>
  <c r="G24" i="10"/>
  <c r="K209" i="10"/>
  <c r="B369" i="9"/>
  <c r="B368" i="9"/>
  <c r="D49" i="11"/>
  <c r="D68" i="11" s="1"/>
  <c r="D69" i="11" s="1"/>
  <c r="D46" i="11"/>
  <c r="D48" i="11" s="1"/>
  <c r="H11" i="8"/>
  <c r="L12" i="8"/>
  <c r="K11" i="8"/>
  <c r="L446" i="9"/>
  <c r="K444" i="9"/>
  <c r="I320" i="9"/>
  <c r="G320" i="9"/>
  <c r="J322" i="9"/>
  <c r="A221" i="12"/>
  <c r="A220" i="12"/>
  <c r="AH545" i="12"/>
  <c r="K245" i="9"/>
  <c r="L247" i="9"/>
  <c r="I551" i="9"/>
  <c r="J553" i="9"/>
  <c r="G553" i="9" s="1"/>
  <c r="N12" i="10"/>
  <c r="O12" i="10"/>
  <c r="L196" i="10"/>
  <c r="J196" i="10" s="1"/>
  <c r="I196" i="10" s="1"/>
  <c r="F196" i="10"/>
  <c r="D196" i="10" s="1"/>
  <c r="C196" i="10" s="1"/>
  <c r="AF44" i="12"/>
  <c r="T44" i="12" s="1"/>
  <c r="T45" i="12"/>
  <c r="AD45" i="12"/>
  <c r="AB45" i="12"/>
  <c r="Z45" i="12"/>
  <c r="X45" i="12"/>
  <c r="V45" i="12"/>
  <c r="G551" i="9"/>
  <c r="J321" i="12"/>
  <c r="AI322" i="12" s="1"/>
  <c r="AF322" i="12" s="1"/>
  <c r="H132" i="8"/>
  <c r="B167" i="9"/>
  <c r="B166" i="9"/>
  <c r="AM85" i="12"/>
  <c r="AN85" i="12" s="1"/>
  <c r="D276" i="9"/>
  <c r="I282" i="12"/>
  <c r="B206" i="9"/>
  <c r="B205" i="9"/>
  <c r="I278" i="9"/>
  <c r="J280" i="9"/>
  <c r="G278" i="9"/>
  <c r="G360" i="9"/>
  <c r="I360" i="9"/>
  <c r="J362" i="9"/>
  <c r="A414" i="12"/>
  <c r="A413" i="12"/>
  <c r="J545" i="12"/>
  <c r="B519" i="9"/>
  <c r="B518" i="9"/>
  <c r="T242" i="12"/>
  <c r="AF241" i="12"/>
  <c r="T241" i="12" s="1"/>
  <c r="AB242" i="12"/>
  <c r="X242" i="12"/>
  <c r="V242" i="12"/>
  <c r="AD242" i="12"/>
  <c r="Z242" i="12"/>
  <c r="A255" i="12"/>
  <c r="A254" i="12"/>
  <c r="H555" i="9"/>
  <c r="AH51" i="12"/>
  <c r="F13" i="10"/>
  <c r="E12" i="10"/>
  <c r="I510" i="12"/>
  <c r="D510" i="9"/>
  <c r="D45" i="11"/>
  <c r="E43" i="11"/>
  <c r="D393" i="9"/>
  <c r="I399" i="12"/>
  <c r="AJ124" i="12"/>
  <c r="AK124" i="12"/>
  <c r="D237" i="9"/>
  <c r="I243" i="12"/>
  <c r="L92" i="8"/>
  <c r="K91" i="8"/>
  <c r="D157" i="9"/>
  <c r="I163" i="12"/>
  <c r="D318" i="9"/>
  <c r="I324" i="12"/>
  <c r="G37" i="9"/>
  <c r="D37" i="9" s="1"/>
  <c r="B442" i="9"/>
  <c r="B443" i="9"/>
  <c r="H132" i="9"/>
  <c r="A522" i="12"/>
  <c r="A521" i="12"/>
  <c r="H91" i="8"/>
  <c r="L437" i="9"/>
  <c r="K435" i="9"/>
  <c r="AH90" i="12"/>
  <c r="H411" i="9"/>
  <c r="I164" i="12"/>
  <c r="D158" i="9"/>
  <c r="A185" i="12"/>
  <c r="A186" i="12"/>
  <c r="D196" i="9"/>
  <c r="I202" i="12"/>
  <c r="D509" i="9"/>
  <c r="I509" i="12"/>
  <c r="L283" i="9"/>
  <c r="K281" i="9"/>
  <c r="E477" i="12"/>
  <c r="C478" i="12"/>
  <c r="H171" i="9"/>
  <c r="H291" i="9"/>
  <c r="K127" i="9"/>
  <c r="L129" i="9"/>
  <c r="L325" i="9"/>
  <c r="K323" i="9"/>
  <c r="G239" i="9"/>
  <c r="J241" i="9"/>
  <c r="I239" i="9"/>
  <c r="H206" i="9"/>
  <c r="L560" i="9"/>
  <c r="K558" i="9"/>
  <c r="D358" i="9"/>
  <c r="I364" i="12"/>
  <c r="J161" i="9"/>
  <c r="G159" i="9"/>
  <c r="I159" i="9"/>
  <c r="G396" i="9"/>
  <c r="I396" i="9"/>
  <c r="J398" i="9"/>
  <c r="J507" i="12"/>
  <c r="AK508" i="12" s="1"/>
  <c r="B402" i="9"/>
  <c r="B403" i="9"/>
  <c r="J47" i="10"/>
  <c r="L46" i="10"/>
  <c r="K231" i="10"/>
  <c r="I46" i="10"/>
  <c r="E231" i="10"/>
  <c r="G46" i="10"/>
  <c r="G38" i="9"/>
  <c r="H39" i="9"/>
  <c r="AK545" i="12"/>
  <c r="AI545" i="12"/>
  <c r="AF545" i="12" s="1"/>
  <c r="AJ545" i="12"/>
  <c r="A350" i="12"/>
  <c r="A349" i="12"/>
  <c r="L33" i="10"/>
  <c r="J34" i="10"/>
  <c r="E218" i="10"/>
  <c r="G33" i="10"/>
  <c r="K218" i="10"/>
  <c r="I33" i="10"/>
  <c r="A446" i="12"/>
  <c r="A445" i="12"/>
  <c r="AH52" i="12"/>
  <c r="G160" i="9"/>
  <c r="I160" i="9"/>
  <c r="J162" i="9"/>
  <c r="I198" i="9"/>
  <c r="J200" i="9"/>
  <c r="G198" i="9"/>
  <c r="J514" i="9"/>
  <c r="I512" i="9"/>
  <c r="G512" i="9"/>
  <c r="AH546" i="12"/>
  <c r="C10" i="10"/>
  <c r="V362" i="12" l="1"/>
  <c r="T362" i="12"/>
  <c r="Z362" i="12"/>
  <c r="X362" i="12"/>
  <c r="AB362" i="12"/>
  <c r="AD362" i="12"/>
  <c r="T322" i="12"/>
  <c r="AI323" i="12" s="1"/>
  <c r="AF323" i="12" s="1"/>
  <c r="V322" i="12"/>
  <c r="AK323" i="12" s="1"/>
  <c r="AD322" i="12"/>
  <c r="AB322" i="12"/>
  <c r="Z322" i="12"/>
  <c r="X322" i="12"/>
  <c r="AJ323" i="12"/>
  <c r="AF280" i="12"/>
  <c r="AD281" i="12"/>
  <c r="I550" i="12"/>
  <c r="AF162" i="12"/>
  <c r="T162" i="12" s="1"/>
  <c r="T163" i="12"/>
  <c r="J511" i="12"/>
  <c r="AH509" i="12"/>
  <c r="H134" i="9"/>
  <c r="I362" i="9"/>
  <c r="G362" i="9"/>
  <c r="J364" i="9"/>
  <c r="J282" i="12"/>
  <c r="O13" i="10"/>
  <c r="N13" i="10"/>
  <c r="F197" i="10"/>
  <c r="D197" i="10" s="1"/>
  <c r="C197" i="10" s="1"/>
  <c r="L197" i="10"/>
  <c r="J197" i="10" s="1"/>
  <c r="I197" i="10" s="1"/>
  <c r="G434" i="9"/>
  <c r="J436" i="9"/>
  <c r="I434" i="9"/>
  <c r="I325" i="12"/>
  <c r="D319" i="9"/>
  <c r="I127" i="12"/>
  <c r="D123" i="9"/>
  <c r="K521" i="9"/>
  <c r="L523" i="9"/>
  <c r="AH125" i="12"/>
  <c r="B135" i="9"/>
  <c r="B136" i="9"/>
  <c r="L209" i="9"/>
  <c r="K207" i="9"/>
  <c r="AH54" i="12"/>
  <c r="J39" i="9"/>
  <c r="I38" i="9"/>
  <c r="G11" i="9"/>
  <c r="H12" i="9"/>
  <c r="K92" i="8"/>
  <c r="L93" i="8"/>
  <c r="H557" i="9"/>
  <c r="K12" i="10"/>
  <c r="D12" i="10" s="1"/>
  <c r="C12" i="10" s="1"/>
  <c r="M12" i="10"/>
  <c r="M197" i="10"/>
  <c r="A223" i="12"/>
  <c r="A222" i="12"/>
  <c r="J26" i="10"/>
  <c r="L25" i="10"/>
  <c r="I25" i="10"/>
  <c r="E210" i="10"/>
  <c r="K210" i="10"/>
  <c r="G25" i="10"/>
  <c r="I244" i="12"/>
  <c r="D238" i="9"/>
  <c r="L520" i="9"/>
  <c r="K518" i="9"/>
  <c r="D432" i="9"/>
  <c r="I438" i="12"/>
  <c r="J124" i="12"/>
  <c r="J127" i="9"/>
  <c r="G125" i="9"/>
  <c r="I125" i="9"/>
  <c r="J125" i="12"/>
  <c r="AH435" i="12"/>
  <c r="AH436" i="12"/>
  <c r="AH91" i="12"/>
  <c r="I365" i="12"/>
  <c r="D359" i="9"/>
  <c r="I94" i="12"/>
  <c r="AQ4" i="12"/>
  <c r="AH27" i="12" s="1"/>
  <c r="I55" i="12"/>
  <c r="I56" i="12"/>
  <c r="I93" i="12"/>
  <c r="I27" i="12"/>
  <c r="D10" i="9"/>
  <c r="I402" i="12"/>
  <c r="AH402" i="12" s="1"/>
  <c r="D396" i="9"/>
  <c r="H173" i="9"/>
  <c r="D198" i="9"/>
  <c r="I204" i="12"/>
  <c r="J243" i="9"/>
  <c r="I241" i="9"/>
  <c r="G241" i="9"/>
  <c r="AH202" i="12"/>
  <c r="B445" i="9"/>
  <c r="B444" i="9"/>
  <c r="J510" i="12"/>
  <c r="B520" i="9"/>
  <c r="B521" i="9"/>
  <c r="D360" i="9"/>
  <c r="I366" i="12"/>
  <c r="I553" i="9"/>
  <c r="D553" i="9" s="1"/>
  <c r="J555" i="9"/>
  <c r="J324" i="9"/>
  <c r="I322" i="9"/>
  <c r="G322" i="9"/>
  <c r="AJ322" i="12"/>
  <c r="L559" i="9"/>
  <c r="K557" i="9"/>
  <c r="J242" i="9"/>
  <c r="I240" i="9"/>
  <c r="G240" i="9"/>
  <c r="AI435" i="12"/>
  <c r="AF435" i="12" s="1"/>
  <c r="AK435" i="12"/>
  <c r="AJ435" i="12"/>
  <c r="L294" i="9"/>
  <c r="K292" i="9"/>
  <c r="AJ398" i="12"/>
  <c r="J323" i="9"/>
  <c r="I321" i="9"/>
  <c r="G321" i="9"/>
  <c r="I513" i="12"/>
  <c r="H403" i="12"/>
  <c r="G403" i="12"/>
  <c r="E403" i="12"/>
  <c r="C404" i="12"/>
  <c r="AH124" i="12"/>
  <c r="AK125" i="12" s="1"/>
  <c r="AJ125" i="12"/>
  <c r="AI125" i="12"/>
  <c r="K248" i="9"/>
  <c r="L250" i="9"/>
  <c r="J435" i="12"/>
  <c r="J436" i="12"/>
  <c r="J9" i="8"/>
  <c r="I8" i="8"/>
  <c r="D8" i="8" s="1"/>
  <c r="G8" i="8"/>
  <c r="J363" i="9"/>
  <c r="I361" i="9"/>
  <c r="G361" i="9"/>
  <c r="B570" i="9"/>
  <c r="B571" i="9"/>
  <c r="AH511" i="12"/>
  <c r="AI23" i="12"/>
  <c r="G162" i="9"/>
  <c r="J164" i="9"/>
  <c r="I162" i="9"/>
  <c r="I514" i="9"/>
  <c r="J516" i="9"/>
  <c r="G514" i="9"/>
  <c r="I200" i="9"/>
  <c r="J202" i="9"/>
  <c r="G200" i="9"/>
  <c r="A352" i="12"/>
  <c r="A353" i="12" s="1"/>
  <c r="A351" i="12"/>
  <c r="I165" i="12"/>
  <c r="D159" i="9"/>
  <c r="I245" i="12"/>
  <c r="D239" i="9"/>
  <c r="B168" i="9"/>
  <c r="B169" i="9"/>
  <c r="D320" i="9"/>
  <c r="I326" i="12"/>
  <c r="AK322" i="12"/>
  <c r="A57" i="12"/>
  <c r="A58" i="12"/>
  <c r="K167" i="9"/>
  <c r="L169" i="9"/>
  <c r="B295" i="9"/>
  <c r="B294" i="9"/>
  <c r="AI398" i="12"/>
  <c r="AF398" i="12" s="1"/>
  <c r="I124" i="9"/>
  <c r="J126" i="9"/>
  <c r="G124" i="9"/>
  <c r="AJ162" i="12"/>
  <c r="H517" i="9"/>
  <c r="G515" i="9"/>
  <c r="J323" i="12"/>
  <c r="AJ324" i="12" s="1"/>
  <c r="H250" i="9"/>
  <c r="J547" i="12"/>
  <c r="A148" i="12"/>
  <c r="A149" i="12"/>
  <c r="J509" i="12"/>
  <c r="C479" i="12"/>
  <c r="E478" i="12"/>
  <c r="J202" i="12"/>
  <c r="AK203" i="12" s="1"/>
  <c r="AH243" i="12"/>
  <c r="AH510" i="12"/>
  <c r="A257" i="12"/>
  <c r="A256" i="12"/>
  <c r="A448" i="12"/>
  <c r="A447" i="12"/>
  <c r="L47" i="10"/>
  <c r="J48" i="10"/>
  <c r="K232" i="10"/>
  <c r="E232" i="10"/>
  <c r="G47" i="10"/>
  <c r="I47" i="10"/>
  <c r="I161" i="9"/>
  <c r="J163" i="9"/>
  <c r="G161" i="9"/>
  <c r="A188" i="12"/>
  <c r="A187" i="12"/>
  <c r="J88" i="12"/>
  <c r="AG4" i="12"/>
  <c r="J243" i="12"/>
  <c r="D278" i="9"/>
  <c r="I284" i="12"/>
  <c r="K247" i="9"/>
  <c r="L249" i="9"/>
  <c r="D552" i="9"/>
  <c r="I549" i="12"/>
  <c r="I126" i="12"/>
  <c r="D122" i="9"/>
  <c r="AK162" i="12"/>
  <c r="AH323" i="12"/>
  <c r="AH547" i="12"/>
  <c r="A484" i="12"/>
  <c r="A485" i="12"/>
  <c r="L367" i="9"/>
  <c r="K365" i="9"/>
  <c r="AH203" i="12"/>
  <c r="B248" i="9"/>
  <c r="B247" i="9"/>
  <c r="J131" i="8"/>
  <c r="I130" i="8"/>
  <c r="G130" i="8"/>
  <c r="C441" i="12"/>
  <c r="H440" i="12"/>
  <c r="E440" i="12"/>
  <c r="G440" i="12"/>
  <c r="AJ280" i="12"/>
  <c r="X545" i="12"/>
  <c r="Z545" i="12"/>
  <c r="T545" i="12"/>
  <c r="AJ546" i="12" s="1"/>
  <c r="V545" i="12"/>
  <c r="AD545" i="12"/>
  <c r="AB545" i="12"/>
  <c r="B404" i="9"/>
  <c r="B405" i="9"/>
  <c r="AH364" i="12"/>
  <c r="L327" i="9"/>
  <c r="K325" i="9"/>
  <c r="K437" i="9"/>
  <c r="L439" i="9"/>
  <c r="F14" i="10"/>
  <c r="E13" i="10"/>
  <c r="I280" i="9"/>
  <c r="G280" i="9"/>
  <c r="J282" i="9"/>
  <c r="H133" i="8"/>
  <c r="AK46" i="12"/>
  <c r="B371" i="9"/>
  <c r="B370" i="9"/>
  <c r="I554" i="9"/>
  <c r="G554" i="9"/>
  <c r="J556" i="9"/>
  <c r="I437" i="12"/>
  <c r="D431" i="9"/>
  <c r="J515" i="9"/>
  <c r="I513" i="9"/>
  <c r="D513" i="9" s="1"/>
  <c r="I283" i="12"/>
  <c r="D277" i="9"/>
  <c r="AL4" i="12"/>
  <c r="J26" i="12"/>
  <c r="J53" i="12"/>
  <c r="J203" i="12"/>
  <c r="AH400" i="12"/>
  <c r="A304" i="12"/>
  <c r="A303" i="12"/>
  <c r="J12" i="9"/>
  <c r="I11" i="9"/>
  <c r="J364" i="12"/>
  <c r="L131" i="9"/>
  <c r="K129" i="9"/>
  <c r="J164" i="12"/>
  <c r="H92" i="8"/>
  <c r="AH324" i="12"/>
  <c r="A416" i="12"/>
  <c r="A415" i="12"/>
  <c r="AK45" i="12"/>
  <c r="AI45" i="12"/>
  <c r="AF45" i="12" s="1"/>
  <c r="AI46" i="12" s="1"/>
  <c r="AJ45" i="12"/>
  <c r="L448" i="9"/>
  <c r="K446" i="9"/>
  <c r="K132" i="8"/>
  <c r="L133" i="8"/>
  <c r="I89" i="8"/>
  <c r="D89" i="8" s="1"/>
  <c r="J90" i="8"/>
  <c r="G89" i="8"/>
  <c r="J363" i="12"/>
  <c r="G397" i="9"/>
  <c r="I397" i="9"/>
  <c r="J399" i="9"/>
  <c r="J400" i="12"/>
  <c r="G59" i="9"/>
  <c r="E59" i="9"/>
  <c r="H59" i="9"/>
  <c r="J59" i="9"/>
  <c r="I59" i="9"/>
  <c r="C59" i="9"/>
  <c r="AJ508" i="12"/>
  <c r="AH242" i="12"/>
  <c r="I205" i="12"/>
  <c r="D199" i="9"/>
  <c r="L210" i="9"/>
  <c r="K208" i="9"/>
  <c r="J435" i="9"/>
  <c r="I433" i="9"/>
  <c r="G433" i="9"/>
  <c r="AH363" i="12"/>
  <c r="J281" i="9"/>
  <c r="I279" i="9"/>
  <c r="G279" i="9"/>
  <c r="D395" i="9"/>
  <c r="I401" i="12"/>
  <c r="L404" i="9"/>
  <c r="K402" i="9"/>
  <c r="L376" i="9"/>
  <c r="K374" i="9"/>
  <c r="AI508" i="12"/>
  <c r="D160" i="9"/>
  <c r="I166" i="12"/>
  <c r="G39" i="9"/>
  <c r="H40" i="9"/>
  <c r="J324" i="12"/>
  <c r="AH399" i="12"/>
  <c r="D38" i="9"/>
  <c r="L562" i="9"/>
  <c r="K560" i="9"/>
  <c r="AH163" i="12"/>
  <c r="J399" i="12"/>
  <c r="B208" i="9"/>
  <c r="B207" i="9"/>
  <c r="L13" i="8"/>
  <c r="K12" i="8"/>
  <c r="J242" i="12"/>
  <c r="AK243" i="12" s="1"/>
  <c r="H369" i="9"/>
  <c r="B333" i="9"/>
  <c r="B332" i="9"/>
  <c r="A103" i="12"/>
  <c r="A102" i="12"/>
  <c r="AH53" i="12"/>
  <c r="AH281" i="12"/>
  <c r="H335" i="9"/>
  <c r="AK85" i="12"/>
  <c r="AL85" i="12" s="1"/>
  <c r="AI84" i="12"/>
  <c r="AH164" i="12"/>
  <c r="I512" i="12"/>
  <c r="D512" i="9"/>
  <c r="L34" i="10"/>
  <c r="J35" i="10"/>
  <c r="G34" i="10"/>
  <c r="E219" i="10"/>
  <c r="I34" i="10"/>
  <c r="K219" i="10"/>
  <c r="J400" i="9"/>
  <c r="G398" i="9"/>
  <c r="I398" i="9"/>
  <c r="H208" i="9"/>
  <c r="H293" i="9"/>
  <c r="L285" i="9"/>
  <c r="K283" i="9"/>
  <c r="H413" i="9"/>
  <c r="A524" i="12"/>
  <c r="A523" i="12"/>
  <c r="J163" i="12"/>
  <c r="AJ242" i="12"/>
  <c r="AK242" i="12"/>
  <c r="AI242" i="12"/>
  <c r="AF242" i="12" s="1"/>
  <c r="AH282" i="12"/>
  <c r="I548" i="12"/>
  <c r="D551" i="9"/>
  <c r="H12" i="8"/>
  <c r="L176" i="9"/>
  <c r="K174" i="9"/>
  <c r="J203" i="9"/>
  <c r="I201" i="9"/>
  <c r="G201" i="9"/>
  <c r="L142" i="9"/>
  <c r="K140" i="9"/>
  <c r="T201" i="12"/>
  <c r="AI202" i="12" s="1"/>
  <c r="AF202" i="12" s="1"/>
  <c r="AJ202" i="12"/>
  <c r="AK202" i="12"/>
  <c r="K13" i="9"/>
  <c r="L14" i="9"/>
  <c r="H443" i="9"/>
  <c r="AH92" i="12"/>
  <c r="A386" i="12"/>
  <c r="A385" i="12"/>
  <c r="F56" i="9"/>
  <c r="D56" i="9"/>
  <c r="J281" i="12"/>
  <c r="L332" i="9"/>
  <c r="K330" i="9"/>
  <c r="J513" i="12" l="1"/>
  <c r="J550" i="12"/>
  <c r="AF46" i="12"/>
  <c r="T46" i="12" s="1"/>
  <c r="T47" i="12"/>
  <c r="AD47" i="12"/>
  <c r="AB47" i="12"/>
  <c r="Z47" i="12"/>
  <c r="X47" i="12"/>
  <c r="V47" i="12"/>
  <c r="L144" i="9"/>
  <c r="K142" i="9"/>
  <c r="A526" i="12"/>
  <c r="A525" i="12"/>
  <c r="I404" i="12"/>
  <c r="AH404" i="12" s="1"/>
  <c r="D398" i="9"/>
  <c r="I285" i="12"/>
  <c r="D279" i="9"/>
  <c r="I551" i="12"/>
  <c r="D554" i="9"/>
  <c r="H134" i="8"/>
  <c r="K327" i="9"/>
  <c r="L329" i="9"/>
  <c r="I131" i="8"/>
  <c r="D131" i="8" s="1"/>
  <c r="J132" i="8"/>
  <c r="G131" i="8"/>
  <c r="J126" i="12"/>
  <c r="I163" i="9"/>
  <c r="J165" i="9"/>
  <c r="G163" i="9"/>
  <c r="D124" i="9"/>
  <c r="I128" i="12"/>
  <c r="D162" i="9"/>
  <c r="I168" i="12"/>
  <c r="J365" i="9"/>
  <c r="I363" i="9"/>
  <c r="G363" i="9"/>
  <c r="L252" i="9"/>
  <c r="K250" i="9"/>
  <c r="T435" i="12"/>
  <c r="AI436" i="12" s="1"/>
  <c r="AF436" i="12" s="1"/>
  <c r="Z435" i="12"/>
  <c r="AB435" i="12"/>
  <c r="X435" i="12"/>
  <c r="V435" i="12"/>
  <c r="AD435" i="12"/>
  <c r="J557" i="9"/>
  <c r="I555" i="9"/>
  <c r="B446" i="9"/>
  <c r="B447" i="9"/>
  <c r="AH94" i="12"/>
  <c r="L522" i="9"/>
  <c r="K520" i="9"/>
  <c r="G12" i="9"/>
  <c r="H13" i="9"/>
  <c r="B138" i="9"/>
  <c r="B137" i="9"/>
  <c r="K13" i="10"/>
  <c r="D13" i="10" s="1"/>
  <c r="C13" i="10" s="1"/>
  <c r="M13" i="10"/>
  <c r="M198" i="10"/>
  <c r="H136" i="9"/>
  <c r="H371" i="9"/>
  <c r="J166" i="12"/>
  <c r="J91" i="8"/>
  <c r="I90" i="8"/>
  <c r="D90" i="8" s="1"/>
  <c r="G90" i="8"/>
  <c r="H445" i="9"/>
  <c r="I207" i="12"/>
  <c r="D201" i="9"/>
  <c r="J402" i="9"/>
  <c r="G400" i="9"/>
  <c r="I400" i="9"/>
  <c r="H337" i="9"/>
  <c r="AF508" i="12"/>
  <c r="AD509" i="12"/>
  <c r="L212" i="9"/>
  <c r="K210" i="9"/>
  <c r="A418" i="12"/>
  <c r="A417" i="12"/>
  <c r="A306" i="12"/>
  <c r="A305" i="12"/>
  <c r="AH126" i="12"/>
  <c r="A259" i="12"/>
  <c r="A258" i="12"/>
  <c r="I126" i="9"/>
  <c r="J128" i="9"/>
  <c r="G126" i="9"/>
  <c r="T24" i="12"/>
  <c r="AI24" i="12" s="1"/>
  <c r="AD24" i="12"/>
  <c r="AF24" i="12"/>
  <c r="AB24" i="12"/>
  <c r="V24" i="12"/>
  <c r="Z24" i="12"/>
  <c r="X24" i="12"/>
  <c r="AH513" i="12"/>
  <c r="I246" i="12"/>
  <c r="D240" i="9"/>
  <c r="AI203" i="12"/>
  <c r="H175" i="9"/>
  <c r="J365" i="12"/>
  <c r="I129" i="12"/>
  <c r="D125" i="9"/>
  <c r="J244" i="12"/>
  <c r="A225" i="12"/>
  <c r="A224" i="12"/>
  <c r="I96" i="12"/>
  <c r="I57" i="12"/>
  <c r="I95" i="12"/>
  <c r="I58" i="12"/>
  <c r="AT4" i="12"/>
  <c r="AH28" i="12" s="1"/>
  <c r="I28" i="12"/>
  <c r="D11" i="9"/>
  <c r="J325" i="12"/>
  <c r="O14" i="10"/>
  <c r="N14" i="10"/>
  <c r="F198" i="10"/>
  <c r="D198" i="10" s="1"/>
  <c r="C198" i="10" s="1"/>
  <c r="L198" i="10"/>
  <c r="J198" i="10" s="1"/>
  <c r="I198" i="10" s="1"/>
  <c r="AI163" i="12"/>
  <c r="AJ163" i="12"/>
  <c r="AK163" i="12"/>
  <c r="K133" i="8"/>
  <c r="L134" i="8"/>
  <c r="L133" i="9"/>
  <c r="K131" i="9"/>
  <c r="AH326" i="12"/>
  <c r="I206" i="12"/>
  <c r="D200" i="9"/>
  <c r="AF126" i="12"/>
  <c r="AF125" i="12"/>
  <c r="I327" i="12"/>
  <c r="D321" i="9"/>
  <c r="AH366" i="12"/>
  <c r="J402" i="12"/>
  <c r="AH365" i="12"/>
  <c r="J129" i="9"/>
  <c r="G127" i="9"/>
  <c r="I127" i="9"/>
  <c r="AH244" i="12"/>
  <c r="F57" i="9"/>
  <c r="D57" i="9"/>
  <c r="AH325" i="12"/>
  <c r="I282" i="9"/>
  <c r="J284" i="9"/>
  <c r="G282" i="9"/>
  <c r="B250" i="9"/>
  <c r="B249" i="9"/>
  <c r="AH549" i="12"/>
  <c r="L15" i="9"/>
  <c r="K14" i="9"/>
  <c r="J205" i="9"/>
  <c r="G203" i="9"/>
  <c r="I203" i="9"/>
  <c r="A104" i="12"/>
  <c r="A105" i="12"/>
  <c r="AH205" i="12"/>
  <c r="J401" i="9"/>
  <c r="I399" i="9"/>
  <c r="G399" i="9"/>
  <c r="J283" i="12"/>
  <c r="D280" i="9"/>
  <c r="I286" i="12"/>
  <c r="J549" i="12"/>
  <c r="H252" i="9"/>
  <c r="AD398" i="12"/>
  <c r="T398" i="12"/>
  <c r="X398" i="12"/>
  <c r="V398" i="12"/>
  <c r="AB398" i="12"/>
  <c r="Z398" i="12"/>
  <c r="J326" i="12"/>
  <c r="J204" i="9"/>
  <c r="I202" i="9"/>
  <c r="G202" i="9"/>
  <c r="J10" i="8"/>
  <c r="I9" i="8"/>
  <c r="G9" i="8"/>
  <c r="J244" i="9"/>
  <c r="I242" i="9"/>
  <c r="G242" i="9"/>
  <c r="J366" i="12"/>
  <c r="AJ203" i="12"/>
  <c r="AJ436" i="12"/>
  <c r="J40" i="9"/>
  <c r="I39" i="9"/>
  <c r="AH550" i="12"/>
  <c r="V323" i="12"/>
  <c r="AK324" i="12" s="1"/>
  <c r="T323" i="12"/>
  <c r="AI324" i="12" s="1"/>
  <c r="AF324" i="12" s="1"/>
  <c r="AJ325" i="12" s="1"/>
  <c r="X323" i="12"/>
  <c r="AD323" i="12"/>
  <c r="AB323" i="12"/>
  <c r="Z323" i="12"/>
  <c r="AH283" i="12"/>
  <c r="B372" i="9"/>
  <c r="B373" i="9"/>
  <c r="C480" i="12"/>
  <c r="E479" i="12"/>
  <c r="B171" i="9"/>
  <c r="B170" i="9"/>
  <c r="I323" i="9"/>
  <c r="J325" i="9"/>
  <c r="G323" i="9"/>
  <c r="B523" i="9"/>
  <c r="B522" i="9"/>
  <c r="J27" i="12"/>
  <c r="J55" i="12"/>
  <c r="AO4" i="12"/>
  <c r="G436" i="9"/>
  <c r="I436" i="9"/>
  <c r="J438" i="9"/>
  <c r="A388" i="12"/>
  <c r="A387" i="12"/>
  <c r="K285" i="9"/>
  <c r="L287" i="9"/>
  <c r="L178" i="9"/>
  <c r="K176" i="9"/>
  <c r="H295" i="9"/>
  <c r="B407" i="9"/>
  <c r="B406" i="9"/>
  <c r="L251" i="9"/>
  <c r="K249" i="9"/>
  <c r="I514" i="12"/>
  <c r="D514" i="9"/>
  <c r="L561" i="9"/>
  <c r="K559" i="9"/>
  <c r="I247" i="12"/>
  <c r="D241" i="9"/>
  <c r="G555" i="9"/>
  <c r="I440" i="12"/>
  <c r="AH440" i="12" s="1"/>
  <c r="D434" i="9"/>
  <c r="J366" i="9"/>
  <c r="I364" i="9"/>
  <c r="G364" i="9"/>
  <c r="T280" i="12"/>
  <c r="V280" i="12"/>
  <c r="AB280" i="12"/>
  <c r="X280" i="12"/>
  <c r="Z280" i="12"/>
  <c r="K376" i="9"/>
  <c r="L378" i="9"/>
  <c r="D397" i="9"/>
  <c r="I403" i="12"/>
  <c r="AH403" i="12" s="1"/>
  <c r="H13" i="8"/>
  <c r="L35" i="10"/>
  <c r="J36" i="10"/>
  <c r="G35" i="10"/>
  <c r="K220" i="10"/>
  <c r="I35" i="10"/>
  <c r="E220" i="10"/>
  <c r="T85" i="12"/>
  <c r="AI85" i="12" s="1"/>
  <c r="T86" i="12"/>
  <c r="AF85" i="12"/>
  <c r="AJ85" i="12"/>
  <c r="AB86" i="12"/>
  <c r="V85" i="12"/>
  <c r="V86" i="12"/>
  <c r="AD85" i="12"/>
  <c r="AB85" i="12"/>
  <c r="Z86" i="12"/>
  <c r="Z85" i="12"/>
  <c r="X85" i="12"/>
  <c r="AD86" i="12"/>
  <c r="X86" i="12"/>
  <c r="K562" i="9"/>
  <c r="L564" i="9"/>
  <c r="L406" i="9"/>
  <c r="K404" i="9"/>
  <c r="AI243" i="12"/>
  <c r="AI546" i="12"/>
  <c r="AF546" i="12" s="1"/>
  <c r="H93" i="8"/>
  <c r="J517" i="9"/>
  <c r="I515" i="9"/>
  <c r="F15" i="10"/>
  <c r="E14" i="10"/>
  <c r="J49" i="10"/>
  <c r="E233" i="10"/>
  <c r="L48" i="10"/>
  <c r="G48" i="10"/>
  <c r="I48" i="10"/>
  <c r="K233" i="10"/>
  <c r="B297" i="9"/>
  <c r="B296" i="9"/>
  <c r="J245" i="12"/>
  <c r="J518" i="9"/>
  <c r="I516" i="9"/>
  <c r="G516" i="9"/>
  <c r="B573" i="9"/>
  <c r="B572" i="9"/>
  <c r="C405" i="12"/>
  <c r="G404" i="12"/>
  <c r="E404" i="12"/>
  <c r="H404" i="12"/>
  <c r="AH93" i="12"/>
  <c r="H559" i="9"/>
  <c r="G557" i="9"/>
  <c r="I554" i="12" s="1"/>
  <c r="K523" i="9"/>
  <c r="L525" i="9"/>
  <c r="D362" i="9"/>
  <c r="I368" i="12"/>
  <c r="H415" i="9"/>
  <c r="J283" i="9"/>
  <c r="I281" i="9"/>
  <c r="G281" i="9"/>
  <c r="J205" i="12"/>
  <c r="L14" i="8"/>
  <c r="K13" i="8"/>
  <c r="L450" i="9"/>
  <c r="K448" i="9"/>
  <c r="H210" i="9"/>
  <c r="B210" i="9"/>
  <c r="B209" i="9"/>
  <c r="G40" i="9"/>
  <c r="H41" i="9"/>
  <c r="J437" i="12"/>
  <c r="I515" i="12"/>
  <c r="D515" i="9"/>
  <c r="K169" i="9"/>
  <c r="L171" i="9"/>
  <c r="AH245" i="12"/>
  <c r="L296" i="9"/>
  <c r="K294" i="9"/>
  <c r="I328" i="12"/>
  <c r="D322" i="9"/>
  <c r="I243" i="9"/>
  <c r="J245" i="9"/>
  <c r="G243" i="9"/>
  <c r="AH56" i="12"/>
  <c r="AH438" i="12"/>
  <c r="K93" i="8"/>
  <c r="L94" i="8"/>
  <c r="L334" i="9"/>
  <c r="K332" i="9"/>
  <c r="J548" i="12"/>
  <c r="J512" i="12"/>
  <c r="B335" i="9"/>
  <c r="B334" i="9"/>
  <c r="J90" i="12"/>
  <c r="AJ4" i="12"/>
  <c r="D39" i="9"/>
  <c r="AH401" i="12"/>
  <c r="K367" i="9"/>
  <c r="L369" i="9"/>
  <c r="A151" i="12"/>
  <c r="A150" i="12"/>
  <c r="H519" i="9"/>
  <c r="G517" i="9"/>
  <c r="J165" i="12"/>
  <c r="I367" i="12"/>
  <c r="D361" i="9"/>
  <c r="AH204" i="12"/>
  <c r="AH55" i="12"/>
  <c r="J438" i="12"/>
  <c r="J127" i="12"/>
  <c r="AK546" i="12"/>
  <c r="AJ363" i="12"/>
  <c r="AI363" i="12"/>
  <c r="AF363" i="12" s="1"/>
  <c r="AK363" i="12"/>
  <c r="AJ243" i="12"/>
  <c r="I439" i="12"/>
  <c r="D433" i="9"/>
  <c r="L441" i="9"/>
  <c r="K439" i="9"/>
  <c r="C442" i="12"/>
  <c r="G441" i="12"/>
  <c r="H441" i="12"/>
  <c r="E441" i="12"/>
  <c r="AH284" i="12"/>
  <c r="A190" i="12"/>
  <c r="A189" i="12"/>
  <c r="J60" i="9"/>
  <c r="E60" i="9"/>
  <c r="I60" i="9"/>
  <c r="H60" i="9"/>
  <c r="C60" i="9"/>
  <c r="G60" i="9"/>
  <c r="AH437" i="12"/>
  <c r="AJ46" i="12"/>
  <c r="J284" i="12"/>
  <c r="AH548" i="12"/>
  <c r="AH512" i="12"/>
  <c r="AH166" i="12"/>
  <c r="J401" i="12"/>
  <c r="I435" i="9"/>
  <c r="J437" i="9"/>
  <c r="G435" i="9"/>
  <c r="J13" i="9"/>
  <c r="I12" i="9"/>
  <c r="J558" i="9"/>
  <c r="I556" i="9"/>
  <c r="G556" i="9"/>
  <c r="D130" i="8"/>
  <c r="A486" i="12"/>
  <c r="A487" i="12"/>
  <c r="I167" i="12"/>
  <c r="D161" i="9"/>
  <c r="A450" i="12"/>
  <c r="A449" i="12"/>
  <c r="A59" i="12"/>
  <c r="A60" i="12"/>
  <c r="AH165" i="12"/>
  <c r="J166" i="9"/>
  <c r="G164" i="9"/>
  <c r="I164" i="9"/>
  <c r="J326" i="9"/>
  <c r="I324" i="9"/>
  <c r="G324" i="9"/>
  <c r="J204" i="12"/>
  <c r="J27" i="10"/>
  <c r="I26" i="10"/>
  <c r="E211" i="10"/>
  <c r="K211" i="10"/>
  <c r="L26" i="10"/>
  <c r="G26" i="10"/>
  <c r="K209" i="9"/>
  <c r="L211" i="9"/>
  <c r="AH127" i="12"/>
  <c r="L443" i="9" l="1"/>
  <c r="K441" i="9"/>
  <c r="J286" i="12"/>
  <c r="AH206" i="12"/>
  <c r="J129" i="12"/>
  <c r="V25" i="12"/>
  <c r="AB25" i="12"/>
  <c r="Z25" i="12"/>
  <c r="X25" i="12"/>
  <c r="T25" i="12"/>
  <c r="AI25" i="12" s="1"/>
  <c r="AD25" i="12"/>
  <c r="AF25" i="12"/>
  <c r="T509" i="12"/>
  <c r="AB508" i="12"/>
  <c r="Z508" i="12"/>
  <c r="X508" i="12"/>
  <c r="V508" i="12"/>
  <c r="AK509" i="12"/>
  <c r="AJ509" i="12"/>
  <c r="AI509" i="12"/>
  <c r="AF509" i="12" s="1"/>
  <c r="AH168" i="12"/>
  <c r="J133" i="8"/>
  <c r="I132" i="8"/>
  <c r="D132" i="8" s="1"/>
  <c r="G132" i="8"/>
  <c r="J404" i="12"/>
  <c r="I283" i="9"/>
  <c r="J285" i="9"/>
  <c r="G283" i="9"/>
  <c r="AH439" i="12"/>
  <c r="H417" i="9"/>
  <c r="I516" i="12"/>
  <c r="D516" i="9"/>
  <c r="J519" i="9"/>
  <c r="I517" i="9"/>
  <c r="D517" i="9" s="1"/>
  <c r="AK281" i="12"/>
  <c r="AJ281" i="12"/>
  <c r="AI281" i="12"/>
  <c r="AF281" i="12" s="1"/>
  <c r="AH247" i="12"/>
  <c r="H297" i="9"/>
  <c r="I438" i="9"/>
  <c r="G438" i="9"/>
  <c r="J440" i="9"/>
  <c r="J168" i="12"/>
  <c r="F16" i="10"/>
  <c r="E15" i="10"/>
  <c r="I326" i="9"/>
  <c r="J328" i="9"/>
  <c r="G326" i="9"/>
  <c r="I553" i="12"/>
  <c r="D556" i="9"/>
  <c r="AH328" i="12"/>
  <c r="I517" i="12"/>
  <c r="AH515" i="12"/>
  <c r="I329" i="12"/>
  <c r="D323" i="9"/>
  <c r="AF163" i="12"/>
  <c r="AD162" i="12"/>
  <c r="AB162" i="12"/>
  <c r="Z162" i="12"/>
  <c r="X162" i="12"/>
  <c r="V162" i="12"/>
  <c r="AH129" i="12"/>
  <c r="D126" i="9"/>
  <c r="I130" i="12"/>
  <c r="H339" i="9"/>
  <c r="I558" i="9"/>
  <c r="J560" i="9"/>
  <c r="G558" i="9"/>
  <c r="H521" i="9"/>
  <c r="G519" i="9"/>
  <c r="J92" i="12"/>
  <c r="AM4" i="12"/>
  <c r="L298" i="9"/>
  <c r="K296" i="9"/>
  <c r="K450" i="9"/>
  <c r="L452" i="9"/>
  <c r="AM86" i="12"/>
  <c r="AN86" i="12" s="1"/>
  <c r="AK86" i="12"/>
  <c r="AL86" i="12" s="1"/>
  <c r="H14" i="8"/>
  <c r="I370" i="12"/>
  <c r="D364" i="9"/>
  <c r="J327" i="9"/>
  <c r="I325" i="9"/>
  <c r="G325" i="9"/>
  <c r="I204" i="9"/>
  <c r="J206" i="9"/>
  <c r="G204" i="9"/>
  <c r="H254" i="9"/>
  <c r="A106" i="12"/>
  <c r="A107" i="12"/>
  <c r="I131" i="12"/>
  <c r="D127" i="9"/>
  <c r="AH58" i="12"/>
  <c r="J130" i="9"/>
  <c r="I128" i="9"/>
  <c r="G128" i="9"/>
  <c r="A308" i="12"/>
  <c r="A307" i="12"/>
  <c r="J92" i="8"/>
  <c r="I91" i="8"/>
  <c r="D91" i="8" s="1"/>
  <c r="G91" i="8"/>
  <c r="AH128" i="12"/>
  <c r="K329" i="9"/>
  <c r="L331" i="9"/>
  <c r="AJ47" i="12"/>
  <c r="AI47" i="12"/>
  <c r="AF47" i="12" s="1"/>
  <c r="AJ48" i="12" s="1"/>
  <c r="AK47" i="12"/>
  <c r="K564" i="9"/>
  <c r="L566" i="9"/>
  <c r="A61" i="12"/>
  <c r="A62" i="12"/>
  <c r="J439" i="12"/>
  <c r="B574" i="9"/>
  <c r="B575" i="9"/>
  <c r="A390" i="12"/>
  <c r="A389" i="12"/>
  <c r="A452" i="12"/>
  <c r="A451" i="12"/>
  <c r="H61" i="9"/>
  <c r="E61" i="9"/>
  <c r="C61" i="9"/>
  <c r="G61" i="9"/>
  <c r="J61" i="9"/>
  <c r="I61" i="9"/>
  <c r="AH368" i="12"/>
  <c r="J520" i="9"/>
  <c r="I518" i="9"/>
  <c r="G518" i="9"/>
  <c r="H94" i="8"/>
  <c r="K561" i="9"/>
  <c r="L563" i="9"/>
  <c r="I442" i="12"/>
  <c r="AH442" i="12" s="1"/>
  <c r="D436" i="9"/>
  <c r="J131" i="9"/>
  <c r="G129" i="9"/>
  <c r="I129" i="9"/>
  <c r="AH95" i="12"/>
  <c r="J128" i="12"/>
  <c r="A527" i="12"/>
  <c r="A528" i="12"/>
  <c r="V324" i="12"/>
  <c r="AK325" i="12" s="1"/>
  <c r="T324" i="12"/>
  <c r="AI325" i="12" s="1"/>
  <c r="AF325" i="12" s="1"/>
  <c r="X324" i="12"/>
  <c r="AD324" i="12"/>
  <c r="AB324" i="12"/>
  <c r="Z324" i="12"/>
  <c r="L27" i="10"/>
  <c r="L28" i="10"/>
  <c r="K212" i="10"/>
  <c r="E212" i="10"/>
  <c r="G27" i="10"/>
  <c r="I27" i="10"/>
  <c r="I170" i="12"/>
  <c r="D164" i="9"/>
  <c r="J167" i="12"/>
  <c r="I13" i="9"/>
  <c r="J14" i="9"/>
  <c r="A153" i="12"/>
  <c r="A154" i="12" s="1"/>
  <c r="A152" i="12"/>
  <c r="L336" i="9"/>
  <c r="K334" i="9"/>
  <c r="H42" i="9"/>
  <c r="J368" i="12"/>
  <c r="AD546" i="12"/>
  <c r="T546" i="12"/>
  <c r="V546" i="12"/>
  <c r="Z546" i="12"/>
  <c r="AB546" i="12"/>
  <c r="X546" i="12"/>
  <c r="AJ86" i="12"/>
  <c r="AF86" i="12"/>
  <c r="AI86" i="12" s="1"/>
  <c r="J403" i="12"/>
  <c r="J368" i="9"/>
  <c r="I366" i="9"/>
  <c r="G366" i="9"/>
  <c r="J514" i="12"/>
  <c r="L180" i="9"/>
  <c r="K178" i="9"/>
  <c r="I248" i="12"/>
  <c r="D242" i="9"/>
  <c r="D399" i="9"/>
  <c r="I405" i="12"/>
  <c r="AH405" i="12" s="1"/>
  <c r="J327" i="12"/>
  <c r="AH57" i="12"/>
  <c r="I406" i="12"/>
  <c r="AH406" i="12" s="1"/>
  <c r="D400" i="9"/>
  <c r="T436" i="12"/>
  <c r="AB436" i="12"/>
  <c r="Z436" i="12"/>
  <c r="V436" i="12"/>
  <c r="AD436" i="12"/>
  <c r="X436" i="12"/>
  <c r="I169" i="12"/>
  <c r="D163" i="9"/>
  <c r="J247" i="12"/>
  <c r="B408" i="9"/>
  <c r="B409" i="9"/>
  <c r="I208" i="12"/>
  <c r="D202" i="9"/>
  <c r="I166" i="9"/>
  <c r="J168" i="9"/>
  <c r="G166" i="9"/>
  <c r="AH167" i="12"/>
  <c r="I441" i="12"/>
  <c r="AH441" i="12" s="1"/>
  <c r="D435" i="9"/>
  <c r="K369" i="9"/>
  <c r="L371" i="9"/>
  <c r="K14" i="8"/>
  <c r="L15" i="8"/>
  <c r="L527" i="9"/>
  <c r="K525" i="9"/>
  <c r="J50" i="10"/>
  <c r="L49" i="10"/>
  <c r="E234" i="10"/>
  <c r="I49" i="10"/>
  <c r="G49" i="10"/>
  <c r="K234" i="10"/>
  <c r="T244" i="12"/>
  <c r="AF243" i="12"/>
  <c r="T243" i="12" s="1"/>
  <c r="AD244" i="12"/>
  <c r="AB244" i="12"/>
  <c r="Z244" i="12"/>
  <c r="X244" i="12"/>
  <c r="V244" i="12"/>
  <c r="K378" i="9"/>
  <c r="L380" i="9"/>
  <c r="J440" i="12"/>
  <c r="AH514" i="12"/>
  <c r="B173" i="9"/>
  <c r="B172" i="9"/>
  <c r="B252" i="9"/>
  <c r="B251" i="9"/>
  <c r="AH327" i="12"/>
  <c r="M14" i="10"/>
  <c r="K14" i="10"/>
  <c r="D14" i="10" s="1"/>
  <c r="C14" i="10" s="1"/>
  <c r="M199" i="10"/>
  <c r="AH96" i="12"/>
  <c r="H177" i="9"/>
  <c r="A260" i="12"/>
  <c r="A261" i="12"/>
  <c r="A419" i="12"/>
  <c r="A420" i="12"/>
  <c r="J404" i="9"/>
  <c r="G402" i="9"/>
  <c r="I402" i="9"/>
  <c r="B140" i="9"/>
  <c r="B139" i="9"/>
  <c r="B448" i="9"/>
  <c r="B449" i="9"/>
  <c r="J167" i="9"/>
  <c r="I165" i="9"/>
  <c r="G165" i="9"/>
  <c r="H135" i="8"/>
  <c r="K144" i="9"/>
  <c r="L146" i="9"/>
  <c r="J515" i="12"/>
  <c r="T363" i="12"/>
  <c r="AD363" i="12"/>
  <c r="V363" i="12"/>
  <c r="AB363" i="12"/>
  <c r="Z363" i="12"/>
  <c r="X363" i="12"/>
  <c r="J367" i="12"/>
  <c r="L95" i="8"/>
  <c r="K94" i="8"/>
  <c r="I249" i="12"/>
  <c r="D243" i="9"/>
  <c r="K287" i="9"/>
  <c r="L289" i="9"/>
  <c r="J246" i="9"/>
  <c r="I244" i="9"/>
  <c r="G244" i="9"/>
  <c r="I401" i="9"/>
  <c r="J403" i="9"/>
  <c r="G401" i="9"/>
  <c r="I209" i="12"/>
  <c r="D203" i="9"/>
  <c r="Z125" i="12"/>
  <c r="T125" i="12"/>
  <c r="X125" i="12"/>
  <c r="V125" i="12"/>
  <c r="AD125" i="12"/>
  <c r="AB125" i="12"/>
  <c r="K133" i="9"/>
  <c r="L135" i="9"/>
  <c r="O15" i="10"/>
  <c r="N15" i="10"/>
  <c r="L199" i="10"/>
  <c r="J199" i="10" s="1"/>
  <c r="I199" i="10" s="1"/>
  <c r="F199" i="10"/>
  <c r="D199" i="10" s="1"/>
  <c r="C199" i="10" s="1"/>
  <c r="T204" i="12"/>
  <c r="AF203" i="12"/>
  <c r="AD204" i="12"/>
  <c r="AB204" i="12"/>
  <c r="Z204" i="12"/>
  <c r="X204" i="12"/>
  <c r="V204" i="12"/>
  <c r="J207" i="12"/>
  <c r="G13" i="9"/>
  <c r="H14" i="9"/>
  <c r="L254" i="9"/>
  <c r="K252" i="9"/>
  <c r="J551" i="12"/>
  <c r="AK436" i="12"/>
  <c r="J328" i="12"/>
  <c r="K211" i="9"/>
  <c r="L213" i="9"/>
  <c r="A488" i="12"/>
  <c r="A489" i="12"/>
  <c r="J439" i="9"/>
  <c r="I437" i="9"/>
  <c r="G437" i="9"/>
  <c r="AH554" i="12"/>
  <c r="B299" i="9"/>
  <c r="B298" i="9"/>
  <c r="L408" i="9"/>
  <c r="K406" i="9"/>
  <c r="I552" i="12"/>
  <c r="D555" i="9"/>
  <c r="L253" i="9"/>
  <c r="K251" i="9"/>
  <c r="C481" i="12"/>
  <c r="E480" i="12"/>
  <c r="D58" i="9"/>
  <c r="F58" i="9"/>
  <c r="I205" i="9"/>
  <c r="J207" i="9"/>
  <c r="G205" i="9"/>
  <c r="I288" i="12"/>
  <c r="D282" i="9"/>
  <c r="T126" i="12"/>
  <c r="V126" i="12"/>
  <c r="AD126" i="12"/>
  <c r="AB126" i="12"/>
  <c r="Z126" i="12"/>
  <c r="X126" i="12"/>
  <c r="L135" i="8"/>
  <c r="K134" i="8"/>
  <c r="A227" i="12"/>
  <c r="A226" i="12"/>
  <c r="J246" i="12"/>
  <c r="AH207" i="12"/>
  <c r="H373" i="9"/>
  <c r="I59" i="12"/>
  <c r="I98" i="12"/>
  <c r="I97" i="12"/>
  <c r="I60" i="12"/>
  <c r="AW4" i="12"/>
  <c r="AH29" i="12" s="1"/>
  <c r="I29" i="12"/>
  <c r="D12" i="9"/>
  <c r="I369" i="12"/>
  <c r="D363" i="9"/>
  <c r="AH551" i="12"/>
  <c r="C443" i="12"/>
  <c r="E442" i="12"/>
  <c r="H442" i="12"/>
  <c r="G442" i="12"/>
  <c r="AH367" i="12"/>
  <c r="B336" i="9"/>
  <c r="B337" i="9"/>
  <c r="I245" i="9"/>
  <c r="G245" i="9"/>
  <c r="J247" i="9"/>
  <c r="B211" i="9"/>
  <c r="B212" i="9"/>
  <c r="I330" i="12"/>
  <c r="D324" i="9"/>
  <c r="A192" i="12"/>
  <c r="A193" i="12" s="1"/>
  <c r="A191" i="12"/>
  <c r="L173" i="9"/>
  <c r="K171" i="9"/>
  <c r="H212" i="9"/>
  <c r="I287" i="12"/>
  <c r="D281" i="9"/>
  <c r="H561" i="9"/>
  <c r="G405" i="12"/>
  <c r="C406" i="12"/>
  <c r="H405" i="12"/>
  <c r="E405" i="12"/>
  <c r="I40" i="9"/>
  <c r="J41" i="9"/>
  <c r="D9" i="8"/>
  <c r="G284" i="9"/>
  <c r="I284" i="9"/>
  <c r="J286" i="9"/>
  <c r="AH246" i="12"/>
  <c r="L214" i="9"/>
  <c r="K212" i="9"/>
  <c r="J559" i="9"/>
  <c r="G559" i="9" s="1"/>
  <c r="I557" i="9"/>
  <c r="D557" i="9" s="1"/>
  <c r="J285" i="12"/>
  <c r="L36" i="10"/>
  <c r="J37" i="10"/>
  <c r="K221" i="10"/>
  <c r="E221" i="10"/>
  <c r="G36" i="10"/>
  <c r="I36" i="10"/>
  <c r="B525" i="9"/>
  <c r="B524" i="9"/>
  <c r="B374" i="9"/>
  <c r="B375" i="9"/>
  <c r="J11" i="8"/>
  <c r="I10" i="8"/>
  <c r="D10" i="8" s="1"/>
  <c r="G10" i="8"/>
  <c r="AJ399" i="12"/>
  <c r="AK399" i="12"/>
  <c r="AI399" i="12"/>
  <c r="AF399" i="12" s="1"/>
  <c r="AH286" i="12"/>
  <c r="L16" i="9"/>
  <c r="K15" i="9"/>
  <c r="J206" i="12"/>
  <c r="J57" i="12"/>
  <c r="AR4" i="12"/>
  <c r="J28" i="12"/>
  <c r="H447" i="9"/>
  <c r="H138" i="9"/>
  <c r="L524" i="9"/>
  <c r="K522" i="9"/>
  <c r="I365" i="9"/>
  <c r="J367" i="9"/>
  <c r="G365" i="9"/>
  <c r="AH285" i="12"/>
  <c r="I556" i="12" l="1"/>
  <c r="J517" i="12"/>
  <c r="T87" i="12"/>
  <c r="AI87" i="12" s="1"/>
  <c r="AJ87" i="12"/>
  <c r="T88" i="12"/>
  <c r="AF87" i="12"/>
  <c r="X87" i="12"/>
  <c r="V87" i="12"/>
  <c r="AB87" i="12"/>
  <c r="V88" i="12"/>
  <c r="Z87" i="12"/>
  <c r="Z88" i="12"/>
  <c r="AD88" i="12"/>
  <c r="X88" i="12"/>
  <c r="AD87" i="12"/>
  <c r="AB88" i="12"/>
  <c r="J369" i="9"/>
  <c r="I367" i="9"/>
  <c r="G367" i="9"/>
  <c r="L38" i="10"/>
  <c r="L37" i="10"/>
  <c r="G37" i="10"/>
  <c r="I37" i="10"/>
  <c r="E222" i="10"/>
  <c r="K222" i="10"/>
  <c r="F59" i="9"/>
  <c r="D59" i="9"/>
  <c r="AH330" i="12"/>
  <c r="H375" i="9"/>
  <c r="A229" i="12"/>
  <c r="A228" i="12"/>
  <c r="AH288" i="12"/>
  <c r="I100" i="12"/>
  <c r="I62" i="12"/>
  <c r="I99" i="12"/>
  <c r="I61" i="12"/>
  <c r="I30" i="12"/>
  <c r="AZ4" i="12"/>
  <c r="AH30" i="12" s="1"/>
  <c r="D13" i="9"/>
  <c r="J248" i="9"/>
  <c r="I246" i="9"/>
  <c r="G246" i="9"/>
  <c r="AI364" i="12"/>
  <c r="AF364" i="12" s="1"/>
  <c r="AK364" i="12"/>
  <c r="AJ364" i="12"/>
  <c r="J169" i="9"/>
  <c r="I167" i="9"/>
  <c r="G167" i="9"/>
  <c r="B175" i="9"/>
  <c r="B174" i="9"/>
  <c r="J442" i="12"/>
  <c r="J522" i="9"/>
  <c r="I520" i="9"/>
  <c r="G520" i="9"/>
  <c r="L300" i="9"/>
  <c r="K298" i="9"/>
  <c r="J553" i="12"/>
  <c r="B301" i="9"/>
  <c r="B300" i="9"/>
  <c r="A491" i="12"/>
  <c r="A490" i="12"/>
  <c r="H449" i="9"/>
  <c r="B213" i="9"/>
  <c r="B214" i="9"/>
  <c r="J369" i="12"/>
  <c r="I211" i="12"/>
  <c r="D205" i="9"/>
  <c r="L255" i="9"/>
  <c r="K253" i="9"/>
  <c r="AJ126" i="12"/>
  <c r="AI126" i="12"/>
  <c r="AK126" i="12"/>
  <c r="K289" i="9"/>
  <c r="L291" i="9"/>
  <c r="K95" i="8"/>
  <c r="L96" i="8"/>
  <c r="A262" i="12"/>
  <c r="A263" i="12"/>
  <c r="J51" i="10"/>
  <c r="L50" i="10"/>
  <c r="E235" i="10"/>
  <c r="K235" i="10"/>
  <c r="G50" i="10"/>
  <c r="I50" i="10"/>
  <c r="J208" i="12"/>
  <c r="L338" i="9"/>
  <c r="K336" i="9"/>
  <c r="A63" i="12"/>
  <c r="A64" i="12"/>
  <c r="J132" i="9"/>
  <c r="I130" i="9"/>
  <c r="G130" i="9"/>
  <c r="J370" i="12"/>
  <c r="AH553" i="12"/>
  <c r="I247" i="9"/>
  <c r="J249" i="9"/>
  <c r="G247" i="9"/>
  <c r="B338" i="9"/>
  <c r="B339" i="9"/>
  <c r="H214" i="9"/>
  <c r="I371" i="12"/>
  <c r="D365" i="9"/>
  <c r="B527" i="9"/>
  <c r="B526" i="9"/>
  <c r="J554" i="12"/>
  <c r="AH369" i="12"/>
  <c r="K135" i="8"/>
  <c r="L136" i="8"/>
  <c r="I207" i="9"/>
  <c r="J209" i="9"/>
  <c r="G207" i="9"/>
  <c r="J552" i="12"/>
  <c r="B451" i="9"/>
  <c r="B450" i="9"/>
  <c r="J441" i="12"/>
  <c r="AH208" i="12"/>
  <c r="I372" i="12"/>
  <c r="D366" i="9"/>
  <c r="J170" i="12"/>
  <c r="H256" i="9"/>
  <c r="AH370" i="12"/>
  <c r="H341" i="9"/>
  <c r="I332" i="12"/>
  <c r="D326" i="9"/>
  <c r="T281" i="12"/>
  <c r="V281" i="12"/>
  <c r="AB281" i="12"/>
  <c r="X281" i="12"/>
  <c r="Z281" i="12"/>
  <c r="J134" i="8"/>
  <c r="I133" i="8"/>
  <c r="D133" i="8" s="1"/>
  <c r="G133" i="8"/>
  <c r="K443" i="9"/>
  <c r="L445" i="9"/>
  <c r="I210" i="12"/>
  <c r="D204" i="9"/>
  <c r="AH130" i="12"/>
  <c r="G328" i="9"/>
  <c r="J330" i="9"/>
  <c r="I328" i="9"/>
  <c r="G440" i="9"/>
  <c r="I440" i="9"/>
  <c r="J442" i="9"/>
  <c r="I251" i="12"/>
  <c r="D245" i="9"/>
  <c r="I443" i="12"/>
  <c r="AH443" i="12" s="1"/>
  <c r="D437" i="9"/>
  <c r="O16" i="10"/>
  <c r="L200" i="10"/>
  <c r="J200" i="10" s="1"/>
  <c r="I200" i="10" s="1"/>
  <c r="N16" i="10"/>
  <c r="F200" i="10"/>
  <c r="D200" i="10" s="1"/>
  <c r="C200" i="10" s="1"/>
  <c r="AH209" i="12"/>
  <c r="K146" i="9"/>
  <c r="L148" i="9"/>
  <c r="K148" i="9" s="1"/>
  <c r="H179" i="9"/>
  <c r="AK244" i="12"/>
  <c r="AJ244" i="12"/>
  <c r="AI244" i="12"/>
  <c r="AF244" i="12" s="1"/>
  <c r="AJ245" i="12" s="1"/>
  <c r="J370" i="9"/>
  <c r="I368" i="9"/>
  <c r="G368" i="9"/>
  <c r="A454" i="12"/>
  <c r="A453" i="12"/>
  <c r="J208" i="9"/>
  <c r="I206" i="9"/>
  <c r="G206" i="9"/>
  <c r="H15" i="8"/>
  <c r="I519" i="12"/>
  <c r="D519" i="9"/>
  <c r="J130" i="12"/>
  <c r="AK164" i="12"/>
  <c r="AJ164" i="12"/>
  <c r="AI164" i="12"/>
  <c r="AH517" i="12"/>
  <c r="D438" i="9"/>
  <c r="I444" i="12"/>
  <c r="AH444" i="12" s="1"/>
  <c r="AK510" i="12"/>
  <c r="AI510" i="12"/>
  <c r="AJ510" i="12"/>
  <c r="T399" i="12"/>
  <c r="V399" i="12"/>
  <c r="AD399" i="12"/>
  <c r="AB399" i="12"/>
  <c r="Z399" i="12"/>
  <c r="X399" i="12"/>
  <c r="I559" i="9"/>
  <c r="D559" i="9" s="1"/>
  <c r="J561" i="9"/>
  <c r="K173" i="9"/>
  <c r="L175" i="9"/>
  <c r="J59" i="12"/>
  <c r="J29" i="12"/>
  <c r="AU4" i="12"/>
  <c r="AH552" i="12"/>
  <c r="M15" i="10"/>
  <c r="K15" i="10"/>
  <c r="D15" i="10" s="1"/>
  <c r="C15" i="10" s="1"/>
  <c r="M200" i="10"/>
  <c r="J209" i="12"/>
  <c r="B411" i="9"/>
  <c r="B410" i="9"/>
  <c r="K563" i="9"/>
  <c r="L565" i="9"/>
  <c r="I286" i="9"/>
  <c r="J288" i="9"/>
  <c r="G286" i="9"/>
  <c r="C407" i="12"/>
  <c r="H406" i="12"/>
  <c r="G406" i="12"/>
  <c r="E406" i="12"/>
  <c r="B141" i="9"/>
  <c r="B142" i="9"/>
  <c r="AI245" i="12"/>
  <c r="AK245" i="12"/>
  <c r="L529" i="9"/>
  <c r="K527" i="9"/>
  <c r="AK437" i="12"/>
  <c r="AJ437" i="12"/>
  <c r="AI437" i="12"/>
  <c r="AF437" i="12" s="1"/>
  <c r="J405" i="12"/>
  <c r="T325" i="12"/>
  <c r="AI326" i="12" s="1"/>
  <c r="AF326" i="12" s="1"/>
  <c r="X325" i="12"/>
  <c r="V325" i="12"/>
  <c r="AK326" i="12" s="1"/>
  <c r="AD325" i="12"/>
  <c r="AB325" i="12"/>
  <c r="Z325" i="12"/>
  <c r="AJ326" i="12"/>
  <c r="H523" i="9"/>
  <c r="J329" i="12"/>
  <c r="I289" i="12"/>
  <c r="D283" i="9"/>
  <c r="AK547" i="12"/>
  <c r="AJ547" i="12"/>
  <c r="AI547" i="12"/>
  <c r="AF547" i="12" s="1"/>
  <c r="AH170" i="12"/>
  <c r="K566" i="9"/>
  <c r="L568" i="9"/>
  <c r="K408" i="9"/>
  <c r="L410" i="9"/>
  <c r="K135" i="9"/>
  <c r="L137" i="9"/>
  <c r="D401" i="9"/>
  <c r="I407" i="12"/>
  <c r="AH407" i="12" s="1"/>
  <c r="K524" i="9"/>
  <c r="L526" i="9"/>
  <c r="L216" i="9"/>
  <c r="K214" i="9"/>
  <c r="I290" i="12"/>
  <c r="D284" i="9"/>
  <c r="H563" i="9"/>
  <c r="C444" i="12"/>
  <c r="H443" i="12"/>
  <c r="G443" i="12"/>
  <c r="E443" i="12"/>
  <c r="AH60" i="12"/>
  <c r="J441" i="9"/>
  <c r="I439" i="9"/>
  <c r="G439" i="9"/>
  <c r="I403" i="9"/>
  <c r="J405" i="9"/>
  <c r="G403" i="9"/>
  <c r="H136" i="8"/>
  <c r="L16" i="8"/>
  <c r="K15" i="8"/>
  <c r="J406" i="12"/>
  <c r="J248" i="12"/>
  <c r="A391" i="12"/>
  <c r="A392" i="12"/>
  <c r="A393" i="12" s="1"/>
  <c r="J93" i="8"/>
  <c r="I92" i="8"/>
  <c r="D92" i="8" s="1"/>
  <c r="G92" i="8"/>
  <c r="I555" i="12"/>
  <c r="D558" i="9"/>
  <c r="AH329" i="12"/>
  <c r="F17" i="10"/>
  <c r="E16" i="10"/>
  <c r="H299" i="9"/>
  <c r="J521" i="9"/>
  <c r="I519" i="9"/>
  <c r="J287" i="9"/>
  <c r="I285" i="9"/>
  <c r="G285" i="9"/>
  <c r="I560" i="9"/>
  <c r="J562" i="9"/>
  <c r="G560" i="9"/>
  <c r="AI48" i="12"/>
  <c r="J516" i="12"/>
  <c r="T510" i="12"/>
  <c r="X509" i="12"/>
  <c r="V509" i="12"/>
  <c r="AB509" i="12"/>
  <c r="Z509" i="12"/>
  <c r="T26" i="12"/>
  <c r="Z26" i="12"/>
  <c r="AF26" i="12"/>
  <c r="V26" i="12"/>
  <c r="X26" i="12"/>
  <c r="AB26" i="12"/>
  <c r="AD26" i="12"/>
  <c r="AH97" i="12"/>
  <c r="I408" i="12"/>
  <c r="AH408" i="12" s="1"/>
  <c r="D402" i="9"/>
  <c r="L382" i="9"/>
  <c r="K380" i="9"/>
  <c r="AH248" i="12"/>
  <c r="AK87" i="12"/>
  <c r="AL87" i="12" s="1"/>
  <c r="AM87" i="12"/>
  <c r="AN87" i="12" s="1"/>
  <c r="H95" i="8"/>
  <c r="B576" i="9"/>
  <c r="B577" i="9"/>
  <c r="B578" i="9" s="1"/>
  <c r="J131" i="12"/>
  <c r="L454" i="9"/>
  <c r="K452" i="9"/>
  <c r="H140" i="9"/>
  <c r="K16" i="9"/>
  <c r="L17" i="9"/>
  <c r="I11" i="8"/>
  <c r="D11" i="8" s="1"/>
  <c r="J12" i="8"/>
  <c r="G11" i="8"/>
  <c r="J287" i="12"/>
  <c r="AH98" i="12"/>
  <c r="AI127" i="12"/>
  <c r="AK127" i="12"/>
  <c r="E481" i="12"/>
  <c r="C482" i="12"/>
  <c r="K254" i="9"/>
  <c r="L256" i="9"/>
  <c r="I250" i="12"/>
  <c r="D244" i="9"/>
  <c r="J249" i="12"/>
  <c r="I171" i="12"/>
  <c r="D165" i="9"/>
  <c r="J406" i="9"/>
  <c r="G404" i="9"/>
  <c r="I404" i="9"/>
  <c r="B254" i="9"/>
  <c r="B253" i="9"/>
  <c r="D40" i="9"/>
  <c r="I172" i="12"/>
  <c r="D166" i="9"/>
  <c r="J169" i="12"/>
  <c r="H43" i="9"/>
  <c r="I14" i="9"/>
  <c r="J15" i="9"/>
  <c r="A529" i="12"/>
  <c r="A530" i="12"/>
  <c r="I133" i="12"/>
  <c r="D129" i="9"/>
  <c r="I518" i="12"/>
  <c r="D518" i="9"/>
  <c r="L333" i="9"/>
  <c r="K331" i="9"/>
  <c r="A310" i="12"/>
  <c r="A311" i="12" s="1"/>
  <c r="A309" i="12"/>
  <c r="AH131" i="12"/>
  <c r="AK48" i="12"/>
  <c r="AH516" i="12"/>
  <c r="AJ127" i="12"/>
  <c r="I331" i="12"/>
  <c r="D325" i="9"/>
  <c r="B377" i="9"/>
  <c r="B376" i="9"/>
  <c r="J42" i="9"/>
  <c r="I41" i="9"/>
  <c r="AH287" i="12"/>
  <c r="J330" i="12"/>
  <c r="AH59" i="12"/>
  <c r="J288" i="12"/>
  <c r="K213" i="9"/>
  <c r="L215" i="9"/>
  <c r="H15" i="9"/>
  <c r="G14" i="9"/>
  <c r="T203" i="12"/>
  <c r="AI204" i="12" s="1"/>
  <c r="AF204" i="12" s="1"/>
  <c r="AI205" i="12" s="1"/>
  <c r="AJ204" i="12"/>
  <c r="AK204" i="12"/>
  <c r="AH249" i="12"/>
  <c r="A422" i="12"/>
  <c r="A421" i="12"/>
  <c r="K371" i="9"/>
  <c r="L373" i="9"/>
  <c r="I168" i="9"/>
  <c r="J170" i="9"/>
  <c r="G168" i="9"/>
  <c r="AH169" i="12"/>
  <c r="L182" i="9"/>
  <c r="K180" i="9"/>
  <c r="G41" i="9"/>
  <c r="J62" i="9"/>
  <c r="H62" i="9"/>
  <c r="C62" i="9"/>
  <c r="I62" i="9"/>
  <c r="G62" i="9"/>
  <c r="E62" i="9"/>
  <c r="I131" i="9"/>
  <c r="J133" i="9"/>
  <c r="G131" i="9"/>
  <c r="D128" i="9"/>
  <c r="I132" i="12"/>
  <c r="A108" i="12"/>
  <c r="A109" i="12"/>
  <c r="J329" i="9"/>
  <c r="I327" i="9"/>
  <c r="G327" i="9"/>
  <c r="H419" i="9"/>
  <c r="J556" i="12" l="1"/>
  <c r="T206" i="12"/>
  <c r="AF205" i="12"/>
  <c r="Z206" i="12"/>
  <c r="X206" i="12"/>
  <c r="AD206" i="12"/>
  <c r="AB206" i="12"/>
  <c r="V206" i="12"/>
  <c r="J331" i="9"/>
  <c r="I329" i="9"/>
  <c r="G329" i="9"/>
  <c r="J555" i="12"/>
  <c r="K565" i="9"/>
  <c r="L567" i="9"/>
  <c r="M16" i="10"/>
  <c r="K16" i="10"/>
  <c r="D16" i="10" s="1"/>
  <c r="C16" i="10" s="1"/>
  <c r="M201" i="10"/>
  <c r="AH251" i="12"/>
  <c r="H421" i="9"/>
  <c r="K373" i="9"/>
  <c r="L375" i="9"/>
  <c r="I133" i="9"/>
  <c r="G133" i="9"/>
  <c r="J135" i="9"/>
  <c r="K182" i="9"/>
  <c r="L184" i="9"/>
  <c r="H16" i="9"/>
  <c r="G15" i="9"/>
  <c r="AH331" i="12"/>
  <c r="J133" i="12"/>
  <c r="I333" i="12"/>
  <c r="D327" i="9"/>
  <c r="A424" i="12"/>
  <c r="A423" i="12"/>
  <c r="L217" i="9"/>
  <c r="K215" i="9"/>
  <c r="AH133" i="12"/>
  <c r="J172" i="12"/>
  <c r="AH171" i="12"/>
  <c r="AF128" i="12"/>
  <c r="AF127" i="12"/>
  <c r="J564" i="9"/>
  <c r="I562" i="9"/>
  <c r="G562" i="9"/>
  <c r="F18" i="10"/>
  <c r="E17" i="10"/>
  <c r="I93" i="8"/>
  <c r="D93" i="8" s="1"/>
  <c r="J94" i="8"/>
  <c r="G93" i="8"/>
  <c r="J290" i="12"/>
  <c r="L412" i="9"/>
  <c r="K410" i="9"/>
  <c r="J332" i="12"/>
  <c r="I209" i="9"/>
  <c r="J211" i="9"/>
  <c r="G209" i="9"/>
  <c r="B215" i="9"/>
  <c r="B216" i="9"/>
  <c r="AH99" i="12"/>
  <c r="A231" i="12"/>
  <c r="A232" i="12" s="1"/>
  <c r="A230" i="12"/>
  <c r="J94" i="12"/>
  <c r="AP4" i="12"/>
  <c r="H137" i="8"/>
  <c r="A531" i="12"/>
  <c r="A532" i="12"/>
  <c r="AH172" i="12"/>
  <c r="I12" i="8"/>
  <c r="J13" i="8"/>
  <c r="G12" i="8"/>
  <c r="AH290" i="12"/>
  <c r="T437" i="12"/>
  <c r="Z437" i="12"/>
  <c r="AD437" i="12"/>
  <c r="AB437" i="12"/>
  <c r="X437" i="12"/>
  <c r="V437" i="12"/>
  <c r="B144" i="9"/>
  <c r="B143" i="9"/>
  <c r="H407" i="12"/>
  <c r="G407" i="12"/>
  <c r="C408" i="12"/>
  <c r="E407" i="12"/>
  <c r="H16" i="8"/>
  <c r="J372" i="9"/>
  <c r="I370" i="9"/>
  <c r="G370" i="9"/>
  <c r="J332" i="9"/>
  <c r="I330" i="9"/>
  <c r="G330" i="9"/>
  <c r="AH332" i="12"/>
  <c r="I253" i="12"/>
  <c r="D247" i="9"/>
  <c r="K338" i="9"/>
  <c r="L340" i="9"/>
  <c r="J52" i="10"/>
  <c r="I51" i="10"/>
  <c r="L51" i="10"/>
  <c r="K236" i="10"/>
  <c r="E236" i="10"/>
  <c r="G51" i="10"/>
  <c r="T364" i="12"/>
  <c r="Z364" i="12"/>
  <c r="X364" i="12"/>
  <c r="V364" i="12"/>
  <c r="AD364" i="12"/>
  <c r="AB364" i="12"/>
  <c r="AH62" i="12"/>
  <c r="H377" i="9"/>
  <c r="AJ88" i="12"/>
  <c r="AF88" i="12"/>
  <c r="I292" i="12"/>
  <c r="D286" i="9"/>
  <c r="I212" i="12"/>
  <c r="D206" i="9"/>
  <c r="I334" i="12"/>
  <c r="D328" i="9"/>
  <c r="H258" i="9"/>
  <c r="K136" i="8"/>
  <c r="L137" i="8"/>
  <c r="I249" i="9"/>
  <c r="J251" i="9"/>
  <c r="G249" i="9"/>
  <c r="A264" i="12"/>
  <c r="A265" i="12"/>
  <c r="AH100" i="12"/>
  <c r="A111" i="12"/>
  <c r="A110" i="12"/>
  <c r="I15" i="9"/>
  <c r="J16" i="9"/>
  <c r="J250" i="12"/>
  <c r="L18" i="9"/>
  <c r="K18" i="9" s="1"/>
  <c r="K17" i="9"/>
  <c r="D403" i="9"/>
  <c r="I409" i="12"/>
  <c r="AH409" i="12" s="1"/>
  <c r="L218" i="9"/>
  <c r="K216" i="9"/>
  <c r="AH289" i="12"/>
  <c r="J290" i="9"/>
  <c r="I288" i="9"/>
  <c r="G288" i="9"/>
  <c r="K175" i="9"/>
  <c r="L177" i="9"/>
  <c r="AI400" i="12"/>
  <c r="AF400" i="12" s="1"/>
  <c r="AJ400" i="12"/>
  <c r="AK400" i="12"/>
  <c r="AF164" i="12"/>
  <c r="T164" i="12" s="1"/>
  <c r="AB163" i="12"/>
  <c r="Z163" i="12"/>
  <c r="T165" i="12"/>
  <c r="AD163" i="12"/>
  <c r="V163" i="12"/>
  <c r="X163" i="12"/>
  <c r="I134" i="8"/>
  <c r="J135" i="8"/>
  <c r="G134" i="8"/>
  <c r="H343" i="9"/>
  <c r="I134" i="12"/>
  <c r="D130" i="9"/>
  <c r="K255" i="9"/>
  <c r="L257" i="9"/>
  <c r="H451" i="9"/>
  <c r="I252" i="12"/>
  <c r="D246" i="9"/>
  <c r="I174" i="12"/>
  <c r="D168" i="9"/>
  <c r="J407" i="9"/>
  <c r="I405" i="9"/>
  <c r="G405" i="9"/>
  <c r="B528" i="9"/>
  <c r="B529" i="9"/>
  <c r="J211" i="12"/>
  <c r="K568" i="9"/>
  <c r="L570" i="9"/>
  <c r="K526" i="9"/>
  <c r="L528" i="9"/>
  <c r="J210" i="9"/>
  <c r="I208" i="9"/>
  <c r="G208" i="9"/>
  <c r="B453" i="9"/>
  <c r="B452" i="9"/>
  <c r="AH132" i="12"/>
  <c r="J172" i="9"/>
  <c r="I170" i="9"/>
  <c r="G170" i="9"/>
  <c r="I42" i="9"/>
  <c r="J43" i="9"/>
  <c r="G42" i="9"/>
  <c r="D42" i="9" s="1"/>
  <c r="B255" i="9"/>
  <c r="B256" i="9"/>
  <c r="K256" i="9"/>
  <c r="L258" i="9"/>
  <c r="J408" i="12"/>
  <c r="T326" i="12"/>
  <c r="AI327" i="12" s="1"/>
  <c r="AF327" i="12" s="1"/>
  <c r="V326" i="12"/>
  <c r="AK327" i="12" s="1"/>
  <c r="Z326" i="12"/>
  <c r="X326" i="12"/>
  <c r="AD326" i="12"/>
  <c r="AB326" i="12"/>
  <c r="AJ327" i="12"/>
  <c r="K529" i="9"/>
  <c r="L531" i="9"/>
  <c r="AD511" i="12"/>
  <c r="AF510" i="12"/>
  <c r="J251" i="12"/>
  <c r="J372" i="12"/>
  <c r="J371" i="12"/>
  <c r="J134" i="9"/>
  <c r="I132" i="9"/>
  <c r="G132" i="9"/>
  <c r="L97" i="8"/>
  <c r="K96" i="8"/>
  <c r="AH211" i="12"/>
  <c r="A492" i="12"/>
  <c r="A493" i="12"/>
  <c r="L302" i="9"/>
  <c r="K300" i="9"/>
  <c r="B176" i="9"/>
  <c r="B177" i="9"/>
  <c r="I248" i="9"/>
  <c r="J250" i="9"/>
  <c r="G248" i="9"/>
  <c r="I373" i="12"/>
  <c r="D367" i="9"/>
  <c r="D60" i="9"/>
  <c r="F60" i="9"/>
  <c r="L335" i="9"/>
  <c r="K333" i="9"/>
  <c r="H44" i="9"/>
  <c r="G43" i="9"/>
  <c r="H142" i="9"/>
  <c r="AH372" i="12"/>
  <c r="AH371" i="12"/>
  <c r="I520" i="12"/>
  <c r="D520" i="9"/>
  <c r="I173" i="12"/>
  <c r="D167" i="9"/>
  <c r="J61" i="12"/>
  <c r="J30" i="12"/>
  <c r="AX4" i="12"/>
  <c r="J289" i="12"/>
  <c r="I521" i="9"/>
  <c r="J523" i="9"/>
  <c r="H525" i="9"/>
  <c r="G523" i="9"/>
  <c r="J563" i="9"/>
  <c r="I561" i="9"/>
  <c r="AK205" i="12"/>
  <c r="AJ205" i="12"/>
  <c r="B379" i="9"/>
  <c r="B378" i="9"/>
  <c r="J518" i="12"/>
  <c r="I410" i="12"/>
  <c r="AH410" i="12" s="1"/>
  <c r="D404" i="9"/>
  <c r="C483" i="12"/>
  <c r="E482" i="12"/>
  <c r="AF48" i="12"/>
  <c r="T48" i="12" s="1"/>
  <c r="T49" i="12"/>
  <c r="X49" i="12"/>
  <c r="AD49" i="12"/>
  <c r="AB49" i="12"/>
  <c r="Z49" i="12"/>
  <c r="V49" i="12"/>
  <c r="A456" i="12"/>
  <c r="A455" i="12"/>
  <c r="H181" i="9"/>
  <c r="J444" i="9"/>
  <c r="I442" i="9"/>
  <c r="G442" i="9"/>
  <c r="J210" i="12"/>
  <c r="H216" i="9"/>
  <c r="A66" i="12"/>
  <c r="A65" i="12"/>
  <c r="K291" i="9"/>
  <c r="L293" i="9"/>
  <c r="B303" i="9"/>
  <c r="B304" i="9" s="1"/>
  <c r="B302" i="9"/>
  <c r="J371" i="9"/>
  <c r="I369" i="9"/>
  <c r="G369" i="9"/>
  <c r="I291" i="12"/>
  <c r="D285" i="9"/>
  <c r="AH555" i="12"/>
  <c r="I445" i="12"/>
  <c r="AH445" i="12" s="1"/>
  <c r="D439" i="9"/>
  <c r="H444" i="12"/>
  <c r="E444" i="12"/>
  <c r="C445" i="12"/>
  <c r="G444" i="12"/>
  <c r="J407" i="12"/>
  <c r="G521" i="9"/>
  <c r="AF245" i="12"/>
  <c r="T245" i="12" s="1"/>
  <c r="T246" i="12"/>
  <c r="X246" i="12"/>
  <c r="V246" i="12"/>
  <c r="AD246" i="12"/>
  <c r="AB246" i="12"/>
  <c r="Z246" i="12"/>
  <c r="I135" i="12"/>
  <c r="D131" i="9"/>
  <c r="I101" i="12"/>
  <c r="I63" i="12"/>
  <c r="I64" i="12"/>
  <c r="I102" i="12"/>
  <c r="I31" i="12"/>
  <c r="BC4" i="12"/>
  <c r="AH31" i="12" s="1"/>
  <c r="D14" i="9"/>
  <c r="J331" i="12"/>
  <c r="AH518" i="12"/>
  <c r="G406" i="9"/>
  <c r="I406" i="9"/>
  <c r="J408" i="9"/>
  <c r="K454" i="9"/>
  <c r="L456" i="9"/>
  <c r="H301" i="9"/>
  <c r="H565" i="9"/>
  <c r="L139" i="9"/>
  <c r="K137" i="9"/>
  <c r="AD547" i="12"/>
  <c r="Z547" i="12"/>
  <c r="AB547" i="12"/>
  <c r="T547" i="12"/>
  <c r="V547" i="12"/>
  <c r="X547" i="12"/>
  <c r="J444" i="12"/>
  <c r="J519" i="12"/>
  <c r="N17" i="10"/>
  <c r="O17" i="10"/>
  <c r="F201" i="10"/>
  <c r="D201" i="10" s="1"/>
  <c r="C201" i="10" s="1"/>
  <c r="L201" i="10"/>
  <c r="J201" i="10" s="1"/>
  <c r="I201" i="10" s="1"/>
  <c r="AH210" i="12"/>
  <c r="AJ282" i="12"/>
  <c r="AK282" i="12"/>
  <c r="AI282" i="12"/>
  <c r="J524" i="9"/>
  <c r="I522" i="9"/>
  <c r="G522" i="9"/>
  <c r="J171" i="9"/>
  <c r="I169" i="9"/>
  <c r="G169" i="9"/>
  <c r="AK88" i="12"/>
  <c r="AL88" i="12" s="1"/>
  <c r="AM88" i="12"/>
  <c r="AN88" i="12" s="1"/>
  <c r="H63" i="9"/>
  <c r="I63" i="9"/>
  <c r="J63" i="9"/>
  <c r="G63" i="9"/>
  <c r="C63" i="9"/>
  <c r="E63" i="9"/>
  <c r="AH250" i="12"/>
  <c r="H96" i="8"/>
  <c r="L384" i="9"/>
  <c r="K382" i="9"/>
  <c r="AK511" i="12"/>
  <c r="J289" i="9"/>
  <c r="I287" i="9"/>
  <c r="G287" i="9"/>
  <c r="J132" i="12"/>
  <c r="D41" i="9"/>
  <c r="J171" i="12"/>
  <c r="AI26" i="12"/>
  <c r="I557" i="12"/>
  <c r="D560" i="9"/>
  <c r="L17" i="8"/>
  <c r="K16" i="8"/>
  <c r="J443" i="9"/>
  <c r="I441" i="9"/>
  <c r="G441" i="9"/>
  <c r="G561" i="9"/>
  <c r="B412" i="9"/>
  <c r="B413" i="9"/>
  <c r="AH519" i="12"/>
  <c r="I374" i="12"/>
  <c r="D368" i="9"/>
  <c r="J443" i="12"/>
  <c r="I446" i="12"/>
  <c r="AH446" i="12" s="1"/>
  <c r="D440" i="9"/>
  <c r="K445" i="9"/>
  <c r="L447" i="9"/>
  <c r="I213" i="12"/>
  <c r="D207" i="9"/>
  <c r="B340" i="9"/>
  <c r="B341" i="9"/>
  <c r="AH61" i="12"/>
  <c r="AI88" i="12"/>
  <c r="AH556" i="12"/>
  <c r="J565" i="9" l="1"/>
  <c r="G565" i="9" s="1"/>
  <c r="I563" i="9"/>
  <c r="AH213" i="12"/>
  <c r="J96" i="12"/>
  <c r="AS4" i="12"/>
  <c r="L386" i="9"/>
  <c r="K386" i="9" s="1"/>
  <c r="D386" i="9" s="1"/>
  <c r="K384" i="9"/>
  <c r="I522" i="12"/>
  <c r="D522" i="9"/>
  <c r="H567" i="9"/>
  <c r="I412" i="12"/>
  <c r="AH412" i="12" s="1"/>
  <c r="D406" i="9"/>
  <c r="AH102" i="12"/>
  <c r="G445" i="12"/>
  <c r="C446" i="12"/>
  <c r="E445" i="12"/>
  <c r="H445" i="12"/>
  <c r="AH291" i="12"/>
  <c r="A458" i="12"/>
  <c r="A457" i="12"/>
  <c r="J410" i="12"/>
  <c r="I523" i="12"/>
  <c r="D523" i="9"/>
  <c r="K335" i="9"/>
  <c r="L337" i="9"/>
  <c r="K97" i="8"/>
  <c r="L98" i="8"/>
  <c r="B257" i="9"/>
  <c r="B258" i="9"/>
  <c r="AH252" i="12"/>
  <c r="H345" i="9"/>
  <c r="H260" i="9"/>
  <c r="I336" i="12"/>
  <c r="D330" i="9"/>
  <c r="H408" i="12"/>
  <c r="G408" i="12"/>
  <c r="C409" i="12"/>
  <c r="E408" i="12"/>
  <c r="AK438" i="12"/>
  <c r="AJ438" i="12"/>
  <c r="AI438" i="12"/>
  <c r="AF438" i="12" s="1"/>
  <c r="F19" i="10"/>
  <c r="E18" i="10"/>
  <c r="A426" i="12"/>
  <c r="A425" i="12"/>
  <c r="I66" i="12"/>
  <c r="I104" i="12"/>
  <c r="I103" i="12"/>
  <c r="I65" i="12"/>
  <c r="BF4" i="12"/>
  <c r="AH32" i="12" s="1"/>
  <c r="I32" i="12"/>
  <c r="D15" i="9"/>
  <c r="H218" i="9"/>
  <c r="H527" i="9"/>
  <c r="J173" i="12"/>
  <c r="I136" i="12"/>
  <c r="D132" i="9"/>
  <c r="T511" i="12"/>
  <c r="Z510" i="12"/>
  <c r="X510" i="12"/>
  <c r="AB510" i="12"/>
  <c r="V510" i="12"/>
  <c r="B531" i="9"/>
  <c r="B530" i="9"/>
  <c r="AI165" i="12"/>
  <c r="AK165" i="12"/>
  <c r="AJ165" i="12"/>
  <c r="H379" i="9"/>
  <c r="J253" i="12"/>
  <c r="B218" i="9"/>
  <c r="B217" i="9"/>
  <c r="I559" i="12"/>
  <c r="D562" i="9"/>
  <c r="J333" i="12"/>
  <c r="G16" i="9"/>
  <c r="H17" i="9"/>
  <c r="G421" i="9"/>
  <c r="F421" i="9"/>
  <c r="L458" i="9"/>
  <c r="K458" i="9" s="1"/>
  <c r="D458" i="9" s="1"/>
  <c r="K456" i="9"/>
  <c r="AH374" i="12"/>
  <c r="I171" i="9"/>
  <c r="J173" i="9"/>
  <c r="G171" i="9"/>
  <c r="L141" i="9"/>
  <c r="K139" i="9"/>
  <c r="L449" i="9"/>
  <c r="K447" i="9"/>
  <c r="G563" i="9"/>
  <c r="AH64" i="12"/>
  <c r="I375" i="12"/>
  <c r="D369" i="9"/>
  <c r="J526" i="9"/>
  <c r="I524" i="9"/>
  <c r="G524" i="9"/>
  <c r="AH63" i="12"/>
  <c r="L304" i="9"/>
  <c r="K304" i="9" s="1"/>
  <c r="D304" i="9" s="1"/>
  <c r="K302" i="9"/>
  <c r="J98" i="12"/>
  <c r="AV4" i="12"/>
  <c r="J136" i="8"/>
  <c r="I135" i="8"/>
  <c r="G135" i="8"/>
  <c r="AJ365" i="12"/>
  <c r="AK365" i="12"/>
  <c r="AI365" i="12"/>
  <c r="AF365" i="12" s="1"/>
  <c r="AH253" i="12"/>
  <c r="J334" i="9"/>
  <c r="I332" i="9"/>
  <c r="G332" i="9"/>
  <c r="AH333" i="12"/>
  <c r="K184" i="9"/>
  <c r="L186" i="9"/>
  <c r="K186" i="9" s="1"/>
  <c r="D186" i="9" s="1"/>
  <c r="T205" i="12"/>
  <c r="AI206" i="12" s="1"/>
  <c r="AF206" i="12" s="1"/>
  <c r="AJ206" i="12"/>
  <c r="AK206" i="12"/>
  <c r="T90" i="12"/>
  <c r="AJ89" i="12"/>
  <c r="T89" i="12"/>
  <c r="AI89" i="12" s="1"/>
  <c r="AD89" i="12"/>
  <c r="AF89" i="12"/>
  <c r="Z90" i="12"/>
  <c r="AB89" i="12"/>
  <c r="Z89" i="12"/>
  <c r="AD90" i="12"/>
  <c r="X90" i="12"/>
  <c r="X89" i="12"/>
  <c r="AB90" i="12"/>
  <c r="V90" i="12"/>
  <c r="V89" i="12"/>
  <c r="J446" i="12"/>
  <c r="L18" i="8"/>
  <c r="K17" i="8"/>
  <c r="I293" i="12"/>
  <c r="D287" i="9"/>
  <c r="J373" i="12"/>
  <c r="A495" i="12"/>
  <c r="A494" i="12"/>
  <c r="D405" i="9"/>
  <c r="I411" i="12"/>
  <c r="AH411" i="12" s="1"/>
  <c r="H453" i="9"/>
  <c r="D134" i="8"/>
  <c r="A267" i="12"/>
  <c r="A266" i="12"/>
  <c r="J334" i="12"/>
  <c r="L414" i="9"/>
  <c r="K412" i="9"/>
  <c r="I564" i="9"/>
  <c r="J566" i="9"/>
  <c r="G564" i="9"/>
  <c r="J213" i="12"/>
  <c r="I443" i="9"/>
  <c r="J445" i="9"/>
  <c r="G443" i="9"/>
  <c r="H97" i="8"/>
  <c r="I523" i="9"/>
  <c r="J525" i="9"/>
  <c r="G525" i="9" s="1"/>
  <c r="AH173" i="12"/>
  <c r="X327" i="12"/>
  <c r="V327" i="12"/>
  <c r="AK328" i="12" s="1"/>
  <c r="T327" i="12"/>
  <c r="AI328" i="12" s="1"/>
  <c r="AF328" i="12" s="1"/>
  <c r="AD327" i="12"/>
  <c r="AB327" i="12"/>
  <c r="Z327" i="12"/>
  <c r="AJ328" i="12"/>
  <c r="K528" i="9"/>
  <c r="L530" i="9"/>
  <c r="AH101" i="12"/>
  <c r="J445" i="12"/>
  <c r="I371" i="9"/>
  <c r="J373" i="9"/>
  <c r="G371" i="9"/>
  <c r="J520" i="12"/>
  <c r="J136" i="9"/>
  <c r="I134" i="9"/>
  <c r="G134" i="9"/>
  <c r="B414" i="9"/>
  <c r="B415" i="9"/>
  <c r="N18" i="10"/>
  <c r="O18" i="10"/>
  <c r="F202" i="10"/>
  <c r="D202" i="10" s="1"/>
  <c r="C202" i="10" s="1"/>
  <c r="L202" i="10"/>
  <c r="J202" i="10" s="1"/>
  <c r="I202" i="10" s="1"/>
  <c r="AI548" i="12"/>
  <c r="AF548" i="12" s="1"/>
  <c r="AJ548" i="12"/>
  <c r="AK548" i="12"/>
  <c r="AK247" i="12"/>
  <c r="AI247" i="12"/>
  <c r="I448" i="12"/>
  <c r="AH448" i="12" s="1"/>
  <c r="D442" i="9"/>
  <c r="AH520" i="12"/>
  <c r="AH373" i="12"/>
  <c r="L533" i="9"/>
  <c r="K531" i="9"/>
  <c r="J44" i="9"/>
  <c r="G44" i="9" s="1"/>
  <c r="I43" i="9"/>
  <c r="B455" i="9"/>
  <c r="B454" i="9"/>
  <c r="K257" i="9"/>
  <c r="L259" i="9"/>
  <c r="T400" i="12"/>
  <c r="Z400" i="12"/>
  <c r="V400" i="12"/>
  <c r="AD400" i="12"/>
  <c r="AB400" i="12"/>
  <c r="X400" i="12"/>
  <c r="I16" i="9"/>
  <c r="J17" i="9"/>
  <c r="AH334" i="12"/>
  <c r="I376" i="12"/>
  <c r="D370" i="9"/>
  <c r="B146" i="9"/>
  <c r="B145" i="9"/>
  <c r="A534" i="12"/>
  <c r="A533" i="12"/>
  <c r="G135" i="9"/>
  <c r="I135" i="9"/>
  <c r="J137" i="9"/>
  <c r="I335" i="12"/>
  <c r="D329" i="9"/>
  <c r="I447" i="12"/>
  <c r="AH447" i="12" s="1"/>
  <c r="D441" i="9"/>
  <c r="J557" i="12"/>
  <c r="J291" i="9"/>
  <c r="I289" i="9"/>
  <c r="G289" i="9"/>
  <c r="AF282" i="12"/>
  <c r="AD283" i="12"/>
  <c r="M17" i="10"/>
  <c r="K17" i="10"/>
  <c r="D17" i="10" s="1"/>
  <c r="C17" i="10" s="1"/>
  <c r="M202" i="10"/>
  <c r="AJ246" i="12"/>
  <c r="AK246" i="12"/>
  <c r="AI246" i="12"/>
  <c r="AF246" i="12" s="1"/>
  <c r="AJ247" i="12" s="1"/>
  <c r="B381" i="9"/>
  <c r="B380" i="9"/>
  <c r="H144" i="9"/>
  <c r="F61" i="9"/>
  <c r="D61" i="9"/>
  <c r="L572" i="9"/>
  <c r="K570" i="9"/>
  <c r="J409" i="9"/>
  <c r="I407" i="9"/>
  <c r="G407" i="9"/>
  <c r="K177" i="9"/>
  <c r="L179" i="9"/>
  <c r="G64" i="9"/>
  <c r="J64" i="9"/>
  <c r="I64" i="9"/>
  <c r="H64" i="9"/>
  <c r="E64" i="9"/>
  <c r="C64" i="9"/>
  <c r="I255" i="12"/>
  <c r="D249" i="9"/>
  <c r="J212" i="12"/>
  <c r="I215" i="12"/>
  <c r="D209" i="9"/>
  <c r="T127" i="12"/>
  <c r="AB127" i="12"/>
  <c r="V127" i="12"/>
  <c r="AD127" i="12"/>
  <c r="Z127" i="12"/>
  <c r="X127" i="12"/>
  <c r="I137" i="12"/>
  <c r="D133" i="9"/>
  <c r="J135" i="12"/>
  <c r="I521" i="12"/>
  <c r="D521" i="9"/>
  <c r="K293" i="9"/>
  <c r="L295" i="9"/>
  <c r="J446" i="9"/>
  <c r="I444" i="9"/>
  <c r="G444" i="9"/>
  <c r="I254" i="12"/>
  <c r="D248" i="9"/>
  <c r="J174" i="12"/>
  <c r="J134" i="12"/>
  <c r="J253" i="9"/>
  <c r="I251" i="9"/>
  <c r="G251" i="9"/>
  <c r="AH212" i="12"/>
  <c r="J374" i="9"/>
  <c r="I372" i="9"/>
  <c r="G372" i="9"/>
  <c r="J213" i="9"/>
  <c r="G211" i="9"/>
  <c r="I211" i="9"/>
  <c r="T128" i="12"/>
  <c r="AD128" i="12"/>
  <c r="V128" i="12"/>
  <c r="AB128" i="12"/>
  <c r="Z128" i="12"/>
  <c r="X128" i="12"/>
  <c r="I331" i="9"/>
  <c r="J333" i="9"/>
  <c r="G331" i="9"/>
  <c r="I176" i="12"/>
  <c r="D170" i="9"/>
  <c r="I175" i="12"/>
  <c r="D169" i="9"/>
  <c r="J63" i="12"/>
  <c r="J31" i="12"/>
  <c r="BA4" i="12"/>
  <c r="AH135" i="12"/>
  <c r="AK49" i="12"/>
  <c r="AJ49" i="12"/>
  <c r="AI49" i="12"/>
  <c r="AF49" i="12" s="1"/>
  <c r="AJ50" i="12" s="1"/>
  <c r="I250" i="9"/>
  <c r="J252" i="9"/>
  <c r="G250" i="9"/>
  <c r="I214" i="12"/>
  <c r="D208" i="9"/>
  <c r="AH174" i="12"/>
  <c r="AH134" i="12"/>
  <c r="I294" i="12"/>
  <c r="D288" i="9"/>
  <c r="A113" i="12"/>
  <c r="A114" i="12" s="1"/>
  <c r="A112" i="12"/>
  <c r="J292" i="12"/>
  <c r="I94" i="8"/>
  <c r="D94" i="8" s="1"/>
  <c r="J95" i="8"/>
  <c r="G94" i="8"/>
  <c r="K218" i="9"/>
  <c r="L220" i="9"/>
  <c r="B342" i="9"/>
  <c r="B343" i="9"/>
  <c r="Z27" i="12"/>
  <c r="V27" i="12"/>
  <c r="T27" i="12"/>
  <c r="AD27" i="12"/>
  <c r="X27" i="12"/>
  <c r="AB27" i="12"/>
  <c r="AF27" i="12"/>
  <c r="AI511" i="12"/>
  <c r="AF511" i="12" s="1"/>
  <c r="J374" i="12"/>
  <c r="I558" i="12"/>
  <c r="D561" i="9"/>
  <c r="AJ511" i="12"/>
  <c r="G408" i="9"/>
  <c r="I408" i="9"/>
  <c r="J410" i="9"/>
  <c r="H183" i="9"/>
  <c r="H45" i="9"/>
  <c r="K258" i="9"/>
  <c r="L260" i="9"/>
  <c r="J174" i="9"/>
  <c r="I172" i="9"/>
  <c r="G172" i="9"/>
  <c r="J409" i="12"/>
  <c r="L138" i="8"/>
  <c r="K137" i="8"/>
  <c r="AH292" i="12"/>
  <c r="J53" i="10"/>
  <c r="L52" i="10"/>
  <c r="E237" i="10"/>
  <c r="K237" i="10"/>
  <c r="G52" i="10"/>
  <c r="I52" i="10"/>
  <c r="H17" i="8"/>
  <c r="J14" i="8"/>
  <c r="I13" i="8"/>
  <c r="G13" i="8"/>
  <c r="H138" i="8"/>
  <c r="K217" i="9"/>
  <c r="L219" i="9"/>
  <c r="L377" i="9"/>
  <c r="K375" i="9"/>
  <c r="AH557" i="12"/>
  <c r="J291" i="12"/>
  <c r="A68" i="12"/>
  <c r="A67" i="12"/>
  <c r="C484" i="12"/>
  <c r="E483" i="12"/>
  <c r="B178" i="9"/>
  <c r="B179" i="9"/>
  <c r="I210" i="9"/>
  <c r="J212" i="9"/>
  <c r="G210" i="9"/>
  <c r="J252" i="12"/>
  <c r="I290" i="9"/>
  <c r="J292" i="9"/>
  <c r="G290" i="9"/>
  <c r="AK89" i="12"/>
  <c r="AL89" i="12" s="1"/>
  <c r="AM89" i="12"/>
  <c r="AN89" i="12" s="1"/>
  <c r="K340" i="9"/>
  <c r="L342" i="9"/>
  <c r="D12" i="8"/>
  <c r="K567" i="9"/>
  <c r="L569" i="9"/>
  <c r="I525" i="12" l="1"/>
  <c r="I562" i="12"/>
  <c r="B180" i="9"/>
  <c r="B181" i="9"/>
  <c r="J294" i="9"/>
  <c r="I292" i="9"/>
  <c r="G292" i="9"/>
  <c r="D407" i="9"/>
  <c r="I413" i="12"/>
  <c r="AH413" i="12" s="1"/>
  <c r="AB282" i="12"/>
  <c r="T282" i="12"/>
  <c r="X282" i="12"/>
  <c r="Z282" i="12"/>
  <c r="V282" i="12"/>
  <c r="AH335" i="12"/>
  <c r="J448" i="12"/>
  <c r="AH293" i="12"/>
  <c r="C304" i="9"/>
  <c r="J310" i="12"/>
  <c r="AH215" i="12"/>
  <c r="J18" i="9"/>
  <c r="I18" i="9" s="1"/>
  <c r="I17" i="9"/>
  <c r="I138" i="12"/>
  <c r="D134" i="9"/>
  <c r="V328" i="12"/>
  <c r="AK329" i="12" s="1"/>
  <c r="T328" i="12"/>
  <c r="AI329" i="12" s="1"/>
  <c r="AF329" i="12" s="1"/>
  <c r="AB328" i="12"/>
  <c r="Z328" i="12"/>
  <c r="X328" i="12"/>
  <c r="AD328" i="12"/>
  <c r="AJ329" i="12"/>
  <c r="AM90" i="12"/>
  <c r="AN90" i="12" s="1"/>
  <c r="AK90" i="12"/>
  <c r="AL90" i="12" s="1"/>
  <c r="E421" i="9"/>
  <c r="B533" i="9"/>
  <c r="B532" i="9"/>
  <c r="AH103" i="12"/>
  <c r="G345" i="9"/>
  <c r="I351" i="12" s="1"/>
  <c r="F345" i="9"/>
  <c r="B344" i="9"/>
  <c r="B345" i="9"/>
  <c r="B346" i="9" s="1"/>
  <c r="J254" i="9"/>
  <c r="I252" i="9"/>
  <c r="G252" i="9"/>
  <c r="I337" i="12"/>
  <c r="D331" i="9"/>
  <c r="I257" i="12"/>
  <c r="D251" i="9"/>
  <c r="I450" i="12"/>
  <c r="AH450" i="12" s="1"/>
  <c r="D444" i="9"/>
  <c r="AH137" i="12"/>
  <c r="L181" i="9"/>
  <c r="K179" i="9"/>
  <c r="J447" i="12"/>
  <c r="F62" i="9"/>
  <c r="D62" i="9"/>
  <c r="I136" i="9"/>
  <c r="J138" i="9"/>
  <c r="G136" i="9"/>
  <c r="H18" i="9"/>
  <c r="G17" i="9"/>
  <c r="H529" i="9"/>
  <c r="AH66" i="12"/>
  <c r="J558" i="12"/>
  <c r="J176" i="12"/>
  <c r="J254" i="12"/>
  <c r="K569" i="9"/>
  <c r="L571" i="9"/>
  <c r="H139" i="8"/>
  <c r="AH558" i="12"/>
  <c r="J96" i="8"/>
  <c r="I95" i="8"/>
  <c r="G95" i="8"/>
  <c r="I256" i="12"/>
  <c r="D250" i="9"/>
  <c r="AH176" i="12"/>
  <c r="AI129" i="12"/>
  <c r="AJ129" i="12"/>
  <c r="AK129" i="12"/>
  <c r="AH254" i="12"/>
  <c r="J137" i="12"/>
  <c r="A536" i="12"/>
  <c r="A535" i="12"/>
  <c r="C65" i="9"/>
  <c r="G65" i="9"/>
  <c r="J65" i="9"/>
  <c r="H65" i="9"/>
  <c r="E65" i="9"/>
  <c r="I65" i="9"/>
  <c r="B457" i="9"/>
  <c r="B458" i="9" s="1"/>
  <c r="B456" i="9"/>
  <c r="H98" i="8"/>
  <c r="A497" i="12"/>
  <c r="A496" i="12"/>
  <c r="I524" i="12"/>
  <c r="D524" i="9"/>
  <c r="I560" i="12"/>
  <c r="D563" i="9"/>
  <c r="D421" i="9"/>
  <c r="I427" i="12"/>
  <c r="AH427" i="12" s="1"/>
  <c r="AH104" i="12"/>
  <c r="C410" i="12"/>
  <c r="G409" i="12"/>
  <c r="E409" i="12"/>
  <c r="H409" i="12"/>
  <c r="K337" i="9"/>
  <c r="L339" i="9"/>
  <c r="J412" i="12"/>
  <c r="J45" i="9"/>
  <c r="I44" i="9"/>
  <c r="D44" i="9" s="1"/>
  <c r="T548" i="12"/>
  <c r="AD548" i="12"/>
  <c r="V548" i="12"/>
  <c r="X548" i="12"/>
  <c r="AB548" i="12"/>
  <c r="Z548" i="12"/>
  <c r="I449" i="12"/>
  <c r="AH449" i="12" s="1"/>
  <c r="D443" i="9"/>
  <c r="J568" i="9"/>
  <c r="I566" i="9"/>
  <c r="G566" i="9"/>
  <c r="A269" i="12"/>
  <c r="A268" i="12"/>
  <c r="I526" i="9"/>
  <c r="J528" i="9"/>
  <c r="G526" i="9"/>
  <c r="L451" i="9"/>
  <c r="K449" i="9"/>
  <c r="I106" i="12"/>
  <c r="I105" i="12"/>
  <c r="I67" i="12"/>
  <c r="I68" i="12"/>
  <c r="I33" i="12"/>
  <c r="BI4" i="12"/>
  <c r="AH33" i="12" s="1"/>
  <c r="D16" i="9"/>
  <c r="H220" i="9"/>
  <c r="J523" i="12"/>
  <c r="T512" i="12"/>
  <c r="AB511" i="12"/>
  <c r="X511" i="12"/>
  <c r="V511" i="12"/>
  <c r="Z511" i="12"/>
  <c r="K220" i="9"/>
  <c r="L222" i="9"/>
  <c r="D43" i="9"/>
  <c r="I213" i="9"/>
  <c r="J215" i="9"/>
  <c r="G213" i="9"/>
  <c r="J255" i="9"/>
  <c r="G253" i="9"/>
  <c r="I253" i="9"/>
  <c r="I446" i="9"/>
  <c r="J448" i="9"/>
  <c r="G446" i="9"/>
  <c r="AH255" i="12"/>
  <c r="J335" i="12"/>
  <c r="J376" i="12"/>
  <c r="L532" i="9"/>
  <c r="K530" i="9"/>
  <c r="J447" i="9"/>
  <c r="I445" i="9"/>
  <c r="G445" i="9"/>
  <c r="J293" i="12"/>
  <c r="AI90" i="12"/>
  <c r="T365" i="12"/>
  <c r="Z365" i="12"/>
  <c r="AD365" i="12"/>
  <c r="AB365" i="12"/>
  <c r="X365" i="12"/>
  <c r="V365" i="12"/>
  <c r="J375" i="12"/>
  <c r="AI50" i="12"/>
  <c r="H381" i="9"/>
  <c r="A428" i="12"/>
  <c r="A429" i="12" s="1"/>
  <c r="A427" i="12"/>
  <c r="J336" i="12"/>
  <c r="AH523" i="12"/>
  <c r="H569" i="9"/>
  <c r="H46" i="9"/>
  <c r="I561" i="12"/>
  <c r="D564" i="9"/>
  <c r="AJ90" i="12"/>
  <c r="AF90" i="12"/>
  <c r="D13" i="8"/>
  <c r="AH375" i="12"/>
  <c r="AH336" i="12"/>
  <c r="G446" i="12"/>
  <c r="C447" i="12"/>
  <c r="H446" i="12"/>
  <c r="E446" i="12"/>
  <c r="J522" i="12"/>
  <c r="I333" i="9"/>
  <c r="J335" i="9"/>
  <c r="G333" i="9"/>
  <c r="H146" i="9"/>
  <c r="AH376" i="12"/>
  <c r="I377" i="12"/>
  <c r="D371" i="9"/>
  <c r="N19" i="10"/>
  <c r="O19" i="10"/>
  <c r="L203" i="10"/>
  <c r="J203" i="10" s="1"/>
  <c r="I203" i="10" s="1"/>
  <c r="F203" i="10"/>
  <c r="D203" i="10" s="1"/>
  <c r="C203" i="10" s="1"/>
  <c r="I373" i="9"/>
  <c r="J375" i="9"/>
  <c r="G373" i="9"/>
  <c r="K414" i="9"/>
  <c r="L416" i="9"/>
  <c r="H455" i="9"/>
  <c r="K141" i="9"/>
  <c r="L143" i="9"/>
  <c r="AK50" i="12"/>
  <c r="J559" i="12"/>
  <c r="J136" i="12"/>
  <c r="J65" i="12"/>
  <c r="J32" i="12"/>
  <c r="BD4" i="12"/>
  <c r="F20" i="10"/>
  <c r="E19" i="10"/>
  <c r="AH522" i="12"/>
  <c r="E484" i="12"/>
  <c r="C485" i="12"/>
  <c r="L379" i="9"/>
  <c r="K377" i="9"/>
  <c r="J521" i="12"/>
  <c r="Z248" i="12"/>
  <c r="T248" i="12"/>
  <c r="AF247" i="12"/>
  <c r="T247" i="12" s="1"/>
  <c r="AD248" i="12"/>
  <c r="AB248" i="12"/>
  <c r="X248" i="12"/>
  <c r="V248" i="12"/>
  <c r="K18" i="10"/>
  <c r="D18" i="10" s="1"/>
  <c r="C18" i="10" s="1"/>
  <c r="M18" i="10"/>
  <c r="M203" i="10"/>
  <c r="I525" i="9"/>
  <c r="D525" i="9" s="1"/>
  <c r="J527" i="9"/>
  <c r="G527" i="9" s="1"/>
  <c r="L19" i="8"/>
  <c r="K18" i="8"/>
  <c r="AK207" i="12"/>
  <c r="AJ207" i="12"/>
  <c r="I338" i="12"/>
  <c r="D332" i="9"/>
  <c r="I177" i="12"/>
  <c r="D171" i="9"/>
  <c r="AH559" i="12"/>
  <c r="AH136" i="12"/>
  <c r="T438" i="12"/>
  <c r="V438" i="12"/>
  <c r="AD438" i="12"/>
  <c r="AB438" i="12"/>
  <c r="X438" i="12"/>
  <c r="Z438" i="12"/>
  <c r="B260" i="9"/>
  <c r="B259" i="9"/>
  <c r="I565" i="9"/>
  <c r="D565" i="9" s="1"/>
  <c r="J567" i="9"/>
  <c r="I217" i="12"/>
  <c r="D211" i="9"/>
  <c r="J255" i="12"/>
  <c r="B147" i="9"/>
  <c r="B148" i="9"/>
  <c r="B149" i="9" s="1"/>
  <c r="I14" i="8"/>
  <c r="D14" i="8" s="1"/>
  <c r="J15" i="8"/>
  <c r="G14" i="8"/>
  <c r="I178" i="12"/>
  <c r="D172" i="9"/>
  <c r="J412" i="9"/>
  <c r="G410" i="9"/>
  <c r="I410" i="9"/>
  <c r="H18" i="8"/>
  <c r="I174" i="9"/>
  <c r="J176" i="9"/>
  <c r="G174" i="9"/>
  <c r="J294" i="12"/>
  <c r="J214" i="12"/>
  <c r="I374" i="9"/>
  <c r="J376" i="9"/>
  <c r="G374" i="9"/>
  <c r="J411" i="9"/>
  <c r="I409" i="9"/>
  <c r="G409" i="9"/>
  <c r="B383" i="9"/>
  <c r="B382" i="9"/>
  <c r="AK401" i="12"/>
  <c r="AJ401" i="12"/>
  <c r="AI401" i="12"/>
  <c r="AF401" i="12" s="1"/>
  <c r="J214" i="9"/>
  <c r="I212" i="9"/>
  <c r="G212" i="9"/>
  <c r="A69" i="12"/>
  <c r="A70" i="12"/>
  <c r="K260" i="9"/>
  <c r="L262" i="9"/>
  <c r="AH294" i="12"/>
  <c r="AH214" i="12"/>
  <c r="J175" i="12"/>
  <c r="AH521" i="12"/>
  <c r="AI128" i="12"/>
  <c r="AJ128" i="12"/>
  <c r="AK128" i="12"/>
  <c r="I291" i="9"/>
  <c r="J293" i="9"/>
  <c r="G291" i="9"/>
  <c r="I139" i="12"/>
  <c r="D135" i="9"/>
  <c r="K259" i="9"/>
  <c r="L261" i="9"/>
  <c r="B417" i="9"/>
  <c r="B416" i="9"/>
  <c r="J411" i="12"/>
  <c r="D135" i="8"/>
  <c r="J175" i="9"/>
  <c r="I173" i="9"/>
  <c r="G173" i="9"/>
  <c r="C458" i="9"/>
  <c r="J464" i="12"/>
  <c r="AF165" i="12"/>
  <c r="AB164" i="12"/>
  <c r="Z164" i="12"/>
  <c r="AD164" i="12"/>
  <c r="V164" i="12"/>
  <c r="X164" i="12"/>
  <c r="H262" i="9"/>
  <c r="A459" i="12"/>
  <c r="A460" i="12"/>
  <c r="C386" i="9"/>
  <c r="J392" i="12"/>
  <c r="I296" i="12"/>
  <c r="D290" i="9"/>
  <c r="L53" i="10"/>
  <c r="J54" i="10"/>
  <c r="G53" i="10"/>
  <c r="I53" i="10"/>
  <c r="E238" i="10"/>
  <c r="K238" i="10"/>
  <c r="I378" i="12"/>
  <c r="D372" i="9"/>
  <c r="K295" i="9"/>
  <c r="L297" i="9"/>
  <c r="AI512" i="12"/>
  <c r="AJ512" i="12"/>
  <c r="AK512" i="12"/>
  <c r="I295" i="12"/>
  <c r="D289" i="9"/>
  <c r="G137" i="9"/>
  <c r="I137" i="9"/>
  <c r="J139" i="9"/>
  <c r="K533" i="9"/>
  <c r="L535" i="9"/>
  <c r="K342" i="9"/>
  <c r="L344" i="9"/>
  <c r="I216" i="12"/>
  <c r="D210" i="9"/>
  <c r="K219" i="9"/>
  <c r="L221" i="9"/>
  <c r="I414" i="12"/>
  <c r="AH414" i="12" s="1"/>
  <c r="D408" i="9"/>
  <c r="L139" i="8"/>
  <c r="K138" i="8"/>
  <c r="AI27" i="12"/>
  <c r="AH175" i="12"/>
  <c r="J215" i="12"/>
  <c r="L574" i="9"/>
  <c r="K572" i="9"/>
  <c r="AI207" i="12"/>
  <c r="C186" i="9"/>
  <c r="J192" i="12"/>
  <c r="I334" i="9"/>
  <c r="G334" i="9"/>
  <c r="J336" i="9"/>
  <c r="I136" i="8"/>
  <c r="J137" i="8"/>
  <c r="G136" i="8"/>
  <c r="B219" i="9"/>
  <c r="B220" i="9"/>
  <c r="AH65" i="12"/>
  <c r="K98" i="8"/>
  <c r="L99" i="8"/>
  <c r="J102" i="12" l="1"/>
  <c r="BB4" i="12"/>
  <c r="I527" i="12"/>
  <c r="J562" i="12"/>
  <c r="J525" i="12"/>
  <c r="AH338" i="12"/>
  <c r="I379" i="12"/>
  <c r="D373" i="9"/>
  <c r="J138" i="12"/>
  <c r="AH106" i="12"/>
  <c r="J570" i="9"/>
  <c r="I568" i="9"/>
  <c r="G568" i="9"/>
  <c r="I45" i="9"/>
  <c r="J46" i="9"/>
  <c r="T208" i="12"/>
  <c r="AF207" i="12"/>
  <c r="AD208" i="12"/>
  <c r="Z208" i="12"/>
  <c r="X208" i="12"/>
  <c r="V208" i="12"/>
  <c r="AB208" i="12"/>
  <c r="J216" i="12"/>
  <c r="AH295" i="12"/>
  <c r="A462" i="12"/>
  <c r="A461" i="12"/>
  <c r="B419" i="9"/>
  <c r="B418" i="9"/>
  <c r="J414" i="9"/>
  <c r="G412" i="9"/>
  <c r="I412" i="9"/>
  <c r="J377" i="9"/>
  <c r="I375" i="9"/>
  <c r="G375" i="9"/>
  <c r="AM91" i="12"/>
  <c r="AN91" i="12" s="1"/>
  <c r="AK91" i="12"/>
  <c r="AL91" i="12" s="1"/>
  <c r="J449" i="12"/>
  <c r="A499" i="12"/>
  <c r="A498" i="12"/>
  <c r="D95" i="8"/>
  <c r="J450" i="12"/>
  <c r="AH138" i="12"/>
  <c r="I298" i="12"/>
  <c r="D292" i="9"/>
  <c r="AH378" i="12"/>
  <c r="I416" i="12"/>
  <c r="AH416" i="12" s="1"/>
  <c r="D410" i="9"/>
  <c r="AH216" i="12"/>
  <c r="A71" i="12"/>
  <c r="A72" i="12"/>
  <c r="J178" i="12"/>
  <c r="K379" i="9"/>
  <c r="L381" i="9"/>
  <c r="I259" i="12"/>
  <c r="D253" i="9"/>
  <c r="L453" i="9"/>
  <c r="K451" i="9"/>
  <c r="H99" i="8"/>
  <c r="AF130" i="12"/>
  <c r="AF129" i="12"/>
  <c r="J97" i="8"/>
  <c r="I96" i="8"/>
  <c r="G96" i="8"/>
  <c r="G66" i="9"/>
  <c r="C66" i="9"/>
  <c r="I66" i="9"/>
  <c r="H66" i="9"/>
  <c r="E66" i="9"/>
  <c r="J66" i="9"/>
  <c r="B384" i="9"/>
  <c r="B385" i="9"/>
  <c r="B386" i="9" s="1"/>
  <c r="C486" i="12"/>
  <c r="E485" i="12"/>
  <c r="F21" i="10"/>
  <c r="E20" i="10"/>
  <c r="K143" i="9"/>
  <c r="L145" i="9"/>
  <c r="H447" i="12"/>
  <c r="E447" i="12"/>
  <c r="C448" i="12"/>
  <c r="G447" i="12"/>
  <c r="J257" i="9"/>
  <c r="G255" i="9"/>
  <c r="I255" i="9"/>
  <c r="H222" i="9"/>
  <c r="A537" i="12"/>
  <c r="A538" i="12"/>
  <c r="A539" i="12" s="1"/>
  <c r="J257" i="12"/>
  <c r="J67" i="9"/>
  <c r="C67" i="9"/>
  <c r="G67" i="9"/>
  <c r="I67" i="9"/>
  <c r="H67" i="9"/>
  <c r="E67" i="9"/>
  <c r="I294" i="9"/>
  <c r="J296" i="9"/>
  <c r="G294" i="9"/>
  <c r="T51" i="12"/>
  <c r="AD51" i="12"/>
  <c r="AF50" i="12"/>
  <c r="T50" i="12" s="1"/>
  <c r="AB51" i="12"/>
  <c r="Z51" i="12"/>
  <c r="X51" i="12"/>
  <c r="V51" i="12"/>
  <c r="T92" i="12"/>
  <c r="T91" i="12"/>
  <c r="AJ91" i="12"/>
  <c r="AF91" i="12"/>
  <c r="AB92" i="12"/>
  <c r="X92" i="12"/>
  <c r="Z91" i="12"/>
  <c r="X91" i="12"/>
  <c r="Z92" i="12"/>
  <c r="V91" i="12"/>
  <c r="AD92" i="12"/>
  <c r="AD91" i="12"/>
  <c r="V92" i="12"/>
  <c r="AB91" i="12"/>
  <c r="J138" i="8"/>
  <c r="I137" i="8"/>
  <c r="D137" i="8" s="1"/>
  <c r="G137" i="8"/>
  <c r="V28" i="12"/>
  <c r="T28" i="12"/>
  <c r="X28" i="12"/>
  <c r="AF28" i="12"/>
  <c r="AB28" i="12"/>
  <c r="AD28" i="12"/>
  <c r="Z28" i="12"/>
  <c r="L346" i="9"/>
  <c r="K346" i="9" s="1"/>
  <c r="D346" i="9" s="1"/>
  <c r="K344" i="9"/>
  <c r="I179" i="12"/>
  <c r="D173" i="9"/>
  <c r="K261" i="9"/>
  <c r="L263" i="9"/>
  <c r="AH178" i="12"/>
  <c r="J217" i="12"/>
  <c r="J561" i="12"/>
  <c r="I526" i="12"/>
  <c r="D526" i="9"/>
  <c r="L100" i="8"/>
  <c r="K99" i="8"/>
  <c r="D136" i="8"/>
  <c r="I218" i="12"/>
  <c r="D212" i="9"/>
  <c r="D409" i="9"/>
  <c r="I415" i="12"/>
  <c r="AH415" i="12" s="1"/>
  <c r="I180" i="12"/>
  <c r="D174" i="9"/>
  <c r="AH217" i="12"/>
  <c r="K19" i="8"/>
  <c r="L20" i="8"/>
  <c r="AK248" i="12"/>
  <c r="AJ248" i="12"/>
  <c r="AI248" i="12"/>
  <c r="AF248" i="12" s="1"/>
  <c r="AI249" i="12" s="1"/>
  <c r="H148" i="9"/>
  <c r="AH561" i="12"/>
  <c r="I219" i="12"/>
  <c r="D213" i="9"/>
  <c r="J67" i="12"/>
  <c r="J33" i="12"/>
  <c r="BG4" i="12"/>
  <c r="I528" i="9"/>
  <c r="J530" i="9"/>
  <c r="G528" i="9"/>
  <c r="L341" i="9"/>
  <c r="K339" i="9"/>
  <c r="H531" i="9"/>
  <c r="AH257" i="12"/>
  <c r="AJ166" i="12"/>
  <c r="AK166" i="12"/>
  <c r="AI166" i="12"/>
  <c r="J177" i="9"/>
  <c r="I175" i="9"/>
  <c r="G175" i="9"/>
  <c r="J139" i="12"/>
  <c r="I176" i="9"/>
  <c r="J178" i="9"/>
  <c r="G176" i="9"/>
  <c r="J16" i="8"/>
  <c r="I15" i="8"/>
  <c r="G15" i="8"/>
  <c r="J569" i="9"/>
  <c r="I567" i="9"/>
  <c r="AK439" i="12"/>
  <c r="AI439" i="12"/>
  <c r="AF439" i="12" s="1"/>
  <c r="AJ439" i="12"/>
  <c r="J529" i="9"/>
  <c r="G529" i="9" s="1"/>
  <c r="I527" i="9"/>
  <c r="D527" i="9" s="1"/>
  <c r="AK249" i="12"/>
  <c r="AJ249" i="12"/>
  <c r="O20" i="10"/>
  <c r="N20" i="10"/>
  <c r="L204" i="10"/>
  <c r="J204" i="10" s="1"/>
  <c r="I204" i="10" s="1"/>
  <c r="F204" i="10"/>
  <c r="D204" i="10" s="1"/>
  <c r="C204" i="10" s="1"/>
  <c r="H47" i="9"/>
  <c r="G46" i="9"/>
  <c r="I451" i="12"/>
  <c r="AH451" i="12" s="1"/>
  <c r="D445" i="9"/>
  <c r="G215" i="9"/>
  <c r="I215" i="9"/>
  <c r="J217" i="9"/>
  <c r="J427" i="12"/>
  <c r="I107" i="12"/>
  <c r="I69" i="12"/>
  <c r="I70" i="12"/>
  <c r="I108" i="12"/>
  <c r="I34" i="12"/>
  <c r="BL4" i="12"/>
  <c r="AH34" i="12" s="1"/>
  <c r="D17" i="9"/>
  <c r="J337" i="12"/>
  <c r="B534" i="9"/>
  <c r="B535" i="9"/>
  <c r="AJ283" i="12"/>
  <c r="AI283" i="12"/>
  <c r="AF283" i="12" s="1"/>
  <c r="AK283" i="12"/>
  <c r="B182" i="9"/>
  <c r="B183" i="9"/>
  <c r="AH525" i="12"/>
  <c r="I339" i="12"/>
  <c r="D333" i="9"/>
  <c r="G45" i="9"/>
  <c r="D45" i="9" s="1"/>
  <c r="J560" i="12"/>
  <c r="G18" i="9"/>
  <c r="F18" i="9"/>
  <c r="K181" i="9"/>
  <c r="L183" i="9"/>
  <c r="AH337" i="12"/>
  <c r="I340" i="12"/>
  <c r="D334" i="9"/>
  <c r="L140" i="8"/>
  <c r="K139" i="8"/>
  <c r="AH139" i="12"/>
  <c r="J216" i="9"/>
  <c r="I214" i="9"/>
  <c r="G214" i="9"/>
  <c r="I411" i="9"/>
  <c r="J413" i="9"/>
  <c r="G411" i="9"/>
  <c r="J177" i="12"/>
  <c r="K19" i="10"/>
  <c r="D19" i="10" s="1"/>
  <c r="C19" i="10" s="1"/>
  <c r="M204" i="10"/>
  <c r="M19" i="10"/>
  <c r="I380" i="12"/>
  <c r="D374" i="9"/>
  <c r="J100" i="12"/>
  <c r="AY4" i="12"/>
  <c r="AH68" i="12"/>
  <c r="A271" i="12"/>
  <c r="A272" i="12" s="1"/>
  <c r="A270" i="12"/>
  <c r="AH560" i="12"/>
  <c r="J256" i="12"/>
  <c r="I258" i="12"/>
  <c r="D252" i="9"/>
  <c r="E345" i="9"/>
  <c r="T329" i="12"/>
  <c r="AI330" i="12" s="1"/>
  <c r="AF330" i="12" s="1"/>
  <c r="V329" i="12"/>
  <c r="AK330" i="12" s="1"/>
  <c r="X329" i="12"/>
  <c r="AD329" i="12"/>
  <c r="AB329" i="12"/>
  <c r="Z329" i="12"/>
  <c r="AJ330" i="12"/>
  <c r="J414" i="12"/>
  <c r="J141" i="9"/>
  <c r="G139" i="9"/>
  <c r="I139" i="9"/>
  <c r="L299" i="9"/>
  <c r="K297" i="9"/>
  <c r="J296" i="12"/>
  <c r="I297" i="12"/>
  <c r="D291" i="9"/>
  <c r="AH177" i="12"/>
  <c r="J449" i="9"/>
  <c r="I447" i="9"/>
  <c r="G447" i="9"/>
  <c r="AH296" i="12"/>
  <c r="I293" i="9"/>
  <c r="J295" i="9"/>
  <c r="G293" i="9"/>
  <c r="L264" i="9"/>
  <c r="K264" i="9" s="1"/>
  <c r="D264" i="9" s="1"/>
  <c r="K262" i="9"/>
  <c r="J378" i="9"/>
  <c r="I376" i="9"/>
  <c r="G376" i="9"/>
  <c r="H19" i="8"/>
  <c r="K416" i="9"/>
  <c r="L418" i="9"/>
  <c r="AH377" i="12"/>
  <c r="G569" i="9"/>
  <c r="I566" i="12" s="1"/>
  <c r="H571" i="9"/>
  <c r="I452" i="12"/>
  <c r="AH452" i="12" s="1"/>
  <c r="D446" i="9"/>
  <c r="L224" i="9"/>
  <c r="K224" i="9" s="1"/>
  <c r="D224" i="9" s="1"/>
  <c r="K222" i="9"/>
  <c r="AH67" i="12"/>
  <c r="I563" i="12"/>
  <c r="D566" i="9"/>
  <c r="AI549" i="12"/>
  <c r="AF549" i="12" s="1"/>
  <c r="AK549" i="12"/>
  <c r="AJ549" i="12"/>
  <c r="J524" i="12"/>
  <c r="AH256" i="12"/>
  <c r="H140" i="8"/>
  <c r="I140" i="12"/>
  <c r="D136" i="9"/>
  <c r="AH351" i="12"/>
  <c r="J413" i="12"/>
  <c r="B221" i="9"/>
  <c r="B222" i="9"/>
  <c r="J295" i="12"/>
  <c r="I336" i="9"/>
  <c r="G336" i="9"/>
  <c r="J338" i="9"/>
  <c r="K574" i="9"/>
  <c r="L576" i="9"/>
  <c r="L537" i="9"/>
  <c r="K537" i="9" s="1"/>
  <c r="D537" i="9" s="1"/>
  <c r="K535" i="9"/>
  <c r="AD513" i="12"/>
  <c r="AF512" i="12"/>
  <c r="AJ513" i="12" s="1"/>
  <c r="J55" i="10"/>
  <c r="L54" i="10"/>
  <c r="E239" i="10"/>
  <c r="K239" i="10"/>
  <c r="I54" i="10"/>
  <c r="G54" i="10"/>
  <c r="H457" i="9"/>
  <c r="J377" i="12"/>
  <c r="J337" i="9"/>
  <c r="I335" i="9"/>
  <c r="G335" i="9"/>
  <c r="G567" i="9"/>
  <c r="L223" i="9"/>
  <c r="K221" i="9"/>
  <c r="I141" i="12"/>
  <c r="D137" i="9"/>
  <c r="J378" i="12"/>
  <c r="T401" i="12"/>
  <c r="AD401" i="12"/>
  <c r="V401" i="12"/>
  <c r="AB401" i="12"/>
  <c r="Z401" i="12"/>
  <c r="X401" i="12"/>
  <c r="B262" i="9"/>
  <c r="B261" i="9"/>
  <c r="J338" i="12"/>
  <c r="H383" i="9"/>
  <c r="AJ366" i="12"/>
  <c r="AK366" i="12"/>
  <c r="AI366" i="12"/>
  <c r="AF366" i="12" s="1"/>
  <c r="L534" i="9"/>
  <c r="K532" i="9"/>
  <c r="J450" i="9"/>
  <c r="I448" i="9"/>
  <c r="G448" i="9"/>
  <c r="AH105" i="12"/>
  <c r="F63" i="9"/>
  <c r="D63" i="9"/>
  <c r="H410" i="12"/>
  <c r="G410" i="12"/>
  <c r="C411" i="12"/>
  <c r="E410" i="12"/>
  <c r="AH524" i="12"/>
  <c r="K571" i="9"/>
  <c r="L573" i="9"/>
  <c r="J140" i="9"/>
  <c r="I138" i="9"/>
  <c r="G138" i="9"/>
  <c r="I254" i="9"/>
  <c r="J256" i="9"/>
  <c r="G254" i="9"/>
  <c r="AH562" i="12"/>
  <c r="J527" i="12" l="1"/>
  <c r="I529" i="12"/>
  <c r="AF249" i="12"/>
  <c r="T249" i="12" s="1"/>
  <c r="T250" i="12"/>
  <c r="AD250" i="12"/>
  <c r="AB250" i="12"/>
  <c r="Z250" i="12"/>
  <c r="X250" i="12"/>
  <c r="V250" i="12"/>
  <c r="J140" i="12"/>
  <c r="J297" i="12"/>
  <c r="I413" i="9"/>
  <c r="J415" i="9"/>
  <c r="G413" i="9"/>
  <c r="F17" i="9"/>
  <c r="E18" i="9"/>
  <c r="AH339" i="12"/>
  <c r="AH70" i="12"/>
  <c r="J451" i="12"/>
  <c r="I16" i="8"/>
  <c r="J17" i="8"/>
  <c r="G16" i="8"/>
  <c r="I261" i="12"/>
  <c r="D255" i="9"/>
  <c r="J259" i="12"/>
  <c r="J379" i="12"/>
  <c r="I564" i="12"/>
  <c r="D567" i="9"/>
  <c r="AH140" i="12"/>
  <c r="AH297" i="12"/>
  <c r="AI51" i="12"/>
  <c r="AF51" i="12" s="1"/>
  <c r="AK51" i="12"/>
  <c r="AJ51" i="12"/>
  <c r="J259" i="9"/>
  <c r="I257" i="9"/>
  <c r="G257" i="9"/>
  <c r="C487" i="12"/>
  <c r="E486" i="12"/>
  <c r="AH259" i="12"/>
  <c r="I381" i="12"/>
  <c r="D375" i="9"/>
  <c r="B421" i="9"/>
  <c r="B422" i="9" s="1"/>
  <c r="B420" i="9"/>
  <c r="J572" i="9"/>
  <c r="I570" i="9"/>
  <c r="G570" i="9"/>
  <c r="AH379" i="12"/>
  <c r="J270" i="12"/>
  <c r="J380" i="12"/>
  <c r="K140" i="8"/>
  <c r="L141" i="8"/>
  <c r="I109" i="12"/>
  <c r="I71" i="12"/>
  <c r="I110" i="12"/>
  <c r="I72" i="12"/>
  <c r="I35" i="12"/>
  <c r="BO4" i="12"/>
  <c r="AH35" i="12" s="1"/>
  <c r="D18" i="9"/>
  <c r="B537" i="9"/>
  <c r="B538" i="9" s="1"/>
  <c r="B536" i="9"/>
  <c r="AH69" i="12"/>
  <c r="I182" i="12"/>
  <c r="D176" i="9"/>
  <c r="K573" i="9"/>
  <c r="L575" i="9"/>
  <c r="I341" i="12"/>
  <c r="D335" i="9"/>
  <c r="I338" i="9"/>
  <c r="G338" i="9"/>
  <c r="J340" i="9"/>
  <c r="I299" i="12"/>
  <c r="D293" i="9"/>
  <c r="J258" i="12"/>
  <c r="AH380" i="12"/>
  <c r="I220" i="12"/>
  <c r="D214" i="9"/>
  <c r="J340" i="12"/>
  <c r="AH107" i="12"/>
  <c r="J531" i="9"/>
  <c r="I529" i="9"/>
  <c r="D529" i="9" s="1"/>
  <c r="I178" i="9"/>
  <c r="J180" i="9"/>
  <c r="G178" i="9"/>
  <c r="AK513" i="12"/>
  <c r="C346" i="9"/>
  <c r="J352" i="12"/>
  <c r="J139" i="8"/>
  <c r="I138" i="8"/>
  <c r="D138" i="8" s="1"/>
  <c r="G138" i="8"/>
  <c r="D96" i="8"/>
  <c r="J298" i="12"/>
  <c r="J98" i="8"/>
  <c r="I97" i="8"/>
  <c r="D97" i="8" s="1"/>
  <c r="G97" i="8"/>
  <c r="L383" i="9"/>
  <c r="K381" i="9"/>
  <c r="AH298" i="12"/>
  <c r="A500" i="12"/>
  <c r="A501" i="12"/>
  <c r="A502" i="12" s="1"/>
  <c r="I377" i="9"/>
  <c r="J379" i="9"/>
  <c r="G377" i="9"/>
  <c r="A464" i="12"/>
  <c r="A465" i="12" s="1"/>
  <c r="A463" i="12"/>
  <c r="H48" i="9"/>
  <c r="AI513" i="12"/>
  <c r="AF513" i="12" s="1"/>
  <c r="G148" i="9"/>
  <c r="F148" i="9"/>
  <c r="AM92" i="12"/>
  <c r="AN92" i="12" s="1"/>
  <c r="AK92" i="12"/>
  <c r="AL92" i="12" s="1"/>
  <c r="AK52" i="12"/>
  <c r="AJ52" i="12"/>
  <c r="AI52" i="12"/>
  <c r="H448" i="12"/>
  <c r="C449" i="12"/>
  <c r="G448" i="12"/>
  <c r="E448" i="12"/>
  <c r="T366" i="12"/>
  <c r="AD366" i="12"/>
  <c r="X366" i="12"/>
  <c r="V366" i="12"/>
  <c r="AB366" i="12"/>
  <c r="Z366" i="12"/>
  <c r="J339" i="9"/>
  <c r="I337" i="9"/>
  <c r="G337" i="9"/>
  <c r="L55" i="10"/>
  <c r="E240" i="10"/>
  <c r="K240" i="10"/>
  <c r="G55" i="10"/>
  <c r="J56" i="10"/>
  <c r="I55" i="10"/>
  <c r="H141" i="8"/>
  <c r="J452" i="12"/>
  <c r="J218" i="9"/>
  <c r="I216" i="9"/>
  <c r="G216" i="9"/>
  <c r="T439" i="12"/>
  <c r="X439" i="12"/>
  <c r="V439" i="12"/>
  <c r="AD439" i="12"/>
  <c r="AB439" i="12"/>
  <c r="Z439" i="12"/>
  <c r="L343" i="9"/>
  <c r="K341" i="9"/>
  <c r="J180" i="12"/>
  <c r="I300" i="12"/>
  <c r="D294" i="9"/>
  <c r="T129" i="12"/>
  <c r="AD129" i="12"/>
  <c r="AB129" i="12"/>
  <c r="Z129" i="12"/>
  <c r="X129" i="12"/>
  <c r="V129" i="12"/>
  <c r="K418" i="9"/>
  <c r="L420" i="9"/>
  <c r="I449" i="9"/>
  <c r="J451" i="9"/>
  <c r="G449" i="9"/>
  <c r="B185" i="9"/>
  <c r="B186" i="9" s="1"/>
  <c r="B184" i="9"/>
  <c r="I528" i="12"/>
  <c r="D528" i="9"/>
  <c r="J219" i="12"/>
  <c r="AH180" i="12"/>
  <c r="L101" i="8"/>
  <c r="K100" i="8"/>
  <c r="AI91" i="12"/>
  <c r="J298" i="9"/>
  <c r="I296" i="9"/>
  <c r="G296" i="9"/>
  <c r="T130" i="12"/>
  <c r="AD130" i="12"/>
  <c r="AB130" i="12"/>
  <c r="Z130" i="12"/>
  <c r="X130" i="12"/>
  <c r="V130" i="12"/>
  <c r="T207" i="12"/>
  <c r="AI208" i="12" s="1"/>
  <c r="AF208" i="12" s="1"/>
  <c r="AK208" i="12"/>
  <c r="AJ208" i="12"/>
  <c r="L225" i="9"/>
  <c r="K225" i="9" s="1"/>
  <c r="D225" i="9" s="1"/>
  <c r="K223" i="9"/>
  <c r="L578" i="9"/>
  <c r="K578" i="9" s="1"/>
  <c r="D578" i="9" s="1"/>
  <c r="K576" i="9"/>
  <c r="J142" i="9"/>
  <c r="I140" i="9"/>
  <c r="G140" i="9"/>
  <c r="I450" i="9"/>
  <c r="G450" i="9"/>
  <c r="J452" i="9"/>
  <c r="L536" i="9"/>
  <c r="K534" i="9"/>
  <c r="B263" i="9"/>
  <c r="B264" i="9"/>
  <c r="B265" i="9" s="1"/>
  <c r="I342" i="12"/>
  <c r="D336" i="9"/>
  <c r="C224" i="9"/>
  <c r="J230" i="12"/>
  <c r="I453" i="12"/>
  <c r="AH453" i="12" s="1"/>
  <c r="D447" i="9"/>
  <c r="I530" i="9"/>
  <c r="J532" i="9"/>
  <c r="G530" i="9"/>
  <c r="AH219" i="12"/>
  <c r="J526" i="12"/>
  <c r="L265" i="9"/>
  <c r="K265" i="9" s="1"/>
  <c r="D265" i="9" s="1"/>
  <c r="K263" i="9"/>
  <c r="L147" i="9"/>
  <c r="K145" i="9"/>
  <c r="H100" i="8"/>
  <c r="J416" i="12"/>
  <c r="AI209" i="12"/>
  <c r="AB549" i="12"/>
  <c r="X549" i="12"/>
  <c r="Z549" i="12"/>
  <c r="AD549" i="12"/>
  <c r="T549" i="12"/>
  <c r="V549" i="12"/>
  <c r="I260" i="12"/>
  <c r="D254" i="9"/>
  <c r="C17" i="9"/>
  <c r="J69" i="12"/>
  <c r="J34" i="12"/>
  <c r="BJ4" i="12"/>
  <c r="I256" i="9"/>
  <c r="J258" i="9"/>
  <c r="G256" i="9"/>
  <c r="J141" i="12"/>
  <c r="G457" i="9"/>
  <c r="I463" i="12" s="1"/>
  <c r="AH463" i="12" s="1"/>
  <c r="F457" i="9"/>
  <c r="J104" i="12"/>
  <c r="BE4" i="12"/>
  <c r="J219" i="9"/>
  <c r="G217" i="9"/>
  <c r="I217" i="9"/>
  <c r="O21" i="10"/>
  <c r="L205" i="10"/>
  <c r="J205" i="10" s="1"/>
  <c r="I205" i="10" s="1"/>
  <c r="N21" i="10"/>
  <c r="F205" i="10"/>
  <c r="D205" i="10" s="1"/>
  <c r="C205" i="10" s="1"/>
  <c r="I569" i="9"/>
  <c r="D569" i="9" s="1"/>
  <c r="J571" i="9"/>
  <c r="J415" i="12"/>
  <c r="AH526" i="12"/>
  <c r="I418" i="12"/>
  <c r="AH418" i="12" s="1"/>
  <c r="D412" i="9"/>
  <c r="I46" i="9"/>
  <c r="D46" i="9" s="1"/>
  <c r="J47" i="9"/>
  <c r="AH340" i="12"/>
  <c r="T513" i="12"/>
  <c r="Z512" i="12"/>
  <c r="X512" i="12"/>
  <c r="V512" i="12"/>
  <c r="AB512" i="12"/>
  <c r="J563" i="12"/>
  <c r="H20" i="8"/>
  <c r="L301" i="9"/>
  <c r="K299" i="9"/>
  <c r="I181" i="12"/>
  <c r="D175" i="9"/>
  <c r="I143" i="12"/>
  <c r="D139" i="9"/>
  <c r="L185" i="9"/>
  <c r="K185" i="9" s="1"/>
  <c r="D185" i="9" s="1"/>
  <c r="K183" i="9"/>
  <c r="T283" i="12"/>
  <c r="X283" i="12"/>
  <c r="AB283" i="12"/>
  <c r="Z283" i="12"/>
  <c r="V283" i="12"/>
  <c r="K20" i="8"/>
  <c r="L21" i="8"/>
  <c r="J218" i="12"/>
  <c r="J179" i="12"/>
  <c r="AI28" i="12"/>
  <c r="A73" i="12"/>
  <c r="A74" i="12"/>
  <c r="A75" i="12" s="1"/>
  <c r="G414" i="9"/>
  <c r="J416" i="9"/>
  <c r="I414" i="9"/>
  <c r="F64" i="9"/>
  <c r="D64" i="9"/>
  <c r="AH527" i="12"/>
  <c r="I295" i="9"/>
  <c r="J297" i="9"/>
  <c r="G295" i="9"/>
  <c r="AH258" i="12"/>
  <c r="M20" i="10"/>
  <c r="M205" i="10"/>
  <c r="K20" i="10"/>
  <c r="D20" i="10" s="1"/>
  <c r="C20" i="10" s="1"/>
  <c r="AH563" i="12"/>
  <c r="G571" i="9"/>
  <c r="I568" i="12" s="1"/>
  <c r="H573" i="9"/>
  <c r="I382" i="12"/>
  <c r="D376" i="9"/>
  <c r="H385" i="9"/>
  <c r="AH141" i="12"/>
  <c r="J537" i="12"/>
  <c r="B224" i="9"/>
  <c r="B225" i="9" s="1"/>
  <c r="B223" i="9"/>
  <c r="AH566" i="12"/>
  <c r="J179" i="9"/>
  <c r="I177" i="9"/>
  <c r="G177" i="9"/>
  <c r="I142" i="12"/>
  <c r="D138" i="9"/>
  <c r="C412" i="12"/>
  <c r="H411" i="12"/>
  <c r="G411" i="12"/>
  <c r="E411" i="12"/>
  <c r="I454" i="12"/>
  <c r="AH454" i="12" s="1"/>
  <c r="D448" i="9"/>
  <c r="AK402" i="12"/>
  <c r="AI402" i="12"/>
  <c r="AF402" i="12" s="1"/>
  <c r="AJ402" i="12"/>
  <c r="I378" i="9"/>
  <c r="J380" i="9"/>
  <c r="G378" i="9"/>
  <c r="I141" i="9"/>
  <c r="G141" i="9"/>
  <c r="J143" i="9"/>
  <c r="V330" i="12"/>
  <c r="AK331" i="12" s="1"/>
  <c r="T330" i="12"/>
  <c r="AI331" i="12" s="1"/>
  <c r="AF331" i="12" s="1"/>
  <c r="AD330" i="12"/>
  <c r="AB330" i="12"/>
  <c r="Z330" i="12"/>
  <c r="X330" i="12"/>
  <c r="AJ331" i="12"/>
  <c r="D411" i="9"/>
  <c r="I417" i="12"/>
  <c r="AH417" i="12" s="1"/>
  <c r="J339" i="12"/>
  <c r="AH108" i="12"/>
  <c r="I221" i="12"/>
  <c r="D215" i="9"/>
  <c r="D15" i="8"/>
  <c r="T167" i="12"/>
  <c r="AF166" i="12"/>
  <c r="T166" i="12" s="1"/>
  <c r="Z165" i="12"/>
  <c r="AD165" i="12"/>
  <c r="V165" i="12"/>
  <c r="X165" i="12"/>
  <c r="AB165" i="12"/>
  <c r="H533" i="9"/>
  <c r="G531" i="9"/>
  <c r="AH218" i="12"/>
  <c r="AH179" i="12"/>
  <c r="F22" i="10"/>
  <c r="E21" i="10"/>
  <c r="K453" i="9"/>
  <c r="L455" i="9"/>
  <c r="I565" i="12"/>
  <c r="D568" i="9"/>
  <c r="J529" i="12" l="1"/>
  <c r="J566" i="12"/>
  <c r="J106" i="12"/>
  <c r="BH4" i="12"/>
  <c r="J142" i="12"/>
  <c r="J565" i="12"/>
  <c r="I297" i="9"/>
  <c r="J299" i="9"/>
  <c r="G297" i="9"/>
  <c r="I420" i="12"/>
  <c r="AH420" i="12" s="1"/>
  <c r="D414" i="9"/>
  <c r="C185" i="9"/>
  <c r="J191" i="12"/>
  <c r="O22" i="10"/>
  <c r="N22" i="10"/>
  <c r="L206" i="10"/>
  <c r="J206" i="10" s="1"/>
  <c r="I206" i="10" s="1"/>
  <c r="F206" i="10"/>
  <c r="D206" i="10" s="1"/>
  <c r="C206" i="10" s="1"/>
  <c r="E457" i="9"/>
  <c r="C265" i="9"/>
  <c r="J271" i="12"/>
  <c r="J453" i="12"/>
  <c r="L345" i="9"/>
  <c r="K345" i="9" s="1"/>
  <c r="D345" i="9" s="1"/>
  <c r="K343" i="9"/>
  <c r="J220" i="12"/>
  <c r="J182" i="12"/>
  <c r="C264" i="9"/>
  <c r="J381" i="12"/>
  <c r="I263" i="12"/>
  <c r="D257" i="9"/>
  <c r="F16" i="9"/>
  <c r="E17" i="9"/>
  <c r="J143" i="12"/>
  <c r="H21" i="8"/>
  <c r="C225" i="9"/>
  <c r="J231" i="12"/>
  <c r="AI130" i="12"/>
  <c r="AJ130" i="12"/>
  <c r="AK130" i="12"/>
  <c r="I218" i="9"/>
  <c r="J220" i="9"/>
  <c r="G218" i="9"/>
  <c r="AJ367" i="12"/>
  <c r="AK367" i="12"/>
  <c r="AI367" i="12"/>
  <c r="AF367" i="12" s="1"/>
  <c r="AH220" i="12"/>
  <c r="AH182" i="12"/>
  <c r="AH72" i="12"/>
  <c r="AH381" i="12"/>
  <c r="AH565" i="12"/>
  <c r="G385" i="9"/>
  <c r="I391" i="12" s="1"/>
  <c r="F385" i="9"/>
  <c r="L22" i="8"/>
  <c r="K21" i="8"/>
  <c r="AF209" i="12"/>
  <c r="T210" i="12"/>
  <c r="AD210" i="12"/>
  <c r="AB210" i="12"/>
  <c r="Z210" i="12"/>
  <c r="X210" i="12"/>
  <c r="V210" i="12"/>
  <c r="L102" i="8"/>
  <c r="K101" i="8"/>
  <c r="I380" i="9"/>
  <c r="G380" i="9"/>
  <c r="J382" i="9"/>
  <c r="AH143" i="12"/>
  <c r="I223" i="12"/>
  <c r="D217" i="9"/>
  <c r="J454" i="9"/>
  <c r="I452" i="9"/>
  <c r="G452" i="9"/>
  <c r="I383" i="12"/>
  <c r="D377" i="9"/>
  <c r="L385" i="9"/>
  <c r="K385" i="9" s="1"/>
  <c r="K383" i="9"/>
  <c r="J533" i="9"/>
  <c r="I531" i="9"/>
  <c r="J342" i="9"/>
  <c r="I340" i="9"/>
  <c r="G340" i="9"/>
  <c r="AH110" i="12"/>
  <c r="I259" i="9"/>
  <c r="J261" i="9"/>
  <c r="G259" i="9"/>
  <c r="D413" i="9"/>
  <c r="I419" i="12"/>
  <c r="AH419" i="12" s="1"/>
  <c r="AJ251" i="12"/>
  <c r="J382" i="12"/>
  <c r="J48" i="9"/>
  <c r="I48" i="9" s="1"/>
  <c r="I47" i="9"/>
  <c r="J221" i="9"/>
  <c r="G219" i="9"/>
  <c r="I219" i="9"/>
  <c r="J260" i="12"/>
  <c r="I456" i="12"/>
  <c r="AH456" i="12" s="1"/>
  <c r="D450" i="9"/>
  <c r="I343" i="12"/>
  <c r="D337" i="9"/>
  <c r="E148" i="9"/>
  <c r="I379" i="9"/>
  <c r="J381" i="9"/>
  <c r="G379" i="9"/>
  <c r="J140" i="8"/>
  <c r="I139" i="8"/>
  <c r="G139" i="8"/>
  <c r="I344" i="12"/>
  <c r="D338" i="9"/>
  <c r="AH71" i="12"/>
  <c r="I415" i="9"/>
  <c r="J417" i="9"/>
  <c r="G415" i="9"/>
  <c r="AK250" i="12"/>
  <c r="AJ250" i="12"/>
  <c r="AI250" i="12"/>
  <c r="AF250" i="12" s="1"/>
  <c r="AI251" i="12" s="1"/>
  <c r="C413" i="12"/>
  <c r="H412" i="12"/>
  <c r="G412" i="12"/>
  <c r="E412" i="12"/>
  <c r="AK167" i="12"/>
  <c r="AI167" i="12"/>
  <c r="AJ167" i="12"/>
  <c r="AH382" i="12"/>
  <c r="D65" i="9"/>
  <c r="F65" i="9"/>
  <c r="I262" i="12"/>
  <c r="D256" i="9"/>
  <c r="AH260" i="12"/>
  <c r="H101" i="8"/>
  <c r="J342" i="12"/>
  <c r="AI131" i="12"/>
  <c r="AJ131" i="12"/>
  <c r="AK131" i="12"/>
  <c r="J300" i="12"/>
  <c r="I152" i="12"/>
  <c r="D148" i="9"/>
  <c r="AH109" i="12"/>
  <c r="J261" i="12"/>
  <c r="H575" i="9"/>
  <c r="J181" i="12"/>
  <c r="J418" i="12"/>
  <c r="J573" i="9"/>
  <c r="I571" i="9"/>
  <c r="D571" i="9" s="1"/>
  <c r="I258" i="9"/>
  <c r="J260" i="9"/>
  <c r="G258" i="9"/>
  <c r="AH342" i="12"/>
  <c r="I144" i="12"/>
  <c r="D140" i="9"/>
  <c r="AJ209" i="12"/>
  <c r="AK209" i="12"/>
  <c r="I455" i="12"/>
  <c r="AH455" i="12" s="1"/>
  <c r="D449" i="9"/>
  <c r="AH300" i="12"/>
  <c r="I339" i="9"/>
  <c r="J341" i="9"/>
  <c r="G339" i="9"/>
  <c r="E449" i="12"/>
  <c r="G449" i="12"/>
  <c r="C450" i="12"/>
  <c r="H449" i="12"/>
  <c r="T514" i="12"/>
  <c r="AB513" i="12"/>
  <c r="Z513" i="12"/>
  <c r="X513" i="12"/>
  <c r="V513" i="12"/>
  <c r="J99" i="8"/>
  <c r="I98" i="8"/>
  <c r="G98" i="8"/>
  <c r="J341" i="12"/>
  <c r="K141" i="8"/>
  <c r="L142" i="8"/>
  <c r="I567" i="12"/>
  <c r="D570" i="9"/>
  <c r="AH261" i="12"/>
  <c r="F23" i="10"/>
  <c r="E22" i="10"/>
  <c r="X331" i="12"/>
  <c r="T331" i="12"/>
  <c r="AI332" i="12" s="1"/>
  <c r="AF332" i="12" s="1"/>
  <c r="V331" i="12"/>
  <c r="AK332" i="12" s="1"/>
  <c r="AD331" i="12"/>
  <c r="AB331" i="12"/>
  <c r="Z331" i="12"/>
  <c r="AJ332" i="12"/>
  <c r="T402" i="12"/>
  <c r="V402" i="12"/>
  <c r="AD402" i="12"/>
  <c r="AB402" i="12"/>
  <c r="Z402" i="12"/>
  <c r="X402" i="12"/>
  <c r="I183" i="12"/>
  <c r="D177" i="9"/>
  <c r="AH568" i="12"/>
  <c r="AF29" i="12"/>
  <c r="X29" i="12"/>
  <c r="Z29" i="12"/>
  <c r="AB29" i="12"/>
  <c r="AD29" i="12"/>
  <c r="T29" i="12"/>
  <c r="V29" i="12"/>
  <c r="AH181" i="12"/>
  <c r="AI550" i="12"/>
  <c r="AF550" i="12" s="1"/>
  <c r="AJ550" i="12"/>
  <c r="AK550" i="12"/>
  <c r="I302" i="12"/>
  <c r="D296" i="9"/>
  <c r="J453" i="9"/>
  <c r="I451" i="9"/>
  <c r="G451" i="9"/>
  <c r="H142" i="8"/>
  <c r="AH341" i="12"/>
  <c r="J564" i="12"/>
  <c r="I384" i="12"/>
  <c r="D378" i="9"/>
  <c r="K455" i="9"/>
  <c r="L457" i="9"/>
  <c r="K457" i="9" s="1"/>
  <c r="D457" i="9" s="1"/>
  <c r="AH142" i="12"/>
  <c r="I531" i="12"/>
  <c r="D531" i="9"/>
  <c r="J221" i="12"/>
  <c r="L149" i="9"/>
  <c r="K149" i="9" s="1"/>
  <c r="D149" i="9" s="1"/>
  <c r="K147" i="9"/>
  <c r="I530" i="12"/>
  <c r="D530" i="9"/>
  <c r="J144" i="9"/>
  <c r="I142" i="9"/>
  <c r="G142" i="9"/>
  <c r="AK440" i="12"/>
  <c r="AJ440" i="12"/>
  <c r="AI440" i="12"/>
  <c r="AF440" i="12" s="1"/>
  <c r="T53" i="12"/>
  <c r="AF52" i="12"/>
  <c r="T52" i="12" s="1"/>
  <c r="Z53" i="12"/>
  <c r="X53" i="12"/>
  <c r="V53" i="12"/>
  <c r="AD53" i="12"/>
  <c r="AB53" i="12"/>
  <c r="G47" i="9"/>
  <c r="D47" i="9" s="1"/>
  <c r="J574" i="9"/>
  <c r="I572" i="9"/>
  <c r="G572" i="9"/>
  <c r="AH564" i="12"/>
  <c r="I17" i="8"/>
  <c r="D17" i="8" s="1"/>
  <c r="J18" i="8"/>
  <c r="G17" i="8"/>
  <c r="AH529" i="12"/>
  <c r="J417" i="12"/>
  <c r="H535" i="9"/>
  <c r="G533" i="9"/>
  <c r="AH221" i="12"/>
  <c r="G143" i="9"/>
  <c r="I143" i="9"/>
  <c r="J145" i="9"/>
  <c r="J454" i="12"/>
  <c r="I179" i="9"/>
  <c r="J181" i="9"/>
  <c r="G179" i="9"/>
  <c r="AJ284" i="12"/>
  <c r="AK284" i="12"/>
  <c r="AI284" i="12"/>
  <c r="AI514" i="12"/>
  <c r="AJ514" i="12"/>
  <c r="AK514" i="12"/>
  <c r="K21" i="10"/>
  <c r="D21" i="10" s="1"/>
  <c r="C21" i="10" s="1"/>
  <c r="M21" i="10"/>
  <c r="M206" i="10"/>
  <c r="I532" i="9"/>
  <c r="G532" i="9"/>
  <c r="J534" i="9"/>
  <c r="I298" i="9"/>
  <c r="J300" i="9"/>
  <c r="G298" i="9"/>
  <c r="J528" i="12"/>
  <c r="J57" i="10"/>
  <c r="L56" i="10"/>
  <c r="I56" i="10"/>
  <c r="E241" i="10"/>
  <c r="K241" i="10"/>
  <c r="G56" i="10"/>
  <c r="G48" i="9"/>
  <c r="D48" i="9" s="1"/>
  <c r="F48" i="9"/>
  <c r="I184" i="12"/>
  <c r="D178" i="9"/>
  <c r="J299" i="12"/>
  <c r="K575" i="9"/>
  <c r="L577" i="9"/>
  <c r="K577" i="9" s="1"/>
  <c r="D577" i="9" s="1"/>
  <c r="C18" i="9"/>
  <c r="J71" i="12"/>
  <c r="J35" i="12"/>
  <c r="BM4" i="12"/>
  <c r="D16" i="8"/>
  <c r="I145" i="12"/>
  <c r="D141" i="9"/>
  <c r="I301" i="12"/>
  <c r="D295" i="9"/>
  <c r="G416" i="9"/>
  <c r="J418" i="9"/>
  <c r="I416" i="9"/>
  <c r="L303" i="9"/>
  <c r="K303" i="9" s="1"/>
  <c r="D303" i="9" s="1"/>
  <c r="K301" i="9"/>
  <c r="K536" i="9"/>
  <c r="L538" i="9"/>
  <c r="K538" i="9" s="1"/>
  <c r="D538" i="9" s="1"/>
  <c r="C578" i="9"/>
  <c r="J575" i="12"/>
  <c r="AF92" i="12"/>
  <c r="AJ92" i="12"/>
  <c r="AH528" i="12"/>
  <c r="K420" i="9"/>
  <c r="L422" i="9"/>
  <c r="K422" i="9" s="1"/>
  <c r="D422" i="9" s="1"/>
  <c r="I222" i="12"/>
  <c r="D216" i="9"/>
  <c r="G180" i="9"/>
  <c r="I180" i="9"/>
  <c r="J182" i="9"/>
  <c r="AH299" i="12"/>
  <c r="C488" i="12"/>
  <c r="E487" i="12"/>
  <c r="T252" i="12" l="1"/>
  <c r="AF251" i="12"/>
  <c r="T251" i="12" s="1"/>
  <c r="Z252" i="12"/>
  <c r="X252" i="12"/>
  <c r="V252" i="12"/>
  <c r="AD252" i="12"/>
  <c r="AB252" i="12"/>
  <c r="C489" i="12"/>
  <c r="E488" i="12"/>
  <c r="J184" i="9"/>
  <c r="G182" i="9"/>
  <c r="I182" i="9"/>
  <c r="AF514" i="12"/>
  <c r="AD515" i="12"/>
  <c r="H143" i="8"/>
  <c r="J100" i="8"/>
  <c r="I99" i="8"/>
  <c r="G99" i="8"/>
  <c r="I345" i="12"/>
  <c r="D339" i="9"/>
  <c r="G575" i="9"/>
  <c r="I572" i="12" s="1"/>
  <c r="J383" i="9"/>
  <c r="I381" i="9"/>
  <c r="G381" i="9"/>
  <c r="J383" i="12"/>
  <c r="L103" i="8"/>
  <c r="K102" i="8"/>
  <c r="E385" i="9"/>
  <c r="C303" i="9"/>
  <c r="J309" i="12"/>
  <c r="J147" i="9"/>
  <c r="G145" i="9"/>
  <c r="I145" i="9"/>
  <c r="I144" i="9"/>
  <c r="J146" i="9"/>
  <c r="G144" i="9"/>
  <c r="I457" i="12"/>
  <c r="AH457" i="12" s="1"/>
  <c r="D451" i="9"/>
  <c r="I341" i="9"/>
  <c r="J343" i="9"/>
  <c r="G341" i="9"/>
  <c r="J144" i="12"/>
  <c r="C148" i="9"/>
  <c r="J152" i="12"/>
  <c r="AK251" i="12"/>
  <c r="AH383" i="12"/>
  <c r="AH391" i="12"/>
  <c r="E16" i="9"/>
  <c r="F15" i="9"/>
  <c r="C15" i="9" s="1"/>
  <c r="J420" i="12"/>
  <c r="I186" i="12"/>
  <c r="D180" i="9"/>
  <c r="J536" i="9"/>
  <c r="I534" i="9"/>
  <c r="G534" i="9"/>
  <c r="AF284" i="12"/>
  <c r="AD285" i="12"/>
  <c r="J530" i="12"/>
  <c r="AK403" i="12"/>
  <c r="AJ403" i="12"/>
  <c r="AI403" i="12"/>
  <c r="AF403" i="12" s="1"/>
  <c r="J567" i="12"/>
  <c r="AH144" i="12"/>
  <c r="AH152" i="12"/>
  <c r="H102" i="8"/>
  <c r="H413" i="12"/>
  <c r="G413" i="12"/>
  <c r="C414" i="12"/>
  <c r="E413" i="12"/>
  <c r="I346" i="12"/>
  <c r="D340" i="9"/>
  <c r="I458" i="12"/>
  <c r="AH458" i="12" s="1"/>
  <c r="D452" i="9"/>
  <c r="J184" i="12"/>
  <c r="L57" i="10"/>
  <c r="J58" i="10"/>
  <c r="E242" i="10"/>
  <c r="K242" i="10"/>
  <c r="G57" i="10"/>
  <c r="I57" i="10"/>
  <c r="I532" i="12"/>
  <c r="D532" i="9"/>
  <c r="I147" i="12"/>
  <c r="D143" i="9"/>
  <c r="I569" i="12"/>
  <c r="D572" i="9"/>
  <c r="AI53" i="12"/>
  <c r="AF53" i="12" s="1"/>
  <c r="AJ54" i="12" s="1"/>
  <c r="AJ53" i="12"/>
  <c r="AK53" i="12"/>
  <c r="AH530" i="12"/>
  <c r="I453" i="9"/>
  <c r="J455" i="9"/>
  <c r="G453" i="9"/>
  <c r="F24" i="10"/>
  <c r="E23" i="10"/>
  <c r="AH567" i="12"/>
  <c r="J568" i="12"/>
  <c r="I225" i="12"/>
  <c r="D219" i="9"/>
  <c r="J419" i="12"/>
  <c r="T367" i="12"/>
  <c r="V367" i="12"/>
  <c r="AD367" i="12"/>
  <c r="AB367" i="12"/>
  <c r="Z367" i="12"/>
  <c r="X367" i="12"/>
  <c r="I303" i="12"/>
  <c r="D297" i="9"/>
  <c r="J222" i="12"/>
  <c r="AK93" i="12"/>
  <c r="AL93" i="12" s="1"/>
  <c r="AM93" i="12"/>
  <c r="AN93" i="12" s="1"/>
  <c r="AI92" i="12"/>
  <c r="G418" i="9"/>
  <c r="I418" i="9"/>
  <c r="J420" i="9"/>
  <c r="AH184" i="12"/>
  <c r="AI54" i="12"/>
  <c r="AK54" i="12"/>
  <c r="C457" i="9"/>
  <c r="J463" i="12"/>
  <c r="J302" i="12"/>
  <c r="L143" i="8"/>
  <c r="K142" i="8"/>
  <c r="I573" i="9"/>
  <c r="J575" i="9"/>
  <c r="I575" i="9" s="1"/>
  <c r="J344" i="12"/>
  <c r="J223" i="9"/>
  <c r="I221" i="9"/>
  <c r="G221" i="9"/>
  <c r="I265" i="12"/>
  <c r="D259" i="9"/>
  <c r="I342" i="9"/>
  <c r="J344" i="9"/>
  <c r="G342" i="9"/>
  <c r="J456" i="9"/>
  <c r="I454" i="9"/>
  <c r="G454" i="9"/>
  <c r="J263" i="12"/>
  <c r="J301" i="9"/>
  <c r="I299" i="9"/>
  <c r="G299" i="9"/>
  <c r="I422" i="12"/>
  <c r="AH422" i="12" s="1"/>
  <c r="D416" i="9"/>
  <c r="I574" i="9"/>
  <c r="J576" i="9"/>
  <c r="G574" i="9"/>
  <c r="T440" i="12"/>
  <c r="V440" i="12"/>
  <c r="AD440" i="12"/>
  <c r="AB440" i="12"/>
  <c r="Z440" i="12"/>
  <c r="X440" i="12"/>
  <c r="C149" i="9"/>
  <c r="J153" i="12"/>
  <c r="AH302" i="12"/>
  <c r="AI29" i="12"/>
  <c r="J183" i="12"/>
  <c r="AK515" i="12"/>
  <c r="AI515" i="12"/>
  <c r="AF515" i="12" s="1"/>
  <c r="AJ515" i="12"/>
  <c r="AH344" i="12"/>
  <c r="J343" i="12"/>
  <c r="F66" i="9"/>
  <c r="D66" i="9"/>
  <c r="J263" i="9"/>
  <c r="I261" i="9"/>
  <c r="G261" i="9"/>
  <c r="H22" i="8"/>
  <c r="AH263" i="12"/>
  <c r="C345" i="9"/>
  <c r="J351" i="12"/>
  <c r="AH222" i="12"/>
  <c r="J301" i="12"/>
  <c r="E48" i="9"/>
  <c r="F47" i="9"/>
  <c r="I185" i="12"/>
  <c r="D179" i="9"/>
  <c r="J384" i="12"/>
  <c r="AH183" i="12"/>
  <c r="AF167" i="12"/>
  <c r="Z166" i="12"/>
  <c r="AD166" i="12"/>
  <c r="V166" i="12"/>
  <c r="X166" i="12"/>
  <c r="AB166" i="12"/>
  <c r="D415" i="9"/>
  <c r="I421" i="12"/>
  <c r="AH421" i="12" s="1"/>
  <c r="AH343" i="12"/>
  <c r="D67" i="9"/>
  <c r="F67" i="9"/>
  <c r="I533" i="9"/>
  <c r="J535" i="9"/>
  <c r="I535" i="9" s="1"/>
  <c r="J384" i="9"/>
  <c r="I382" i="9"/>
  <c r="G382" i="9"/>
  <c r="I224" i="12"/>
  <c r="D218" i="9"/>
  <c r="C422" i="9"/>
  <c r="J428" i="12"/>
  <c r="C421" i="9"/>
  <c r="C538" i="9"/>
  <c r="J538" i="12"/>
  <c r="C537" i="9"/>
  <c r="AH301" i="12"/>
  <c r="C48" i="9"/>
  <c r="J110" i="12"/>
  <c r="BN4" i="12"/>
  <c r="I304" i="12"/>
  <c r="D298" i="9"/>
  <c r="J183" i="9"/>
  <c r="I181" i="9"/>
  <c r="G181" i="9"/>
  <c r="J19" i="8"/>
  <c r="I18" i="8"/>
  <c r="D18" i="8" s="1"/>
  <c r="G18" i="8"/>
  <c r="J108" i="12"/>
  <c r="BK4" i="12"/>
  <c r="AH384" i="12"/>
  <c r="G450" i="12"/>
  <c r="E450" i="12"/>
  <c r="H450" i="12"/>
  <c r="C451" i="12"/>
  <c r="J455" i="12"/>
  <c r="I264" i="12"/>
  <c r="D258" i="9"/>
  <c r="J262" i="12"/>
  <c r="I417" i="9"/>
  <c r="J419" i="9"/>
  <c r="G417" i="9"/>
  <c r="D139" i="8"/>
  <c r="J456" i="12"/>
  <c r="I386" i="12"/>
  <c r="D380" i="9"/>
  <c r="T209" i="12"/>
  <c r="AI210" i="12" s="1"/>
  <c r="AF210" i="12" s="1"/>
  <c r="AK210" i="12"/>
  <c r="AJ210" i="12"/>
  <c r="I220" i="9"/>
  <c r="J222" i="9"/>
  <c r="G220" i="9"/>
  <c r="K22" i="10"/>
  <c r="D22" i="10" s="1"/>
  <c r="C22" i="10" s="1"/>
  <c r="M22" i="10"/>
  <c r="M207" i="10"/>
  <c r="J145" i="12"/>
  <c r="J302" i="9"/>
  <c r="I300" i="9"/>
  <c r="G300" i="9"/>
  <c r="I533" i="12"/>
  <c r="D533" i="9"/>
  <c r="J531" i="12"/>
  <c r="T332" i="12"/>
  <c r="AI333" i="12" s="1"/>
  <c r="AF333" i="12" s="1"/>
  <c r="V332" i="12"/>
  <c r="AK333" i="12" s="1"/>
  <c r="AD332" i="12"/>
  <c r="AB332" i="12"/>
  <c r="Z332" i="12"/>
  <c r="X332" i="12"/>
  <c r="AJ333" i="12"/>
  <c r="J262" i="9"/>
  <c r="I260" i="9"/>
  <c r="G260" i="9"/>
  <c r="AF131" i="12"/>
  <c r="AF132" i="12"/>
  <c r="AH262" i="12"/>
  <c r="J141" i="8"/>
  <c r="I140" i="8"/>
  <c r="D140" i="8" s="1"/>
  <c r="G140" i="8"/>
  <c r="J223" i="12"/>
  <c r="O23" i="10"/>
  <c r="N23" i="10"/>
  <c r="F207" i="10"/>
  <c r="D207" i="10" s="1"/>
  <c r="C207" i="10" s="1"/>
  <c r="L207" i="10"/>
  <c r="J207" i="10" s="1"/>
  <c r="I207" i="10" s="1"/>
  <c r="AH145" i="12"/>
  <c r="C577" i="9"/>
  <c r="J574" i="12"/>
  <c r="I146" i="12"/>
  <c r="D142" i="9"/>
  <c r="AH531" i="12"/>
  <c r="AD550" i="12"/>
  <c r="T550" i="12"/>
  <c r="V550" i="12"/>
  <c r="Z550" i="12"/>
  <c r="AB550" i="12"/>
  <c r="X550" i="12"/>
  <c r="D98" i="8"/>
  <c r="G573" i="9"/>
  <c r="I385" i="12"/>
  <c r="D379" i="9"/>
  <c r="D385" i="9"/>
  <c r="AH223" i="12"/>
  <c r="L23" i="8"/>
  <c r="K22" i="8"/>
  <c r="C16" i="9"/>
  <c r="G535" i="9" l="1"/>
  <c r="I266" i="12"/>
  <c r="D260" i="9"/>
  <c r="V333" i="12"/>
  <c r="AK334" i="12" s="1"/>
  <c r="X333" i="12"/>
  <c r="T333" i="12"/>
  <c r="AI334" i="12" s="1"/>
  <c r="AF334" i="12" s="1"/>
  <c r="AD333" i="12"/>
  <c r="AB333" i="12"/>
  <c r="Z333" i="12"/>
  <c r="AJ334" i="12"/>
  <c r="I419" i="9"/>
  <c r="G419" i="9"/>
  <c r="J185" i="12"/>
  <c r="I267" i="12"/>
  <c r="D261" i="9"/>
  <c r="I348" i="12"/>
  <c r="D342" i="9"/>
  <c r="AH532" i="12"/>
  <c r="I534" i="12"/>
  <c r="D534" i="9"/>
  <c r="I343" i="9"/>
  <c r="G343" i="9"/>
  <c r="G147" i="9"/>
  <c r="I147" i="9"/>
  <c r="F147" i="9"/>
  <c r="L104" i="8"/>
  <c r="K103" i="8"/>
  <c r="AH345" i="12"/>
  <c r="C385" i="9"/>
  <c r="J391" i="12"/>
  <c r="J224" i="12"/>
  <c r="AH185" i="12"/>
  <c r="I305" i="12"/>
  <c r="D299" i="9"/>
  <c r="G344" i="9"/>
  <c r="I344" i="9"/>
  <c r="F344" i="9"/>
  <c r="T55" i="12"/>
  <c r="AF54" i="12"/>
  <c r="T54" i="12" s="1"/>
  <c r="AB55" i="12"/>
  <c r="AD55" i="12"/>
  <c r="Z55" i="12"/>
  <c r="X55" i="12"/>
  <c r="V55" i="12"/>
  <c r="AJ368" i="12"/>
  <c r="AK368" i="12"/>
  <c r="AI368" i="12"/>
  <c r="AF368" i="12" s="1"/>
  <c r="H103" i="8"/>
  <c r="E15" i="9"/>
  <c r="F14" i="9"/>
  <c r="C14" i="9"/>
  <c r="I188" i="12"/>
  <c r="D182" i="9"/>
  <c r="J385" i="12"/>
  <c r="I141" i="8"/>
  <c r="J142" i="8"/>
  <c r="G141" i="8"/>
  <c r="I262" i="9"/>
  <c r="G262" i="9"/>
  <c r="J20" i="8"/>
  <c r="I19" i="8"/>
  <c r="G19" i="8"/>
  <c r="AH224" i="12"/>
  <c r="AI168" i="12"/>
  <c r="AJ168" i="12"/>
  <c r="AK168" i="12"/>
  <c r="I263" i="9"/>
  <c r="G263" i="9"/>
  <c r="F263" i="9"/>
  <c r="AJ441" i="12"/>
  <c r="AK441" i="12"/>
  <c r="AI441" i="12"/>
  <c r="AF441" i="12" s="1"/>
  <c r="I536" i="9"/>
  <c r="G536" i="9"/>
  <c r="F536" i="9"/>
  <c r="J457" i="12"/>
  <c r="D99" i="8"/>
  <c r="G184" i="9"/>
  <c r="I184" i="9"/>
  <c r="F184" i="9"/>
  <c r="AI551" i="12"/>
  <c r="AF551" i="12" s="1"/>
  <c r="AJ551" i="12"/>
  <c r="AK551" i="12"/>
  <c r="AH385" i="12"/>
  <c r="K23" i="10"/>
  <c r="D23" i="10" s="1"/>
  <c r="C23" i="10" s="1"/>
  <c r="M23" i="10"/>
  <c r="M208" i="10"/>
  <c r="AK211" i="12"/>
  <c r="AJ211" i="12"/>
  <c r="I187" i="12"/>
  <c r="D181" i="9"/>
  <c r="AI211" i="12"/>
  <c r="E47" i="9"/>
  <c r="F46" i="9"/>
  <c r="I571" i="12"/>
  <c r="D574" i="9"/>
  <c r="I301" i="9"/>
  <c r="G301" i="9"/>
  <c r="J265" i="12"/>
  <c r="K143" i="8"/>
  <c r="L144" i="8"/>
  <c r="J458" i="12"/>
  <c r="T403" i="12"/>
  <c r="AB403" i="12"/>
  <c r="AD403" i="12"/>
  <c r="Z403" i="12"/>
  <c r="X403" i="12"/>
  <c r="V403" i="12"/>
  <c r="J186" i="12"/>
  <c r="I387" i="12"/>
  <c r="D381" i="9"/>
  <c r="I100" i="8"/>
  <c r="J101" i="8"/>
  <c r="G100" i="8"/>
  <c r="O24" i="10"/>
  <c r="N24" i="10"/>
  <c r="F208" i="10"/>
  <c r="D208" i="10" s="1"/>
  <c r="C208" i="10" s="1"/>
  <c r="L208" i="10"/>
  <c r="J208" i="10" s="1"/>
  <c r="I208" i="10" s="1"/>
  <c r="J533" i="12"/>
  <c r="J386" i="12"/>
  <c r="J264" i="12"/>
  <c r="I388" i="12"/>
  <c r="D382" i="9"/>
  <c r="AB515" i="12"/>
  <c r="Z515" i="12"/>
  <c r="V515" i="12"/>
  <c r="T516" i="12"/>
  <c r="X515" i="12"/>
  <c r="I576" i="9"/>
  <c r="G576" i="9"/>
  <c r="F576" i="9"/>
  <c r="AH265" i="12"/>
  <c r="J303" i="12"/>
  <c r="J225" i="12"/>
  <c r="F25" i="10"/>
  <c r="E24" i="10"/>
  <c r="AH186" i="12"/>
  <c r="I148" i="12"/>
  <c r="D144" i="9"/>
  <c r="H144" i="8"/>
  <c r="C490" i="12"/>
  <c r="E489" i="12"/>
  <c r="L24" i="8"/>
  <c r="K23" i="8"/>
  <c r="I570" i="12"/>
  <c r="D573" i="9"/>
  <c r="AH533" i="12"/>
  <c r="AH386" i="12"/>
  <c r="AH264" i="12"/>
  <c r="I183" i="9"/>
  <c r="G183" i="9"/>
  <c r="I227" i="12"/>
  <c r="D221" i="9"/>
  <c r="AH303" i="12"/>
  <c r="AH225" i="12"/>
  <c r="I459" i="12"/>
  <c r="AH459" i="12" s="1"/>
  <c r="D453" i="9"/>
  <c r="J569" i="12"/>
  <c r="L58" i="10"/>
  <c r="E243" i="10"/>
  <c r="J59" i="10"/>
  <c r="K243" i="10"/>
  <c r="G58" i="10"/>
  <c r="I58" i="10"/>
  <c r="J346" i="12"/>
  <c r="I146" i="9"/>
  <c r="G146" i="9"/>
  <c r="I383" i="9"/>
  <c r="G383" i="9"/>
  <c r="I306" i="12"/>
  <c r="D300" i="9"/>
  <c r="J304" i="12"/>
  <c r="G384" i="9"/>
  <c r="I384" i="9"/>
  <c r="J421" i="12"/>
  <c r="J422" i="12"/>
  <c r="G420" i="9"/>
  <c r="I420" i="9"/>
  <c r="F420" i="9"/>
  <c r="I455" i="9"/>
  <c r="G455" i="9"/>
  <c r="AH569" i="12"/>
  <c r="AH346" i="12"/>
  <c r="T132" i="12"/>
  <c r="AD132" i="12"/>
  <c r="AB132" i="12"/>
  <c r="Z132" i="12"/>
  <c r="X132" i="12"/>
  <c r="V132" i="12"/>
  <c r="I226" i="12"/>
  <c r="D220" i="9"/>
  <c r="AH304" i="12"/>
  <c r="I460" i="12"/>
  <c r="AH460" i="12" s="1"/>
  <c r="D454" i="9"/>
  <c r="I223" i="9"/>
  <c r="G223" i="9"/>
  <c r="F223" i="9"/>
  <c r="J147" i="12"/>
  <c r="AB514" i="12"/>
  <c r="Z514" i="12"/>
  <c r="X514" i="12"/>
  <c r="T515" i="12"/>
  <c r="V514" i="12"/>
  <c r="V131" i="12"/>
  <c r="T131" i="12"/>
  <c r="AD131" i="12"/>
  <c r="AB131" i="12"/>
  <c r="Z131" i="12"/>
  <c r="X131" i="12"/>
  <c r="I302" i="9"/>
  <c r="G302" i="9"/>
  <c r="F302" i="9"/>
  <c r="I222" i="9"/>
  <c r="G222" i="9"/>
  <c r="C452" i="12"/>
  <c r="G451" i="12"/>
  <c r="H451" i="12"/>
  <c r="E451" i="12"/>
  <c r="H23" i="8"/>
  <c r="I424" i="12"/>
  <c r="AH424" i="12" s="1"/>
  <c r="D418" i="9"/>
  <c r="AH147" i="12"/>
  <c r="C415" i="12"/>
  <c r="G414" i="12"/>
  <c r="H414" i="12"/>
  <c r="E414" i="12"/>
  <c r="F384" i="9"/>
  <c r="AH572" i="12"/>
  <c r="D575" i="9"/>
  <c r="AI252" i="12"/>
  <c r="AF252" i="12" s="1"/>
  <c r="AJ253" i="12" s="1"/>
  <c r="AJ252" i="12"/>
  <c r="AK252" i="12"/>
  <c r="J146" i="12"/>
  <c r="AH146" i="12"/>
  <c r="D417" i="9"/>
  <c r="I423" i="12"/>
  <c r="AH423" i="12" s="1"/>
  <c r="C47" i="9"/>
  <c r="X30" i="12"/>
  <c r="AB30" i="12"/>
  <c r="AD30" i="12"/>
  <c r="T30" i="12"/>
  <c r="AF30" i="12"/>
  <c r="V30" i="12"/>
  <c r="Z30" i="12"/>
  <c r="I456" i="9"/>
  <c r="G456" i="9"/>
  <c r="F456" i="9"/>
  <c r="T94" i="12"/>
  <c r="AF93" i="12"/>
  <c r="AB93" i="12"/>
  <c r="Z93" i="12"/>
  <c r="T93" i="12"/>
  <c r="AI93" i="12" s="1"/>
  <c r="Z94" i="12"/>
  <c r="AB94" i="12"/>
  <c r="V94" i="12"/>
  <c r="AD94" i="12"/>
  <c r="AD93" i="12"/>
  <c r="X94" i="12"/>
  <c r="X93" i="12"/>
  <c r="V93" i="12"/>
  <c r="AJ93" i="12"/>
  <c r="J532" i="12"/>
  <c r="T284" i="12"/>
  <c r="AB284" i="12"/>
  <c r="Z284" i="12"/>
  <c r="V284" i="12"/>
  <c r="X284" i="12"/>
  <c r="I347" i="12"/>
  <c r="D341" i="9"/>
  <c r="I149" i="12"/>
  <c r="D145" i="9"/>
  <c r="J345" i="12"/>
  <c r="AK253" i="12"/>
  <c r="H104" i="8" l="1"/>
  <c r="I349" i="12"/>
  <c r="D343" i="9"/>
  <c r="I535" i="12"/>
  <c r="D535" i="9"/>
  <c r="H145" i="8"/>
  <c r="I307" i="12"/>
  <c r="D301" i="9"/>
  <c r="E536" i="9"/>
  <c r="F535" i="9"/>
  <c r="J188" i="12"/>
  <c r="AD368" i="12"/>
  <c r="T368" i="12"/>
  <c r="AB368" i="12"/>
  <c r="X368" i="12"/>
  <c r="V368" i="12"/>
  <c r="Z368" i="12"/>
  <c r="E344" i="9"/>
  <c r="F343" i="9"/>
  <c r="J348" i="12"/>
  <c r="I101" i="8"/>
  <c r="J102" i="8"/>
  <c r="G101" i="8"/>
  <c r="I536" i="12"/>
  <c r="D536" i="9"/>
  <c r="D19" i="8"/>
  <c r="AH188" i="12"/>
  <c r="J534" i="12"/>
  <c r="AH348" i="12"/>
  <c r="AH149" i="12"/>
  <c r="AF94" i="12"/>
  <c r="AJ94" i="12"/>
  <c r="L59" i="10"/>
  <c r="J60" i="10"/>
  <c r="K244" i="10"/>
  <c r="I59" i="10"/>
  <c r="E244" i="10"/>
  <c r="G59" i="10"/>
  <c r="J148" i="12"/>
  <c r="AM94" i="12"/>
  <c r="AN94" i="12" s="1"/>
  <c r="AK94" i="12"/>
  <c r="AL94" i="12" s="1"/>
  <c r="G415" i="12"/>
  <c r="C416" i="12"/>
  <c r="H415" i="12"/>
  <c r="E415" i="12"/>
  <c r="I390" i="12"/>
  <c r="D384" i="9"/>
  <c r="I150" i="12"/>
  <c r="D146" i="9"/>
  <c r="AH148" i="12"/>
  <c r="D100" i="8"/>
  <c r="AJ404" i="12"/>
  <c r="AK404" i="12"/>
  <c r="AI404" i="12"/>
  <c r="AF404" i="12" s="1"/>
  <c r="J571" i="12"/>
  <c r="AD551" i="12"/>
  <c r="AB551" i="12"/>
  <c r="T551" i="12"/>
  <c r="V551" i="12"/>
  <c r="X551" i="12"/>
  <c r="Z551" i="12"/>
  <c r="J21" i="8"/>
  <c r="I20" i="8"/>
  <c r="D20" i="8" s="1"/>
  <c r="G20" i="8"/>
  <c r="I350" i="12"/>
  <c r="D344" i="9"/>
  <c r="AH534" i="12"/>
  <c r="J267" i="12"/>
  <c r="AH347" i="12"/>
  <c r="H24" i="8"/>
  <c r="I228" i="12"/>
  <c r="D222" i="9"/>
  <c r="I229" i="12"/>
  <c r="D223" i="9"/>
  <c r="J572" i="12"/>
  <c r="E302" i="9"/>
  <c r="F301" i="9"/>
  <c r="J460" i="12"/>
  <c r="J570" i="12"/>
  <c r="J387" i="12"/>
  <c r="AH571" i="12"/>
  <c r="E184" i="9"/>
  <c r="F183" i="9"/>
  <c r="I268" i="12"/>
  <c r="D262" i="9"/>
  <c r="J305" i="12"/>
  <c r="AH267" i="12"/>
  <c r="J423" i="12"/>
  <c r="AI253" i="12"/>
  <c r="AI516" i="12"/>
  <c r="AK516" i="12"/>
  <c r="AJ516" i="12"/>
  <c r="I308" i="12"/>
  <c r="D302" i="9"/>
  <c r="E420" i="9"/>
  <c r="F419" i="9"/>
  <c r="J459" i="12"/>
  <c r="J227" i="12"/>
  <c r="AH570" i="12"/>
  <c r="AH387" i="12"/>
  <c r="F45" i="9"/>
  <c r="E46" i="9"/>
  <c r="C45" i="9"/>
  <c r="V441" i="12"/>
  <c r="T441" i="12"/>
  <c r="AD441" i="12"/>
  <c r="AB441" i="12"/>
  <c r="Z441" i="12"/>
  <c r="X441" i="12"/>
  <c r="AH305" i="12"/>
  <c r="V334" i="12"/>
  <c r="AK335" i="12" s="1"/>
  <c r="T334" i="12"/>
  <c r="AI335" i="12" s="1"/>
  <c r="AF335" i="12" s="1"/>
  <c r="AD334" i="12"/>
  <c r="AB334" i="12"/>
  <c r="Z334" i="12"/>
  <c r="X334" i="12"/>
  <c r="AJ335" i="12"/>
  <c r="I190" i="12"/>
  <c r="D184" i="9"/>
  <c r="T169" i="12"/>
  <c r="AF168" i="12"/>
  <c r="T168" i="12" s="1"/>
  <c r="V167" i="12"/>
  <c r="AD167" i="12"/>
  <c r="X167" i="12"/>
  <c r="AB167" i="12"/>
  <c r="Z167" i="12"/>
  <c r="K104" i="8"/>
  <c r="L105" i="8"/>
  <c r="J226" i="12"/>
  <c r="I461" i="12"/>
  <c r="AH461" i="12" s="1"/>
  <c r="D455" i="9"/>
  <c r="AH306" i="12"/>
  <c r="I189" i="12"/>
  <c r="D183" i="9"/>
  <c r="J347" i="12"/>
  <c r="AK132" i="12"/>
  <c r="AI132" i="12"/>
  <c r="AJ132" i="12"/>
  <c r="E223" i="9"/>
  <c r="F222" i="9"/>
  <c r="AH226" i="12"/>
  <c r="I389" i="12"/>
  <c r="D383" i="9"/>
  <c r="AI30" i="12"/>
  <c r="AK285" i="12"/>
  <c r="AI285" i="12"/>
  <c r="AF285" i="12" s="1"/>
  <c r="AJ285" i="12"/>
  <c r="I462" i="12"/>
  <c r="AH462" i="12" s="1"/>
  <c r="D456" i="9"/>
  <c r="AK133" i="12"/>
  <c r="AI133" i="12"/>
  <c r="AJ133" i="12"/>
  <c r="I426" i="12"/>
  <c r="AH426" i="12" s="1"/>
  <c r="D420" i="9"/>
  <c r="K24" i="8"/>
  <c r="L25" i="8"/>
  <c r="J388" i="12"/>
  <c r="K24" i="10"/>
  <c r="D24" i="10" s="1"/>
  <c r="C24" i="10" s="1"/>
  <c r="M24" i="10"/>
  <c r="M209" i="10"/>
  <c r="L145" i="8"/>
  <c r="K144" i="8"/>
  <c r="AF211" i="12"/>
  <c r="X212" i="12"/>
  <c r="V212" i="12"/>
  <c r="T212" i="12"/>
  <c r="AD212" i="12"/>
  <c r="AB212" i="12"/>
  <c r="Z212" i="12"/>
  <c r="J143" i="8"/>
  <c r="I142" i="8"/>
  <c r="G142" i="8"/>
  <c r="F13" i="9"/>
  <c r="E14" i="9"/>
  <c r="C13" i="9"/>
  <c r="F146" i="9"/>
  <c r="E147" i="9"/>
  <c r="F455" i="9"/>
  <c r="E456" i="9"/>
  <c r="AH227" i="12"/>
  <c r="C46" i="9"/>
  <c r="F575" i="9"/>
  <c r="E576" i="9"/>
  <c r="AH388" i="12"/>
  <c r="O25" i="10"/>
  <c r="L209" i="10"/>
  <c r="J209" i="10" s="1"/>
  <c r="I209" i="10" s="1"/>
  <c r="N25" i="10"/>
  <c r="F209" i="10"/>
  <c r="D209" i="10" s="1"/>
  <c r="C209" i="10" s="1"/>
  <c r="J187" i="12"/>
  <c r="F262" i="9"/>
  <c r="E263" i="9"/>
  <c r="D141" i="8"/>
  <c r="J266" i="12"/>
  <c r="J149" i="12"/>
  <c r="E384" i="9"/>
  <c r="F383" i="9"/>
  <c r="J424" i="12"/>
  <c r="C453" i="12"/>
  <c r="G452" i="12"/>
  <c r="H452" i="12"/>
  <c r="E452" i="12"/>
  <c r="J306" i="12"/>
  <c r="C491" i="12"/>
  <c r="E490" i="12"/>
  <c r="F26" i="10"/>
  <c r="E25" i="10"/>
  <c r="I573" i="12"/>
  <c r="D576" i="9"/>
  <c r="AH187" i="12"/>
  <c r="I269" i="12"/>
  <c r="D263" i="9"/>
  <c r="AK55" i="12"/>
  <c r="AI55" i="12"/>
  <c r="AF55" i="12" s="1"/>
  <c r="AJ56" i="12" s="1"/>
  <c r="AJ55" i="12"/>
  <c r="I151" i="12"/>
  <c r="D147" i="9"/>
  <c r="D419" i="9"/>
  <c r="I425" i="12"/>
  <c r="AH425" i="12" s="1"/>
  <c r="AH266" i="12"/>
  <c r="C420" i="9" l="1"/>
  <c r="J426" i="12"/>
  <c r="Z285" i="12"/>
  <c r="T285" i="12"/>
  <c r="V285" i="12"/>
  <c r="AB285" i="12"/>
  <c r="X285" i="12"/>
  <c r="AH189" i="12"/>
  <c r="L106" i="8"/>
  <c r="K105" i="8"/>
  <c r="AH190" i="12"/>
  <c r="AI442" i="12"/>
  <c r="AF442" i="12" s="1"/>
  <c r="AJ442" i="12"/>
  <c r="AK442" i="12"/>
  <c r="C302" i="9"/>
  <c r="J308" i="12"/>
  <c r="AH150" i="12"/>
  <c r="AH307" i="12"/>
  <c r="C223" i="9"/>
  <c r="J229" i="12"/>
  <c r="T404" i="12"/>
  <c r="AD404" i="12"/>
  <c r="AB404" i="12"/>
  <c r="Z404" i="12"/>
  <c r="X404" i="12"/>
  <c r="V404" i="12"/>
  <c r="C384" i="9"/>
  <c r="J390" i="12"/>
  <c r="AM95" i="12"/>
  <c r="AN95" i="12" s="1"/>
  <c r="AK95" i="12"/>
  <c r="AL95" i="12" s="1"/>
  <c r="J103" i="8"/>
  <c r="I102" i="8"/>
  <c r="D102" i="8" s="1"/>
  <c r="G102" i="8"/>
  <c r="H146" i="8"/>
  <c r="H105" i="8"/>
  <c r="I21" i="8"/>
  <c r="D21" i="8" s="1"/>
  <c r="J22" i="8"/>
  <c r="G21" i="8"/>
  <c r="AH390" i="12"/>
  <c r="D101" i="8"/>
  <c r="C222" i="9"/>
  <c r="J228" i="12"/>
  <c r="AI369" i="12"/>
  <c r="AF369" i="12" s="1"/>
  <c r="AK369" i="12"/>
  <c r="AJ369" i="12"/>
  <c r="C535" i="9"/>
  <c r="J535" i="12"/>
  <c r="E222" i="9"/>
  <c r="F221" i="9"/>
  <c r="AH308" i="12"/>
  <c r="AH573" i="12"/>
  <c r="N26" i="10"/>
  <c r="O26" i="10"/>
  <c r="L210" i="10"/>
  <c r="J210" i="10" s="1"/>
  <c r="I210" i="10" s="1"/>
  <c r="F210" i="10"/>
  <c r="D210" i="10" s="1"/>
  <c r="C210" i="10" s="1"/>
  <c r="AI213" i="12"/>
  <c r="X31" i="12"/>
  <c r="AB31" i="12"/>
  <c r="V31" i="12"/>
  <c r="Z31" i="12"/>
  <c r="T31" i="12"/>
  <c r="AI31" i="12" s="1"/>
  <c r="AF31" i="12"/>
  <c r="AD31" i="12"/>
  <c r="AH228" i="12"/>
  <c r="AH535" i="12"/>
  <c r="E146" i="9"/>
  <c r="F145" i="9"/>
  <c r="C576" i="9"/>
  <c r="J573" i="12"/>
  <c r="C383" i="9"/>
  <c r="J389" i="12"/>
  <c r="C455" i="9"/>
  <c r="J461" i="12"/>
  <c r="C221" i="9"/>
  <c r="AD517" i="12"/>
  <c r="AF516" i="12"/>
  <c r="F300" i="9"/>
  <c r="E301" i="9"/>
  <c r="C417" i="12"/>
  <c r="H416" i="12"/>
  <c r="G416" i="12"/>
  <c r="E416" i="12"/>
  <c r="C343" i="9"/>
  <c r="J349" i="12"/>
  <c r="F27" i="10"/>
  <c r="E26" i="10"/>
  <c r="D142" i="8"/>
  <c r="K25" i="8"/>
  <c r="L26" i="8"/>
  <c r="AH389" i="12"/>
  <c r="AI94" i="12"/>
  <c r="C262" i="9"/>
  <c r="J268" i="12"/>
  <c r="H25" i="8"/>
  <c r="AJ552" i="12"/>
  <c r="AK552" i="12"/>
  <c r="AI552" i="12"/>
  <c r="AF552" i="12" s="1"/>
  <c r="AH349" i="12"/>
  <c r="F12" i="9"/>
  <c r="E13" i="9"/>
  <c r="C12" i="9"/>
  <c r="AF134" i="12"/>
  <c r="AF133" i="12"/>
  <c r="F44" i="9"/>
  <c r="E45" i="9"/>
  <c r="C44" i="9"/>
  <c r="G453" i="12"/>
  <c r="H453" i="12"/>
  <c r="E453" i="12"/>
  <c r="C454" i="12"/>
  <c r="C263" i="9"/>
  <c r="J269" i="12"/>
  <c r="E262" i="9"/>
  <c r="F261" i="9"/>
  <c r="J144" i="8"/>
  <c r="I143" i="8"/>
  <c r="G143" i="8"/>
  <c r="T211" i="12"/>
  <c r="AI212" i="12" s="1"/>
  <c r="AF212" i="12" s="1"/>
  <c r="AJ212" i="12"/>
  <c r="AK212" i="12"/>
  <c r="C456" i="9"/>
  <c r="J462" i="12"/>
  <c r="AI169" i="12"/>
  <c r="AK169" i="12"/>
  <c r="AJ169" i="12"/>
  <c r="X254" i="12"/>
  <c r="T254" i="12"/>
  <c r="AF253" i="12"/>
  <c r="T253" i="12" s="1"/>
  <c r="AD254" i="12"/>
  <c r="AB254" i="12"/>
  <c r="Z254" i="12"/>
  <c r="V254" i="12"/>
  <c r="AH268" i="12"/>
  <c r="E343" i="9"/>
  <c r="F342" i="9"/>
  <c r="C342" i="9" s="1"/>
  <c r="F534" i="9"/>
  <c r="E535" i="9"/>
  <c r="AI56" i="12"/>
  <c r="AH151" i="12"/>
  <c r="E575" i="9"/>
  <c r="F574" i="9"/>
  <c r="M25" i="10"/>
  <c r="K25" i="10"/>
  <c r="D25" i="10" s="1"/>
  <c r="C25" i="10" s="1"/>
  <c r="M210" i="10"/>
  <c r="AH229" i="12"/>
  <c r="AH269" i="12"/>
  <c r="E383" i="9"/>
  <c r="F382" i="9"/>
  <c r="C382" i="9" s="1"/>
  <c r="T335" i="12"/>
  <c r="AI336" i="12" s="1"/>
  <c r="AF336" i="12" s="1"/>
  <c r="X335" i="12"/>
  <c r="V335" i="12"/>
  <c r="AK336" i="12" s="1"/>
  <c r="Z335" i="12"/>
  <c r="AD335" i="12"/>
  <c r="AB335" i="12"/>
  <c r="AJ336" i="12"/>
  <c r="F418" i="9"/>
  <c r="C418" i="9" s="1"/>
  <c r="E419" i="9"/>
  <c r="E183" i="9"/>
  <c r="F182" i="9"/>
  <c r="C344" i="9"/>
  <c r="J350" i="12"/>
  <c r="J61" i="10"/>
  <c r="E245" i="10"/>
  <c r="L60" i="10"/>
  <c r="G60" i="10"/>
  <c r="I60" i="10"/>
  <c r="K245" i="10"/>
  <c r="C536" i="9"/>
  <c r="J536" i="12"/>
  <c r="AK56" i="12"/>
  <c r="C419" i="9"/>
  <c r="J425" i="12"/>
  <c r="E491" i="12"/>
  <c r="C492" i="12"/>
  <c r="C147" i="9"/>
  <c r="J151" i="12"/>
  <c r="E455" i="9"/>
  <c r="F454" i="9"/>
  <c r="L146" i="8"/>
  <c r="K145" i="8"/>
  <c r="C183" i="9"/>
  <c r="J189" i="12"/>
  <c r="C184" i="9"/>
  <c r="J190" i="12"/>
  <c r="C575" i="9"/>
  <c r="AH350" i="12"/>
  <c r="C146" i="9"/>
  <c r="J150" i="12"/>
  <c r="AH536" i="12"/>
  <c r="C301" i="9"/>
  <c r="J307" i="12"/>
  <c r="F573" i="9" l="1"/>
  <c r="E574" i="9"/>
  <c r="C574" i="9"/>
  <c r="V336" i="12"/>
  <c r="AK337" i="12" s="1"/>
  <c r="T336" i="12"/>
  <c r="AI337" i="12" s="1"/>
  <c r="AF337" i="12" s="1"/>
  <c r="AD336" i="12"/>
  <c r="AB336" i="12"/>
  <c r="Z336" i="12"/>
  <c r="X336" i="12"/>
  <c r="AJ337" i="12"/>
  <c r="F43" i="9"/>
  <c r="E44" i="9"/>
  <c r="C43" i="9"/>
  <c r="AJ95" i="12"/>
  <c r="T96" i="12"/>
  <c r="T95" i="12"/>
  <c r="AF95" i="12"/>
  <c r="Z95" i="12"/>
  <c r="X95" i="12"/>
  <c r="V95" i="12"/>
  <c r="AD96" i="12"/>
  <c r="X96" i="12"/>
  <c r="AB96" i="12"/>
  <c r="V96" i="12"/>
  <c r="AD95" i="12"/>
  <c r="AB95" i="12"/>
  <c r="Z96" i="12"/>
  <c r="K26" i="10"/>
  <c r="D26" i="10" s="1"/>
  <c r="C26" i="10" s="1"/>
  <c r="M26" i="10"/>
  <c r="M211" i="10"/>
  <c r="X133" i="12"/>
  <c r="T133" i="12"/>
  <c r="AB133" i="12"/>
  <c r="Z133" i="12"/>
  <c r="AD133" i="12"/>
  <c r="V133" i="12"/>
  <c r="AB32" i="12"/>
  <c r="AD32" i="12"/>
  <c r="V32" i="12"/>
  <c r="Z32" i="12"/>
  <c r="AF32" i="12"/>
  <c r="X32" i="12"/>
  <c r="T32" i="12"/>
  <c r="AI32" i="12" s="1"/>
  <c r="T57" i="12"/>
  <c r="AF56" i="12"/>
  <c r="T56" i="12" s="1"/>
  <c r="X57" i="12"/>
  <c r="V57" i="12"/>
  <c r="AD57" i="12"/>
  <c r="AB57" i="12"/>
  <c r="Z57" i="12"/>
  <c r="E534" i="9"/>
  <c r="F533" i="9"/>
  <c r="C534" i="9"/>
  <c r="AK254" i="12"/>
  <c r="AI254" i="12"/>
  <c r="AF254" i="12" s="1"/>
  <c r="AK255" i="12" s="1"/>
  <c r="AJ254" i="12"/>
  <c r="T369" i="12"/>
  <c r="AD369" i="12"/>
  <c r="AB369" i="12"/>
  <c r="Z369" i="12"/>
  <c r="X369" i="12"/>
  <c r="V369" i="12"/>
  <c r="I103" i="8"/>
  <c r="J104" i="8"/>
  <c r="G103" i="8"/>
  <c r="AJ405" i="12"/>
  <c r="AI405" i="12"/>
  <c r="AF405" i="12" s="1"/>
  <c r="AK405" i="12"/>
  <c r="T552" i="12"/>
  <c r="AB552" i="12"/>
  <c r="AD552" i="12"/>
  <c r="X552" i="12"/>
  <c r="Z552" i="12"/>
  <c r="V552" i="12"/>
  <c r="E300" i="9"/>
  <c r="F299" i="9"/>
  <c r="C300" i="9"/>
  <c r="AJ286" i="12"/>
  <c r="AI286" i="12"/>
  <c r="AK286" i="12"/>
  <c r="E492" i="12"/>
  <c r="C493" i="12"/>
  <c r="E418" i="9"/>
  <c r="F417" i="9"/>
  <c r="T134" i="12"/>
  <c r="Z134" i="12"/>
  <c r="X134" i="12"/>
  <c r="V134" i="12"/>
  <c r="AB134" i="12"/>
  <c r="AD134" i="12"/>
  <c r="F28" i="10"/>
  <c r="E27" i="10"/>
  <c r="L61" i="10"/>
  <c r="J62" i="10"/>
  <c r="E246" i="10"/>
  <c r="I61" i="10"/>
  <c r="K246" i="10"/>
  <c r="G61" i="10"/>
  <c r="AJ255" i="12"/>
  <c r="AI255" i="12"/>
  <c r="AK213" i="12"/>
  <c r="AJ213" i="12"/>
  <c r="C455" i="12"/>
  <c r="E454" i="12"/>
  <c r="G454" i="12"/>
  <c r="H454" i="12"/>
  <c r="I22" i="8"/>
  <c r="D22" i="8" s="1"/>
  <c r="J23" i="8"/>
  <c r="G22" i="8"/>
  <c r="F220" i="9"/>
  <c r="E221" i="9"/>
  <c r="K106" i="8"/>
  <c r="L107" i="8"/>
  <c r="E12" i="9"/>
  <c r="F11" i="9"/>
  <c r="C11" i="9"/>
  <c r="T517" i="12"/>
  <c r="AB516" i="12"/>
  <c r="X516" i="12"/>
  <c r="V516" i="12"/>
  <c r="Z516" i="12"/>
  <c r="AI517" i="12"/>
  <c r="AF517" i="12" s="1"/>
  <c r="AJ517" i="12"/>
  <c r="AK517" i="12"/>
  <c r="K146" i="8"/>
  <c r="L147" i="8"/>
  <c r="E382" i="9"/>
  <c r="F381" i="9"/>
  <c r="D143" i="8"/>
  <c r="K26" i="8"/>
  <c r="L27" i="8"/>
  <c r="E145" i="9"/>
  <c r="F144" i="9"/>
  <c r="C145" i="9"/>
  <c r="T214" i="12"/>
  <c r="AF213" i="12"/>
  <c r="AD214" i="12"/>
  <c r="AB214" i="12"/>
  <c r="Z214" i="12"/>
  <c r="X214" i="12"/>
  <c r="V214" i="12"/>
  <c r="F453" i="9"/>
  <c r="E454" i="9"/>
  <c r="C454" i="9"/>
  <c r="I144" i="8"/>
  <c r="D144" i="8" s="1"/>
  <c r="J145" i="8"/>
  <c r="G144" i="8"/>
  <c r="H26" i="8"/>
  <c r="H106" i="8"/>
  <c r="E342" i="9"/>
  <c r="F341" i="9"/>
  <c r="AF169" i="12"/>
  <c r="V168" i="12"/>
  <c r="AD168" i="12"/>
  <c r="X168" i="12"/>
  <c r="AB168" i="12"/>
  <c r="Z168" i="12"/>
  <c r="E261" i="9"/>
  <c r="F260" i="9"/>
  <c r="C261" i="9"/>
  <c r="H147" i="8"/>
  <c r="E182" i="9"/>
  <c r="F181" i="9"/>
  <c r="H417" i="12"/>
  <c r="G417" i="12"/>
  <c r="C418" i="12"/>
  <c r="E417" i="12"/>
  <c r="O27" i="10"/>
  <c r="N27" i="10"/>
  <c r="L211" i="10"/>
  <c r="J211" i="10" s="1"/>
  <c r="I211" i="10" s="1"/>
  <c r="F211" i="10"/>
  <c r="D211" i="10" s="1"/>
  <c r="C211" i="10" s="1"/>
  <c r="T442" i="12"/>
  <c r="AD442" i="12"/>
  <c r="AB442" i="12"/>
  <c r="Z442" i="12"/>
  <c r="X442" i="12"/>
  <c r="V442" i="12"/>
  <c r="C182" i="9"/>
  <c r="J146" i="8" l="1"/>
  <c r="I145" i="8"/>
  <c r="D145" i="8" s="1"/>
  <c r="G145" i="8"/>
  <c r="J24" i="8"/>
  <c r="I23" i="8"/>
  <c r="D23" i="8" s="1"/>
  <c r="G23" i="8"/>
  <c r="H107" i="8"/>
  <c r="K27" i="8"/>
  <c r="L28" i="8"/>
  <c r="T518" i="12"/>
  <c r="V517" i="12"/>
  <c r="Z517" i="12"/>
  <c r="X517" i="12"/>
  <c r="AB517" i="12"/>
  <c r="K107" i="8"/>
  <c r="L108" i="8"/>
  <c r="AF286" i="12"/>
  <c r="AD287" i="12"/>
  <c r="E533" i="9"/>
  <c r="F532" i="9"/>
  <c r="C533" i="9"/>
  <c r="M27" i="10"/>
  <c r="K27" i="10"/>
  <c r="D27" i="10" s="1"/>
  <c r="C27" i="10" s="1"/>
  <c r="M212" i="10"/>
  <c r="T213" i="12"/>
  <c r="AI214" i="12" s="1"/>
  <c r="AF214" i="12" s="1"/>
  <c r="AK214" i="12"/>
  <c r="AJ214" i="12"/>
  <c r="AK553" i="12"/>
  <c r="AJ553" i="12"/>
  <c r="AI553" i="12"/>
  <c r="AF553" i="12" s="1"/>
  <c r="F42" i="9"/>
  <c r="E43" i="9"/>
  <c r="C42" i="9"/>
  <c r="AI135" i="12"/>
  <c r="AK135" i="12"/>
  <c r="AJ135" i="12"/>
  <c r="F572" i="9"/>
  <c r="E573" i="9"/>
  <c r="C573" i="9"/>
  <c r="AK170" i="12"/>
  <c r="AJ170" i="12"/>
  <c r="AI170" i="12"/>
  <c r="F452" i="9"/>
  <c r="E453" i="9"/>
  <c r="C453" i="9"/>
  <c r="C456" i="12"/>
  <c r="G455" i="12"/>
  <c r="H455" i="12"/>
  <c r="E455" i="12"/>
  <c r="L62" i="10"/>
  <c r="J63" i="10"/>
  <c r="E247" i="10"/>
  <c r="K247" i="10"/>
  <c r="G62" i="10"/>
  <c r="I62" i="10"/>
  <c r="T405" i="12"/>
  <c r="V405" i="12"/>
  <c r="Z405" i="12"/>
  <c r="X405" i="12"/>
  <c r="AD405" i="12"/>
  <c r="AB405" i="12"/>
  <c r="AI370" i="12"/>
  <c r="AF370" i="12" s="1"/>
  <c r="AK370" i="12"/>
  <c r="AJ370" i="12"/>
  <c r="N28" i="10"/>
  <c r="O28" i="10"/>
  <c r="L212" i="10"/>
  <c r="J212" i="10" s="1"/>
  <c r="I212" i="10" s="1"/>
  <c r="F212" i="10"/>
  <c r="D212" i="10" s="1"/>
  <c r="C212" i="10" s="1"/>
  <c r="F380" i="9"/>
  <c r="E381" i="9"/>
  <c r="C381" i="9"/>
  <c r="E299" i="9"/>
  <c r="F298" i="9"/>
  <c r="C299" i="9"/>
  <c r="H418" i="12"/>
  <c r="G418" i="12"/>
  <c r="C419" i="12"/>
  <c r="E418" i="12"/>
  <c r="F340" i="9"/>
  <c r="E341" i="9"/>
  <c r="C341" i="9"/>
  <c r="H27" i="8"/>
  <c r="AK518" i="12"/>
  <c r="AI518" i="12"/>
  <c r="AJ518" i="12"/>
  <c r="E220" i="9"/>
  <c r="F219" i="9"/>
  <c r="C220" i="9"/>
  <c r="F416" i="9"/>
  <c r="E417" i="9"/>
  <c r="C417" i="9"/>
  <c r="AD33" i="12"/>
  <c r="T33" i="12"/>
  <c r="AI33" i="12" s="1"/>
  <c r="AF33" i="12"/>
  <c r="V33" i="12"/>
  <c r="Z33" i="12"/>
  <c r="X33" i="12"/>
  <c r="AB33" i="12"/>
  <c r="AK96" i="12"/>
  <c r="AL96" i="12" s="1"/>
  <c r="AM96" i="12"/>
  <c r="AN96" i="12" s="1"/>
  <c r="H148" i="8"/>
  <c r="E260" i="9"/>
  <c r="F259" i="9"/>
  <c r="C260" i="9"/>
  <c r="F143" i="9"/>
  <c r="E144" i="9"/>
  <c r="C144" i="9"/>
  <c r="L148" i="8"/>
  <c r="K147" i="8"/>
  <c r="F29" i="10"/>
  <c r="E28" i="10"/>
  <c r="I104" i="8"/>
  <c r="J105" i="8"/>
  <c r="G104" i="8"/>
  <c r="AI95" i="12"/>
  <c r="AF255" i="12"/>
  <c r="T255" i="12" s="1"/>
  <c r="AD256" i="12"/>
  <c r="T256" i="12"/>
  <c r="AB256" i="12"/>
  <c r="Z256" i="12"/>
  <c r="X256" i="12"/>
  <c r="V256" i="12"/>
  <c r="E11" i="9"/>
  <c r="F10" i="9"/>
  <c r="C10" i="9"/>
  <c r="C494" i="12"/>
  <c r="E493" i="12"/>
  <c r="D103" i="8"/>
  <c r="AK57" i="12"/>
  <c r="AJ57" i="12"/>
  <c r="AI57" i="12"/>
  <c r="AF57" i="12" s="1"/>
  <c r="AK58" i="12" s="1"/>
  <c r="AK134" i="12"/>
  <c r="AJ134" i="12"/>
  <c r="AI134" i="12"/>
  <c r="X337" i="12"/>
  <c r="T337" i="12"/>
  <c r="AI338" i="12" s="1"/>
  <c r="AF338" i="12" s="1"/>
  <c r="V337" i="12"/>
  <c r="AK338" i="12" s="1"/>
  <c r="AB337" i="12"/>
  <c r="Z337" i="12"/>
  <c r="AD337" i="12"/>
  <c r="AJ338" i="12"/>
  <c r="AK443" i="12"/>
  <c r="AI443" i="12"/>
  <c r="AF443" i="12" s="1"/>
  <c r="AJ443" i="12"/>
  <c r="F180" i="9"/>
  <c r="E181" i="9"/>
  <c r="C181" i="9"/>
  <c r="AJ215" i="12" l="1"/>
  <c r="AK215" i="12"/>
  <c r="E143" i="9"/>
  <c r="F142" i="9"/>
  <c r="C143" i="9"/>
  <c r="F415" i="9"/>
  <c r="E416" i="9"/>
  <c r="C416" i="9"/>
  <c r="O29" i="10"/>
  <c r="N29" i="10"/>
  <c r="L213" i="10"/>
  <c r="J213" i="10" s="1"/>
  <c r="I213" i="10" s="1"/>
  <c r="F213" i="10"/>
  <c r="D213" i="10" s="1"/>
  <c r="C213" i="10" s="1"/>
  <c r="AJ58" i="12"/>
  <c r="J106" i="8"/>
  <c r="I105" i="8"/>
  <c r="D105" i="8" s="1"/>
  <c r="G105" i="8"/>
  <c r="K28" i="10"/>
  <c r="D28" i="10" s="1"/>
  <c r="C28" i="10" s="1"/>
  <c r="M28" i="10"/>
  <c r="M213" i="10"/>
  <c r="AI406" i="12"/>
  <c r="AF406" i="12" s="1"/>
  <c r="AJ406" i="12"/>
  <c r="AK406" i="12"/>
  <c r="G456" i="12"/>
  <c r="C457" i="12"/>
  <c r="H456" i="12"/>
  <c r="E456" i="12"/>
  <c r="K108" i="8"/>
  <c r="L109" i="8"/>
  <c r="AI58" i="12"/>
  <c r="E42" i="9"/>
  <c r="F41" i="9"/>
  <c r="C41" i="9"/>
  <c r="D104" i="8"/>
  <c r="F297" i="9"/>
  <c r="E298" i="9"/>
  <c r="C298" i="9"/>
  <c r="F258" i="9"/>
  <c r="E259" i="9"/>
  <c r="C259" i="9"/>
  <c r="F218" i="9"/>
  <c r="E219" i="9"/>
  <c r="C219" i="9"/>
  <c r="E340" i="9"/>
  <c r="F339" i="9"/>
  <c r="C340" i="9"/>
  <c r="AB553" i="12"/>
  <c r="T553" i="12"/>
  <c r="V553" i="12"/>
  <c r="AD553" i="12"/>
  <c r="Z553" i="12"/>
  <c r="X553" i="12"/>
  <c r="H108" i="8"/>
  <c r="F30" i="10"/>
  <c r="E29" i="10"/>
  <c r="Z370" i="12"/>
  <c r="T370" i="12"/>
  <c r="AB370" i="12"/>
  <c r="X370" i="12"/>
  <c r="V370" i="12"/>
  <c r="AD370" i="12"/>
  <c r="E452" i="9"/>
  <c r="F451" i="9"/>
  <c r="C452" i="9"/>
  <c r="F571" i="9"/>
  <c r="E572" i="9"/>
  <c r="C572" i="9"/>
  <c r="V338" i="12"/>
  <c r="AK339" i="12" s="1"/>
  <c r="T338" i="12"/>
  <c r="AI339" i="12" s="1"/>
  <c r="AF339" i="12" s="1"/>
  <c r="AD338" i="12"/>
  <c r="AB338" i="12"/>
  <c r="Z338" i="12"/>
  <c r="X338" i="12"/>
  <c r="AJ339" i="12"/>
  <c r="L149" i="8"/>
  <c r="K148" i="8"/>
  <c r="AF518" i="12"/>
  <c r="AK519" i="12" s="1"/>
  <c r="AD519" i="12"/>
  <c r="C420" i="12"/>
  <c r="G419" i="12"/>
  <c r="E419" i="12"/>
  <c r="H419" i="12"/>
  <c r="L63" i="10"/>
  <c r="G63" i="10"/>
  <c r="K248" i="10"/>
  <c r="I63" i="10"/>
  <c r="J64" i="10"/>
  <c r="E248" i="10"/>
  <c r="AF170" i="12"/>
  <c r="T170" i="12" s="1"/>
  <c r="T171" i="12"/>
  <c r="V169" i="12"/>
  <c r="AD169" i="12"/>
  <c r="X169" i="12"/>
  <c r="AB169" i="12"/>
  <c r="Z169" i="12"/>
  <c r="E532" i="9"/>
  <c r="F531" i="9"/>
  <c r="C532" i="9"/>
  <c r="I24" i="8"/>
  <c r="J25" i="8"/>
  <c r="G24" i="8"/>
  <c r="H149" i="8"/>
  <c r="AJ519" i="12"/>
  <c r="AI519" i="12"/>
  <c r="AF519" i="12" s="1"/>
  <c r="F379" i="9"/>
  <c r="E380" i="9"/>
  <c r="C380" i="9"/>
  <c r="AI256" i="12"/>
  <c r="AF256" i="12" s="1"/>
  <c r="AK257" i="12" s="1"/>
  <c r="AK256" i="12"/>
  <c r="AJ256" i="12"/>
  <c r="AF136" i="12"/>
  <c r="AF135" i="12"/>
  <c r="AD34" i="12"/>
  <c r="V34" i="12"/>
  <c r="Z34" i="12"/>
  <c r="T34" i="12"/>
  <c r="AB34" i="12"/>
  <c r="AF34" i="12"/>
  <c r="X34" i="12"/>
  <c r="E180" i="9"/>
  <c r="F179" i="9"/>
  <c r="C180" i="9"/>
  <c r="E494" i="12"/>
  <c r="C495" i="12"/>
  <c r="H28" i="8"/>
  <c r="T443" i="12"/>
  <c r="X443" i="12"/>
  <c r="V443" i="12"/>
  <c r="AD443" i="12"/>
  <c r="Z443" i="12"/>
  <c r="AB443" i="12"/>
  <c r="E10" i="9"/>
  <c r="F9" i="9"/>
  <c r="C9" i="9"/>
  <c r="AF96" i="12"/>
  <c r="AJ96" i="12"/>
  <c r="AI215" i="12"/>
  <c r="T286" i="12"/>
  <c r="V286" i="12"/>
  <c r="X286" i="12"/>
  <c r="AB286" i="12"/>
  <c r="Z286" i="12"/>
  <c r="K28" i="8"/>
  <c r="L29" i="8"/>
  <c r="I146" i="8"/>
  <c r="D146" i="8" s="1"/>
  <c r="J147" i="8"/>
  <c r="G146" i="8"/>
  <c r="AI287" i="12" l="1"/>
  <c r="AF287" i="12" s="1"/>
  <c r="AK287" i="12"/>
  <c r="AJ287" i="12"/>
  <c r="AI257" i="12"/>
  <c r="AJ371" i="12"/>
  <c r="AK371" i="12"/>
  <c r="AI371" i="12"/>
  <c r="AF371" i="12" s="1"/>
  <c r="E297" i="9"/>
  <c r="F296" i="9"/>
  <c r="C297" i="9"/>
  <c r="E379" i="9"/>
  <c r="F378" i="9"/>
  <c r="C379" i="9"/>
  <c r="G457" i="12"/>
  <c r="C458" i="12"/>
  <c r="E457" i="12"/>
  <c r="H457" i="12"/>
  <c r="J107" i="8"/>
  <c r="I106" i="8"/>
  <c r="G106" i="8"/>
  <c r="F414" i="9"/>
  <c r="E415" i="9"/>
  <c r="C415" i="9"/>
  <c r="J26" i="8"/>
  <c r="I25" i="8"/>
  <c r="D25" i="8" s="1"/>
  <c r="G25" i="8"/>
  <c r="E571" i="9"/>
  <c r="F570" i="9"/>
  <c r="C571" i="9"/>
  <c r="J148" i="8"/>
  <c r="I147" i="8"/>
  <c r="G147" i="8"/>
  <c r="T216" i="12"/>
  <c r="AF215" i="12"/>
  <c r="V216" i="12"/>
  <c r="AD216" i="12"/>
  <c r="AB216" i="12"/>
  <c r="Z216" i="12"/>
  <c r="X216" i="12"/>
  <c r="F178" i="9"/>
  <c r="E179" i="9"/>
  <c r="C179" i="9"/>
  <c r="Z135" i="12"/>
  <c r="X135" i="12"/>
  <c r="V135" i="12"/>
  <c r="T135" i="12"/>
  <c r="AB135" i="12"/>
  <c r="AD135" i="12"/>
  <c r="D24" i="8"/>
  <c r="F217" i="9"/>
  <c r="E218" i="9"/>
  <c r="C218" i="9"/>
  <c r="T136" i="12"/>
  <c r="X136" i="12"/>
  <c r="V136" i="12"/>
  <c r="Z136" i="12"/>
  <c r="AD136" i="12"/>
  <c r="AB136" i="12"/>
  <c r="Z519" i="12"/>
  <c r="X519" i="12"/>
  <c r="T520" i="12"/>
  <c r="AB519" i="12"/>
  <c r="V519" i="12"/>
  <c r="AK171" i="12"/>
  <c r="AJ171" i="12"/>
  <c r="AI171" i="12"/>
  <c r="H420" i="12"/>
  <c r="G420" i="12"/>
  <c r="C421" i="12"/>
  <c r="E420" i="12"/>
  <c r="AI554" i="12"/>
  <c r="AF554" i="12" s="1"/>
  <c r="AK554" i="12"/>
  <c r="AJ554" i="12"/>
  <c r="AK444" i="12"/>
  <c r="AI444" i="12"/>
  <c r="AF444" i="12" s="1"/>
  <c r="AJ444" i="12"/>
  <c r="K29" i="8"/>
  <c r="L30" i="8"/>
  <c r="AM97" i="12"/>
  <c r="AN97" i="12" s="1"/>
  <c r="AK97" i="12"/>
  <c r="AL97" i="12" s="1"/>
  <c r="AI96" i="12"/>
  <c r="E451" i="9"/>
  <c r="F450" i="9"/>
  <c r="C451" i="9"/>
  <c r="F40" i="9"/>
  <c r="C40" i="9" s="1"/>
  <c r="E41" i="9"/>
  <c r="E142" i="9"/>
  <c r="F141" i="9"/>
  <c r="C142" i="9"/>
  <c r="E531" i="9"/>
  <c r="F530" i="9"/>
  <c r="C531" i="9"/>
  <c r="L64" i="10"/>
  <c r="J65" i="10"/>
  <c r="K249" i="10"/>
  <c r="I64" i="10"/>
  <c r="E249" i="10"/>
  <c r="G64" i="10"/>
  <c r="X518" i="12"/>
  <c r="V518" i="12"/>
  <c r="T519" i="12"/>
  <c r="AB518" i="12"/>
  <c r="Z518" i="12"/>
  <c r="F31" i="10"/>
  <c r="E30" i="10"/>
  <c r="T406" i="12"/>
  <c r="AD406" i="12"/>
  <c r="AB406" i="12"/>
  <c r="Z406" i="12"/>
  <c r="X406" i="12"/>
  <c r="V406" i="12"/>
  <c r="F8" i="9"/>
  <c r="E9" i="9"/>
  <c r="C8" i="9"/>
  <c r="H29" i="8"/>
  <c r="T339" i="12"/>
  <c r="AI340" i="12" s="1"/>
  <c r="AF340" i="12" s="1"/>
  <c r="V339" i="12"/>
  <c r="AK340" i="12" s="1"/>
  <c r="X339" i="12"/>
  <c r="AD339" i="12"/>
  <c r="AB339" i="12"/>
  <c r="Z339" i="12"/>
  <c r="AJ340" i="12"/>
  <c r="E258" i="9"/>
  <c r="F257" i="9"/>
  <c r="C258" i="9"/>
  <c r="T59" i="12"/>
  <c r="AF58" i="12"/>
  <c r="T58" i="12" s="1"/>
  <c r="X59" i="12"/>
  <c r="AD59" i="12"/>
  <c r="AB59" i="12"/>
  <c r="Z59" i="12"/>
  <c r="V59" i="12"/>
  <c r="M29" i="10"/>
  <c r="K29" i="10"/>
  <c r="D29" i="10" s="1"/>
  <c r="C29" i="10" s="1"/>
  <c r="M214" i="10"/>
  <c r="H109" i="8"/>
  <c r="E339" i="9"/>
  <c r="F338" i="9"/>
  <c r="C339" i="9"/>
  <c r="L110" i="8"/>
  <c r="K109" i="8"/>
  <c r="O30" i="10"/>
  <c r="N30" i="10"/>
  <c r="L214" i="10"/>
  <c r="J214" i="10" s="1"/>
  <c r="I214" i="10" s="1"/>
  <c r="F214" i="10"/>
  <c r="D214" i="10" s="1"/>
  <c r="C214" i="10" s="1"/>
  <c r="AI34" i="12"/>
  <c r="H150" i="8"/>
  <c r="L150" i="8"/>
  <c r="K149" i="8"/>
  <c r="C496" i="12"/>
  <c r="E495" i="12"/>
  <c r="AJ257" i="12"/>
  <c r="AK137" i="12" l="1"/>
  <c r="AJ137" i="12"/>
  <c r="AI137" i="12"/>
  <c r="J149" i="8"/>
  <c r="I148" i="8"/>
  <c r="D148" i="8" s="1"/>
  <c r="G148" i="8"/>
  <c r="F449" i="9"/>
  <c r="E450" i="9"/>
  <c r="C450" i="9"/>
  <c r="E178" i="9"/>
  <c r="F177" i="9"/>
  <c r="C178" i="9"/>
  <c r="C497" i="12"/>
  <c r="E496" i="12"/>
  <c r="E257" i="9"/>
  <c r="F256" i="9"/>
  <c r="C257" i="9"/>
  <c r="H30" i="8"/>
  <c r="T371" i="12"/>
  <c r="AD371" i="12"/>
  <c r="AB371" i="12"/>
  <c r="Z371" i="12"/>
  <c r="X371" i="12"/>
  <c r="V371" i="12"/>
  <c r="K110" i="8"/>
  <c r="L111" i="8"/>
  <c r="AI407" i="12"/>
  <c r="AF407" i="12" s="1"/>
  <c r="AK407" i="12"/>
  <c r="AJ407" i="12"/>
  <c r="AJ97" i="12"/>
  <c r="AF97" i="12"/>
  <c r="T97" i="12"/>
  <c r="AI97" i="12" s="1"/>
  <c r="X97" i="12"/>
  <c r="V97" i="12"/>
  <c r="T98" i="12"/>
  <c r="AD98" i="12"/>
  <c r="X98" i="12"/>
  <c r="AD97" i="12"/>
  <c r="AB97" i="12"/>
  <c r="AB98" i="12"/>
  <c r="V98" i="12"/>
  <c r="Z97" i="12"/>
  <c r="Z98" i="12"/>
  <c r="AD554" i="12"/>
  <c r="T554" i="12"/>
  <c r="V554" i="12"/>
  <c r="X554" i="12"/>
  <c r="Z554" i="12"/>
  <c r="AB554" i="12"/>
  <c r="E414" i="9"/>
  <c r="F413" i="9"/>
  <c r="C414" i="9"/>
  <c r="AJ136" i="12"/>
  <c r="AK136" i="12"/>
  <c r="AI136" i="12"/>
  <c r="F569" i="9"/>
  <c r="E570" i="9"/>
  <c r="C570" i="9"/>
  <c r="F377" i="9"/>
  <c r="E378" i="9"/>
  <c r="C378" i="9"/>
  <c r="F32" i="10"/>
  <c r="E31" i="10"/>
  <c r="L65" i="10"/>
  <c r="J66" i="10"/>
  <c r="E250" i="10"/>
  <c r="G65" i="10"/>
  <c r="I65" i="10"/>
  <c r="K250" i="10"/>
  <c r="C422" i="12"/>
  <c r="H421" i="12"/>
  <c r="G421" i="12"/>
  <c r="E421" i="12"/>
  <c r="D106" i="8"/>
  <c r="T258" i="12"/>
  <c r="AB258" i="12"/>
  <c r="Z258" i="12"/>
  <c r="X258" i="12"/>
  <c r="V258" i="12"/>
  <c r="AF257" i="12"/>
  <c r="T257" i="12" s="1"/>
  <c r="AD258" i="12"/>
  <c r="N31" i="10"/>
  <c r="O31" i="10"/>
  <c r="L215" i="10"/>
  <c r="J215" i="10" s="1"/>
  <c r="I215" i="10" s="1"/>
  <c r="F215" i="10"/>
  <c r="D215" i="10" s="1"/>
  <c r="C215" i="10" s="1"/>
  <c r="L151" i="8"/>
  <c r="K150" i="8"/>
  <c r="F337" i="9"/>
  <c r="E338" i="9"/>
  <c r="C338" i="9"/>
  <c r="F7" i="9"/>
  <c r="C7" i="9" s="1"/>
  <c r="E8" i="9"/>
  <c r="K30" i="8"/>
  <c r="L31" i="8"/>
  <c r="E217" i="9"/>
  <c r="F216" i="9"/>
  <c r="C217" i="9"/>
  <c r="J108" i="8"/>
  <c r="I107" i="8"/>
  <c r="G107" i="8"/>
  <c r="F140" i="9"/>
  <c r="E141" i="9"/>
  <c r="C141" i="9"/>
  <c r="H151" i="8"/>
  <c r="V35" i="12"/>
  <c r="AB35" i="12"/>
  <c r="AD35" i="12"/>
  <c r="Z35" i="12"/>
  <c r="T35" i="12"/>
  <c r="AI35" i="12" s="1"/>
  <c r="AF35" i="12"/>
  <c r="X35" i="12"/>
  <c r="T215" i="12"/>
  <c r="AI216" i="12" s="1"/>
  <c r="AF216" i="12" s="1"/>
  <c r="AJ216" i="12"/>
  <c r="AK216" i="12"/>
  <c r="AK59" i="12"/>
  <c r="AJ59" i="12"/>
  <c r="AI59" i="12"/>
  <c r="AF59" i="12" s="1"/>
  <c r="AI520" i="12"/>
  <c r="AK520" i="12"/>
  <c r="AJ520" i="12"/>
  <c r="E40" i="9"/>
  <c r="F39" i="9"/>
  <c r="C39" i="9"/>
  <c r="AF171" i="12"/>
  <c r="V170" i="12"/>
  <c r="AD170" i="12"/>
  <c r="X170" i="12"/>
  <c r="Z170" i="12"/>
  <c r="AB170" i="12"/>
  <c r="H110" i="8"/>
  <c r="AK60" i="12"/>
  <c r="AI60" i="12"/>
  <c r="AJ60" i="12"/>
  <c r="F529" i="9"/>
  <c r="E530" i="9"/>
  <c r="C530" i="9"/>
  <c r="T444" i="12"/>
  <c r="AD444" i="12"/>
  <c r="AB444" i="12"/>
  <c r="Z444" i="12"/>
  <c r="X444" i="12"/>
  <c r="V444" i="12"/>
  <c r="J27" i="8"/>
  <c r="I26" i="8"/>
  <c r="D26" i="8" s="1"/>
  <c r="G26" i="8"/>
  <c r="H458" i="12"/>
  <c r="C459" i="12"/>
  <c r="E458" i="12"/>
  <c r="G458" i="12"/>
  <c r="Z287" i="12"/>
  <c r="T287" i="12"/>
  <c r="V287" i="12"/>
  <c r="X287" i="12"/>
  <c r="AB287" i="12"/>
  <c r="K30" i="10"/>
  <c r="D30" i="10" s="1"/>
  <c r="C30" i="10" s="1"/>
  <c r="M30" i="10"/>
  <c r="M215" i="10"/>
  <c r="T340" i="12"/>
  <c r="AI341" i="12" s="1"/>
  <c r="AF341" i="12" s="1"/>
  <c r="V340" i="12"/>
  <c r="AK341" i="12" s="1"/>
  <c r="AD340" i="12"/>
  <c r="AB340" i="12"/>
  <c r="Z340" i="12"/>
  <c r="X340" i="12"/>
  <c r="AJ341" i="12"/>
  <c r="D147" i="8"/>
  <c r="E296" i="9"/>
  <c r="F295" i="9"/>
  <c r="C296" i="9"/>
  <c r="F215" i="9" l="1"/>
  <c r="E216" i="9"/>
  <c r="C216" i="9"/>
  <c r="E337" i="9"/>
  <c r="F336" i="9"/>
  <c r="C337" i="9"/>
  <c r="AK288" i="12"/>
  <c r="AI288" i="12"/>
  <c r="AJ288" i="12"/>
  <c r="T61" i="12"/>
  <c r="V61" i="12"/>
  <c r="AD61" i="12"/>
  <c r="AF60" i="12"/>
  <c r="T60" i="12" s="1"/>
  <c r="AB61" i="12"/>
  <c r="Z61" i="12"/>
  <c r="X61" i="12"/>
  <c r="AF36" i="12"/>
  <c r="Z36" i="12"/>
  <c r="V36" i="12"/>
  <c r="X36" i="12"/>
  <c r="AB36" i="12"/>
  <c r="AD36" i="12"/>
  <c r="T36" i="12"/>
  <c r="E140" i="9"/>
  <c r="F139" i="9"/>
  <c r="C140" i="9"/>
  <c r="K151" i="8"/>
  <c r="L152" i="8"/>
  <c r="I66" i="10"/>
  <c r="E251" i="10"/>
  <c r="L67" i="10"/>
  <c r="K251" i="10"/>
  <c r="G66" i="10"/>
  <c r="J155" i="10"/>
  <c r="AJ98" i="12"/>
  <c r="AF98" i="12"/>
  <c r="H111" i="8"/>
  <c r="AK172" i="12"/>
  <c r="AJ172" i="12"/>
  <c r="AI172" i="12"/>
  <c r="D107" i="8"/>
  <c r="AM98" i="12"/>
  <c r="AN98" i="12" s="1"/>
  <c r="AK98" i="12"/>
  <c r="AL98" i="12" s="1"/>
  <c r="E569" i="9"/>
  <c r="F568" i="9"/>
  <c r="C569" i="9"/>
  <c r="E497" i="12"/>
  <c r="C498" i="12"/>
  <c r="E449" i="9"/>
  <c r="F448" i="9"/>
  <c r="C449" i="9"/>
  <c r="J109" i="8"/>
  <c r="I108" i="8"/>
  <c r="D108" i="8" s="1"/>
  <c r="G108" i="8"/>
  <c r="F6" i="9"/>
  <c r="E7" i="9"/>
  <c r="O32" i="10"/>
  <c r="L216" i="10"/>
  <c r="J216" i="10" s="1"/>
  <c r="I216" i="10" s="1"/>
  <c r="N32" i="10"/>
  <c r="F216" i="10"/>
  <c r="D216" i="10" s="1"/>
  <c r="C216" i="10" s="1"/>
  <c r="AI445" i="12"/>
  <c r="AF445" i="12" s="1"/>
  <c r="AK445" i="12"/>
  <c r="AJ445" i="12"/>
  <c r="E39" i="9"/>
  <c r="F38" i="9"/>
  <c r="C38" i="9"/>
  <c r="M31" i="10"/>
  <c r="K31" i="10"/>
  <c r="D31" i="10" s="1"/>
  <c r="C31" i="10" s="1"/>
  <c r="M216" i="10"/>
  <c r="F33" i="10"/>
  <c r="E32" i="10"/>
  <c r="AI372" i="12"/>
  <c r="AF372" i="12" s="1"/>
  <c r="AJ372" i="12"/>
  <c r="AK372" i="12"/>
  <c r="X341" i="12"/>
  <c r="V341" i="12"/>
  <c r="AK342" i="12" s="1"/>
  <c r="T341" i="12"/>
  <c r="AI342" i="12" s="1"/>
  <c r="AF342" i="12" s="1"/>
  <c r="AD341" i="12"/>
  <c r="AB341" i="12"/>
  <c r="Z341" i="12"/>
  <c r="AJ342" i="12"/>
  <c r="E459" i="12"/>
  <c r="C460" i="12"/>
  <c r="H459" i="12"/>
  <c r="G459" i="12"/>
  <c r="AJ217" i="12"/>
  <c r="AK217" i="12"/>
  <c r="AI258" i="12"/>
  <c r="AF258" i="12" s="1"/>
  <c r="AK259" i="12" s="1"/>
  <c r="AK258" i="12"/>
  <c r="AJ258" i="12"/>
  <c r="C423" i="12"/>
  <c r="H422" i="12"/>
  <c r="G422" i="12"/>
  <c r="E422" i="12"/>
  <c r="T407" i="12"/>
  <c r="V407" i="12"/>
  <c r="Z407" i="12"/>
  <c r="X407" i="12"/>
  <c r="AD407" i="12"/>
  <c r="AB407" i="12"/>
  <c r="H31" i="8"/>
  <c r="F176" i="9"/>
  <c r="E177" i="9"/>
  <c r="C177" i="9"/>
  <c r="J150" i="8"/>
  <c r="I149" i="8"/>
  <c r="G149" i="8"/>
  <c r="K111" i="8"/>
  <c r="L112" i="8"/>
  <c r="AF138" i="12"/>
  <c r="AF137" i="12"/>
  <c r="F294" i="9"/>
  <c r="E295" i="9"/>
  <c r="C295" i="9"/>
  <c r="AJ555" i="12"/>
  <c r="AI555" i="12"/>
  <c r="AF555" i="12" s="1"/>
  <c r="AK555" i="12"/>
  <c r="AI98" i="12"/>
  <c r="AI217" i="12"/>
  <c r="H152" i="8"/>
  <c r="I27" i="8"/>
  <c r="J28" i="8"/>
  <c r="G27" i="8"/>
  <c r="E529" i="9"/>
  <c r="F528" i="9"/>
  <c r="C529" i="9"/>
  <c r="AD521" i="12"/>
  <c r="AF520" i="12"/>
  <c r="K31" i="8"/>
  <c r="L32" i="8"/>
  <c r="K32" i="8" s="1"/>
  <c r="E377" i="9"/>
  <c r="F376" i="9"/>
  <c r="C377" i="9"/>
  <c r="F412" i="9"/>
  <c r="E413" i="9"/>
  <c r="C413" i="9"/>
  <c r="E256" i="9"/>
  <c r="F255" i="9"/>
  <c r="C256" i="9"/>
  <c r="AF172" i="12" l="1"/>
  <c r="T172" i="12" s="1"/>
  <c r="T173" i="12"/>
  <c r="AD171" i="12"/>
  <c r="X171" i="12"/>
  <c r="AB171" i="12"/>
  <c r="V171" i="12"/>
  <c r="Z171" i="12"/>
  <c r="AF288" i="12"/>
  <c r="AD289" i="12"/>
  <c r="D149" i="8"/>
  <c r="V372" i="12"/>
  <c r="T372" i="12"/>
  <c r="Z372" i="12"/>
  <c r="AB372" i="12"/>
  <c r="X372" i="12"/>
  <c r="AD372" i="12"/>
  <c r="E6" i="9"/>
  <c r="F5" i="9"/>
  <c r="D27" i="8"/>
  <c r="T521" i="12"/>
  <c r="AB520" i="12"/>
  <c r="Z520" i="12"/>
  <c r="V520" i="12"/>
  <c r="X520" i="12"/>
  <c r="AJ521" i="12"/>
  <c r="AI521" i="12"/>
  <c r="AF521" i="12" s="1"/>
  <c r="AK521" i="12"/>
  <c r="H153" i="8"/>
  <c r="J151" i="8"/>
  <c r="I150" i="8"/>
  <c r="G150" i="8"/>
  <c r="T218" i="12"/>
  <c r="AF217" i="12"/>
  <c r="V218" i="12"/>
  <c r="AD218" i="12"/>
  <c r="AB218" i="12"/>
  <c r="Z218" i="12"/>
  <c r="X218" i="12"/>
  <c r="F34" i="10"/>
  <c r="E33" i="10"/>
  <c r="T445" i="12"/>
  <c r="AB445" i="12"/>
  <c r="Z445" i="12"/>
  <c r="X445" i="12"/>
  <c r="V445" i="12"/>
  <c r="AD445" i="12"/>
  <c r="F567" i="9"/>
  <c r="E568" i="9"/>
  <c r="C568" i="9"/>
  <c r="F138" i="9"/>
  <c r="E139" i="9"/>
  <c r="C139" i="9"/>
  <c r="F293" i="9"/>
  <c r="E294" i="9"/>
  <c r="C294" i="9"/>
  <c r="H112" i="8"/>
  <c r="E336" i="9"/>
  <c r="F335" i="9"/>
  <c r="C336" i="9"/>
  <c r="F411" i="9"/>
  <c r="E412" i="9"/>
  <c r="C412" i="9"/>
  <c r="AI408" i="12"/>
  <c r="AF408" i="12" s="1"/>
  <c r="AK408" i="12"/>
  <c r="AJ408" i="12"/>
  <c r="T342" i="12"/>
  <c r="AI343" i="12" s="1"/>
  <c r="AF343" i="12" s="1"/>
  <c r="V342" i="12"/>
  <c r="AK343" i="12" s="1"/>
  <c r="AD342" i="12"/>
  <c r="AB342" i="12"/>
  <c r="Z342" i="12"/>
  <c r="X342" i="12"/>
  <c r="AJ343" i="12"/>
  <c r="J110" i="8"/>
  <c r="I109" i="8"/>
  <c r="G109" i="8"/>
  <c r="AB137" i="12"/>
  <c r="T137" i="12"/>
  <c r="V137" i="12"/>
  <c r="Z137" i="12"/>
  <c r="X137" i="12"/>
  <c r="AD137" i="12"/>
  <c r="AI259" i="12"/>
  <c r="AI36" i="12"/>
  <c r="AI61" i="12"/>
  <c r="AF61" i="12" s="1"/>
  <c r="AK62" i="12" s="1"/>
  <c r="AK61" i="12"/>
  <c r="AJ61" i="12"/>
  <c r="F527" i="9"/>
  <c r="E528" i="9"/>
  <c r="C528" i="9"/>
  <c r="AF99" i="12"/>
  <c r="AJ99" i="12"/>
  <c r="T100" i="12"/>
  <c r="T99" i="12"/>
  <c r="AI99" i="12" s="1"/>
  <c r="AD99" i="12"/>
  <c r="Z99" i="12"/>
  <c r="AD100" i="12"/>
  <c r="Z100" i="12"/>
  <c r="X99" i="12"/>
  <c r="X100" i="12"/>
  <c r="V99" i="12"/>
  <c r="AB100" i="12"/>
  <c r="V100" i="12"/>
  <c r="AB99" i="12"/>
  <c r="T138" i="12"/>
  <c r="Z138" i="12"/>
  <c r="X138" i="12"/>
  <c r="V138" i="12"/>
  <c r="AD138" i="12"/>
  <c r="AB138" i="12"/>
  <c r="F175" i="9"/>
  <c r="E176" i="9"/>
  <c r="C176" i="9"/>
  <c r="K32" i="10"/>
  <c r="D32" i="10" s="1"/>
  <c r="C32" i="10" s="1"/>
  <c r="M32" i="10"/>
  <c r="M217" i="10"/>
  <c r="AM99" i="12"/>
  <c r="AN99" i="12" s="1"/>
  <c r="AK99" i="12"/>
  <c r="AL99" i="12" s="1"/>
  <c r="AJ259" i="12"/>
  <c r="AB555" i="12"/>
  <c r="AD555" i="12"/>
  <c r="T555" i="12"/>
  <c r="X555" i="12"/>
  <c r="Z555" i="12"/>
  <c r="V555" i="12"/>
  <c r="E376" i="9"/>
  <c r="F375" i="9"/>
  <c r="C376" i="9"/>
  <c r="L113" i="8"/>
  <c r="K113" i="8" s="1"/>
  <c r="K112" i="8"/>
  <c r="F447" i="9"/>
  <c r="E448" i="9"/>
  <c r="C448" i="9"/>
  <c r="K152" i="8"/>
  <c r="L153" i="8"/>
  <c r="AJ62" i="12"/>
  <c r="AI62" i="12"/>
  <c r="H32" i="8"/>
  <c r="H423" i="12"/>
  <c r="G423" i="12"/>
  <c r="C424" i="12"/>
  <c r="E423" i="12"/>
  <c r="H460" i="12"/>
  <c r="G460" i="12"/>
  <c r="E460" i="12"/>
  <c r="C461" i="12"/>
  <c r="O33" i="10"/>
  <c r="N33" i="10"/>
  <c r="L217" i="10"/>
  <c r="J217" i="10" s="1"/>
  <c r="I217" i="10" s="1"/>
  <c r="F217" i="10"/>
  <c r="D217" i="10" s="1"/>
  <c r="C217" i="10" s="1"/>
  <c r="F254" i="9"/>
  <c r="E255" i="9"/>
  <c r="C255" i="9"/>
  <c r="J29" i="8"/>
  <c r="I28" i="8"/>
  <c r="D28" i="8" s="1"/>
  <c r="G28" i="8"/>
  <c r="E38" i="9"/>
  <c r="F37" i="9"/>
  <c r="C37" i="9" s="1"/>
  <c r="C6" i="9"/>
  <c r="E498" i="12"/>
  <c r="C499" i="12"/>
  <c r="E215" i="9"/>
  <c r="F214" i="9"/>
  <c r="C215" i="9"/>
  <c r="L154" i="8" l="1"/>
  <c r="K154" i="8" s="1"/>
  <c r="K153" i="8"/>
  <c r="E214" i="9"/>
  <c r="F213" i="9"/>
  <c r="C214" i="9"/>
  <c r="M33" i="10"/>
  <c r="K33" i="10"/>
  <c r="D33" i="10" s="1"/>
  <c r="C33" i="10" s="1"/>
  <c r="M218" i="10"/>
  <c r="F446" i="9"/>
  <c r="E447" i="9"/>
  <c r="C447" i="9"/>
  <c r="F526" i="9"/>
  <c r="E527" i="9"/>
  <c r="C527" i="9"/>
  <c r="E293" i="9"/>
  <c r="F292" i="9"/>
  <c r="C293" i="9"/>
  <c r="F4" i="9"/>
  <c r="E4" i="9" s="1"/>
  <c r="E5" i="9"/>
  <c r="C4" i="9"/>
  <c r="O34" i="10"/>
  <c r="L218" i="10"/>
  <c r="J218" i="10" s="1"/>
  <c r="I218" i="10" s="1"/>
  <c r="N34" i="10"/>
  <c r="F218" i="10"/>
  <c r="D218" i="10" s="1"/>
  <c r="C218" i="10" s="1"/>
  <c r="H33" i="8"/>
  <c r="AI138" i="12"/>
  <c r="AK138" i="12"/>
  <c r="AJ138" i="12"/>
  <c r="AB521" i="12"/>
  <c r="X521" i="12"/>
  <c r="V521" i="12"/>
  <c r="T522" i="12"/>
  <c r="Z521" i="12"/>
  <c r="C462" i="12"/>
  <c r="G461" i="12"/>
  <c r="H461" i="12"/>
  <c r="E461" i="12"/>
  <c r="AJ556" i="12"/>
  <c r="AK556" i="12"/>
  <c r="AI556" i="12"/>
  <c r="AF556" i="12" s="1"/>
  <c r="V343" i="12"/>
  <c r="AK344" i="12" s="1"/>
  <c r="T343" i="12"/>
  <c r="AI344" i="12" s="1"/>
  <c r="AF344" i="12" s="1"/>
  <c r="X343" i="12"/>
  <c r="AD343" i="12"/>
  <c r="AB343" i="12"/>
  <c r="Z343" i="12"/>
  <c r="AJ344" i="12"/>
  <c r="T288" i="12"/>
  <c r="X288" i="12"/>
  <c r="V288" i="12"/>
  <c r="AB288" i="12"/>
  <c r="Z288" i="12"/>
  <c r="AJ100" i="12"/>
  <c r="AF100" i="12"/>
  <c r="F334" i="9"/>
  <c r="E335" i="9"/>
  <c r="C335" i="9"/>
  <c r="T217" i="12"/>
  <c r="AI218" i="12" s="1"/>
  <c r="AF218" i="12" s="1"/>
  <c r="AK218" i="12"/>
  <c r="AJ218" i="12"/>
  <c r="E499" i="12"/>
  <c r="C500" i="12"/>
  <c r="AI100" i="12"/>
  <c r="D109" i="8"/>
  <c r="E138" i="9"/>
  <c r="F137" i="9"/>
  <c r="C138" i="9"/>
  <c r="AI219" i="12"/>
  <c r="AF62" i="12"/>
  <c r="T62" i="12" s="1"/>
  <c r="T63" i="12"/>
  <c r="AD63" i="12"/>
  <c r="AB63" i="12"/>
  <c r="Z63" i="12"/>
  <c r="X63" i="12"/>
  <c r="V63" i="12"/>
  <c r="AJ139" i="12"/>
  <c r="AK139" i="12"/>
  <c r="AI139" i="12"/>
  <c r="J30" i="8"/>
  <c r="I29" i="8"/>
  <c r="G29" i="8"/>
  <c r="AI446" i="12"/>
  <c r="AF446" i="12" s="1"/>
  <c r="AK446" i="12"/>
  <c r="AJ446" i="12"/>
  <c r="D150" i="8"/>
  <c r="AK373" i="12"/>
  <c r="AI373" i="12"/>
  <c r="AF373" i="12" s="1"/>
  <c r="AJ373" i="12"/>
  <c r="T408" i="12"/>
  <c r="X408" i="12"/>
  <c r="AD408" i="12"/>
  <c r="AB408" i="12"/>
  <c r="Z408" i="12"/>
  <c r="V408" i="12"/>
  <c r="F174" i="9"/>
  <c r="E175" i="9"/>
  <c r="C175" i="9"/>
  <c r="AK100" i="12"/>
  <c r="AL100" i="12" s="1"/>
  <c r="AM100" i="12"/>
  <c r="AN100" i="12" s="1"/>
  <c r="E254" i="9"/>
  <c r="F253" i="9"/>
  <c r="C254" i="9"/>
  <c r="C425" i="12"/>
  <c r="G424" i="12"/>
  <c r="H424" i="12"/>
  <c r="E424" i="12"/>
  <c r="E375" i="9"/>
  <c r="F374" i="9"/>
  <c r="C375" i="9"/>
  <c r="F35" i="10"/>
  <c r="E34" i="10"/>
  <c r="I151" i="8"/>
  <c r="J152" i="8"/>
  <c r="G151" i="8"/>
  <c r="AK522" i="12"/>
  <c r="AI522" i="12"/>
  <c r="AJ522" i="12"/>
  <c r="V260" i="12"/>
  <c r="T260" i="12"/>
  <c r="AF259" i="12"/>
  <c r="T259" i="12" s="1"/>
  <c r="AD260" i="12"/>
  <c r="AB260" i="12"/>
  <c r="Z260" i="12"/>
  <c r="X260" i="12"/>
  <c r="J111" i="8"/>
  <c r="I110" i="8"/>
  <c r="G110" i="8"/>
  <c r="H113" i="8"/>
  <c r="E37" i="9"/>
  <c r="F36" i="9"/>
  <c r="C36" i="9" s="1"/>
  <c r="F566" i="9"/>
  <c r="E567" i="9"/>
  <c r="C567" i="9"/>
  <c r="E411" i="9"/>
  <c r="F410" i="9"/>
  <c r="C411" i="9"/>
  <c r="H154" i="8"/>
  <c r="C5" i="9"/>
  <c r="AI173" i="12"/>
  <c r="AJ173" i="12"/>
  <c r="AK173" i="12"/>
  <c r="J153" i="8" l="1"/>
  <c r="I152" i="8"/>
  <c r="G152" i="8"/>
  <c r="I30" i="8"/>
  <c r="J31" i="8"/>
  <c r="G30" i="8"/>
  <c r="AJ63" i="12"/>
  <c r="AK63" i="12"/>
  <c r="AI63" i="12"/>
  <c r="AF63" i="12" s="1"/>
  <c r="C501" i="12"/>
  <c r="E501" i="12" s="1"/>
  <c r="E500" i="12"/>
  <c r="AM101" i="12"/>
  <c r="AN101" i="12" s="1"/>
  <c r="AK101" i="12"/>
  <c r="AL101" i="12" s="1"/>
  <c r="C463" i="12"/>
  <c r="G462" i="12"/>
  <c r="E462" i="12"/>
  <c r="H462" i="12"/>
  <c r="F445" i="9"/>
  <c r="E446" i="9"/>
  <c r="C446" i="9"/>
  <c r="D151" i="8"/>
  <c r="G425" i="12"/>
  <c r="C426" i="12"/>
  <c r="H425" i="12"/>
  <c r="E425" i="12"/>
  <c r="F173" i="9"/>
  <c r="E174" i="9"/>
  <c r="C174" i="9"/>
  <c r="T373" i="12"/>
  <c r="AD373" i="12"/>
  <c r="AB373" i="12"/>
  <c r="Z373" i="12"/>
  <c r="X373" i="12"/>
  <c r="V373" i="12"/>
  <c r="AF139" i="12"/>
  <c r="AF140" i="12"/>
  <c r="AF219" i="12"/>
  <c r="AB220" i="12"/>
  <c r="Z220" i="12"/>
  <c r="X220" i="12"/>
  <c r="T220" i="12"/>
  <c r="AD220" i="12"/>
  <c r="V220" i="12"/>
  <c r="G33" i="8"/>
  <c r="F33" i="8"/>
  <c r="E292" i="9"/>
  <c r="F291" i="9"/>
  <c r="C292" i="9"/>
  <c r="H114" i="8"/>
  <c r="H155" i="8"/>
  <c r="D110" i="8"/>
  <c r="V344" i="12"/>
  <c r="AK345" i="12" s="1"/>
  <c r="T344" i="12"/>
  <c r="AI345" i="12" s="1"/>
  <c r="AF345" i="12" s="1"/>
  <c r="X344" i="12"/>
  <c r="AD344" i="12"/>
  <c r="AB344" i="12"/>
  <c r="Z344" i="12"/>
  <c r="AJ345" i="12"/>
  <c r="AK260" i="12"/>
  <c r="AJ260" i="12"/>
  <c r="AI260" i="12"/>
  <c r="AF260" i="12" s="1"/>
  <c r="AJ261" i="12" s="1"/>
  <c r="AF173" i="12"/>
  <c r="AD172" i="12"/>
  <c r="X172" i="12"/>
  <c r="AB172" i="12"/>
  <c r="V172" i="12"/>
  <c r="Z172" i="12"/>
  <c r="K34" i="10"/>
  <c r="D34" i="10" s="1"/>
  <c r="C34" i="10" s="1"/>
  <c r="M34" i="10"/>
  <c r="M219" i="10"/>
  <c r="E566" i="9"/>
  <c r="F565" i="9"/>
  <c r="C566" i="9"/>
  <c r="J112" i="8"/>
  <c r="I111" i="8"/>
  <c r="G111" i="8"/>
  <c r="F252" i="9"/>
  <c r="E253" i="9"/>
  <c r="C253" i="9"/>
  <c r="AI409" i="12"/>
  <c r="AF409" i="12" s="1"/>
  <c r="AJ409" i="12"/>
  <c r="AK409" i="12"/>
  <c r="F36" i="10"/>
  <c r="E35" i="10"/>
  <c r="F136" i="9"/>
  <c r="E137" i="9"/>
  <c r="C137" i="9"/>
  <c r="AD556" i="12"/>
  <c r="T556" i="12"/>
  <c r="X556" i="12"/>
  <c r="Z556" i="12"/>
  <c r="V556" i="12"/>
  <c r="AB556" i="12"/>
  <c r="F409" i="9"/>
  <c r="E410" i="9"/>
  <c r="C410" i="9"/>
  <c r="AJ219" i="12"/>
  <c r="AK219" i="12"/>
  <c r="O35" i="10"/>
  <c r="N35" i="10"/>
  <c r="F219" i="10"/>
  <c r="D219" i="10" s="1"/>
  <c r="C219" i="10" s="1"/>
  <c r="L219" i="10"/>
  <c r="J219" i="10" s="1"/>
  <c r="I219" i="10" s="1"/>
  <c r="F525" i="9"/>
  <c r="E526" i="9"/>
  <c r="C526" i="9"/>
  <c r="F212" i="9"/>
  <c r="E213" i="9"/>
  <c r="C213" i="9"/>
  <c r="F35" i="9"/>
  <c r="E36" i="9"/>
  <c r="F373" i="9"/>
  <c r="E374" i="9"/>
  <c r="C374" i="9"/>
  <c r="T446" i="12"/>
  <c r="AB446" i="12"/>
  <c r="AD446" i="12"/>
  <c r="Z446" i="12"/>
  <c r="V446" i="12"/>
  <c r="X446" i="12"/>
  <c r="AI289" i="12"/>
  <c r="AF289" i="12" s="1"/>
  <c r="AJ289" i="12"/>
  <c r="AK289" i="12"/>
  <c r="AF522" i="12"/>
  <c r="AD523" i="12"/>
  <c r="AF101" i="12"/>
  <c r="T101" i="12"/>
  <c r="T102" i="12"/>
  <c r="AD102" i="12"/>
  <c r="Z102" i="12"/>
  <c r="V102" i="12"/>
  <c r="AJ101" i="12"/>
  <c r="X102" i="12"/>
  <c r="AD101" i="12"/>
  <c r="AB102" i="12"/>
  <c r="AB101" i="12"/>
  <c r="Z101" i="12"/>
  <c r="X101" i="12"/>
  <c r="V101" i="12"/>
  <c r="D29" i="8"/>
  <c r="AK64" i="12"/>
  <c r="AI64" i="12"/>
  <c r="AJ64" i="12"/>
  <c r="E334" i="9"/>
  <c r="F333" i="9"/>
  <c r="C334" i="9"/>
  <c r="F34" i="9" l="1"/>
  <c r="E34" i="9" s="1"/>
  <c r="E35" i="9"/>
  <c r="C34" i="9"/>
  <c r="T219" i="12"/>
  <c r="AI220" i="12" s="1"/>
  <c r="AF220" i="12" s="1"/>
  <c r="AK220" i="12"/>
  <c r="AJ220" i="12"/>
  <c r="M35" i="10"/>
  <c r="K35" i="10"/>
  <c r="D35" i="10" s="1"/>
  <c r="C35" i="10" s="1"/>
  <c r="M220" i="10"/>
  <c r="F37" i="10"/>
  <c r="E36" i="10"/>
  <c r="D111" i="8"/>
  <c r="AK174" i="12"/>
  <c r="AI174" i="12"/>
  <c r="AJ174" i="12"/>
  <c r="T140" i="12"/>
  <c r="AD140" i="12"/>
  <c r="X140" i="12"/>
  <c r="V140" i="12"/>
  <c r="AB140" i="12"/>
  <c r="Z140" i="12"/>
  <c r="E445" i="9"/>
  <c r="F444" i="9"/>
  <c r="C445" i="9"/>
  <c r="E291" i="9"/>
  <c r="F290" i="9"/>
  <c r="C291" i="9"/>
  <c r="Z522" i="12"/>
  <c r="T523" i="12"/>
  <c r="X522" i="12"/>
  <c r="V522" i="12"/>
  <c r="AB522" i="12"/>
  <c r="J113" i="8"/>
  <c r="I112" i="8"/>
  <c r="G112" i="8"/>
  <c r="AD139" i="12"/>
  <c r="T139" i="12"/>
  <c r="X139" i="12"/>
  <c r="V139" i="12"/>
  <c r="AB139" i="12"/>
  <c r="Z139" i="12"/>
  <c r="E173" i="9"/>
  <c r="F172" i="9"/>
  <c r="C173" i="9"/>
  <c r="T345" i="12"/>
  <c r="AI346" i="12" s="1"/>
  <c r="AF346" i="12" s="1"/>
  <c r="X345" i="12"/>
  <c r="V345" i="12"/>
  <c r="AK346" i="12" s="1"/>
  <c r="AD345" i="12"/>
  <c r="AB345" i="12"/>
  <c r="Z345" i="12"/>
  <c r="AJ346" i="12"/>
  <c r="AF64" i="12"/>
  <c r="T64" i="12" s="1"/>
  <c r="AB65" i="12"/>
  <c r="T65" i="12"/>
  <c r="AD65" i="12"/>
  <c r="Z65" i="12"/>
  <c r="X65" i="12"/>
  <c r="V65" i="12"/>
  <c r="O36" i="10"/>
  <c r="N36" i="10"/>
  <c r="L220" i="10"/>
  <c r="J220" i="10" s="1"/>
  <c r="I220" i="10" s="1"/>
  <c r="F220" i="10"/>
  <c r="D220" i="10" s="1"/>
  <c r="C220" i="10" s="1"/>
  <c r="E33" i="8"/>
  <c r="F32" i="8"/>
  <c r="D33" i="8"/>
  <c r="C33" i="8" s="1"/>
  <c r="AI447" i="12"/>
  <c r="AF447" i="12" s="1"/>
  <c r="AK447" i="12"/>
  <c r="AJ447" i="12"/>
  <c r="AJ557" i="12"/>
  <c r="AK557" i="12"/>
  <c r="AI557" i="12"/>
  <c r="AF557" i="12" s="1"/>
  <c r="AI523" i="12"/>
  <c r="AF523" i="12" s="1"/>
  <c r="G155" i="8"/>
  <c r="F155" i="8"/>
  <c r="F211" i="9"/>
  <c r="E212" i="9"/>
  <c r="C212" i="9"/>
  <c r="T409" i="12"/>
  <c r="AD409" i="12"/>
  <c r="X409" i="12"/>
  <c r="V409" i="12"/>
  <c r="AB409" i="12"/>
  <c r="Z409" i="12"/>
  <c r="AJ523" i="12"/>
  <c r="I31" i="8"/>
  <c r="D31" i="8" s="1"/>
  <c r="J32" i="8"/>
  <c r="G31" i="8"/>
  <c r="AK102" i="12"/>
  <c r="AL102" i="12" s="1"/>
  <c r="AM102" i="12"/>
  <c r="AN102" i="12" s="1"/>
  <c r="V289" i="12"/>
  <c r="T289" i="12"/>
  <c r="AB289" i="12"/>
  <c r="X289" i="12"/>
  <c r="Z289" i="12"/>
  <c r="F564" i="9"/>
  <c r="E565" i="9"/>
  <c r="C565" i="9"/>
  <c r="AK523" i="12"/>
  <c r="G114" i="8"/>
  <c r="D114" i="8" s="1"/>
  <c r="C114" i="8" s="1"/>
  <c r="F114" i="8"/>
  <c r="C427" i="12"/>
  <c r="H426" i="12"/>
  <c r="G426" i="12"/>
  <c r="E426" i="12"/>
  <c r="G463" i="12"/>
  <c r="H463" i="12"/>
  <c r="C464" i="12"/>
  <c r="E463" i="12"/>
  <c r="D30" i="8"/>
  <c r="AI221" i="12"/>
  <c r="E373" i="9"/>
  <c r="F372" i="9"/>
  <c r="C373" i="9"/>
  <c r="AI261" i="12"/>
  <c r="E333" i="9"/>
  <c r="F332" i="9"/>
  <c r="C333" i="9"/>
  <c r="C35" i="9"/>
  <c r="F524" i="9"/>
  <c r="E525" i="9"/>
  <c r="C525" i="9"/>
  <c r="F408" i="9"/>
  <c r="E409" i="9"/>
  <c r="C409" i="9"/>
  <c r="E136" i="9"/>
  <c r="F135" i="9"/>
  <c r="C136" i="9"/>
  <c r="AK261" i="12"/>
  <c r="D152" i="8"/>
  <c r="AK374" i="12"/>
  <c r="AJ374" i="12"/>
  <c r="AI374" i="12"/>
  <c r="AF374" i="12" s="1"/>
  <c r="AI101" i="12"/>
  <c r="E252" i="9"/>
  <c r="F251" i="9"/>
  <c r="C252" i="9"/>
  <c r="J154" i="8"/>
  <c r="I153" i="8"/>
  <c r="G153" i="8"/>
  <c r="H464" i="12" l="1"/>
  <c r="G464" i="12"/>
  <c r="E464" i="12"/>
  <c r="F38" i="10"/>
  <c r="E37" i="10"/>
  <c r="T524" i="12"/>
  <c r="AB523" i="12"/>
  <c r="Z523" i="12"/>
  <c r="X523" i="12"/>
  <c r="V523" i="12"/>
  <c r="E32" i="8"/>
  <c r="F31" i="8"/>
  <c r="T346" i="12"/>
  <c r="AI347" i="12" s="1"/>
  <c r="AF347" i="12" s="1"/>
  <c r="V346" i="12"/>
  <c r="AK347" i="12" s="1"/>
  <c r="Z346" i="12"/>
  <c r="X346" i="12"/>
  <c r="AB346" i="12"/>
  <c r="AD346" i="12"/>
  <c r="AJ347" i="12"/>
  <c r="AJ140" i="12"/>
  <c r="AI140" i="12"/>
  <c r="AK140" i="12"/>
  <c r="I32" i="8"/>
  <c r="G32" i="8"/>
  <c r="AK410" i="12"/>
  <c r="AJ410" i="12"/>
  <c r="AI410" i="12"/>
  <c r="AF410" i="12" s="1"/>
  <c r="AD557" i="12"/>
  <c r="AB557" i="12"/>
  <c r="V557" i="12"/>
  <c r="X557" i="12"/>
  <c r="Z557" i="12"/>
  <c r="T557" i="12"/>
  <c r="AK66" i="12"/>
  <c r="AJ66" i="12"/>
  <c r="AI66" i="12"/>
  <c r="F371" i="9"/>
  <c r="E372" i="9"/>
  <c r="C372" i="9"/>
  <c r="E564" i="9"/>
  <c r="F563" i="9"/>
  <c r="C564" i="9"/>
  <c r="F289" i="9"/>
  <c r="E290" i="9"/>
  <c r="C290" i="9"/>
  <c r="AK65" i="12"/>
  <c r="AI65" i="12"/>
  <c r="AF65" i="12" s="1"/>
  <c r="AJ65" i="12"/>
  <c r="D112" i="8"/>
  <c r="AK141" i="12"/>
  <c r="AI141" i="12"/>
  <c r="AJ141" i="12"/>
  <c r="F523" i="9"/>
  <c r="E524" i="9"/>
  <c r="C524" i="9"/>
  <c r="F134" i="9"/>
  <c r="E135" i="9"/>
  <c r="C135" i="9"/>
  <c r="F171" i="9"/>
  <c r="E172" i="9"/>
  <c r="C172" i="9"/>
  <c r="I113" i="8"/>
  <c r="G113" i="8"/>
  <c r="AF174" i="12"/>
  <c r="T174" i="12" s="1"/>
  <c r="T175" i="12"/>
  <c r="AB173" i="12"/>
  <c r="Z173" i="12"/>
  <c r="AD173" i="12"/>
  <c r="V173" i="12"/>
  <c r="X173" i="12"/>
  <c r="AJ221" i="12"/>
  <c r="AK221" i="12"/>
  <c r="AF102" i="12"/>
  <c r="AJ102" i="12"/>
  <c r="E211" i="9"/>
  <c r="F210" i="9"/>
  <c r="C211" i="9"/>
  <c r="F331" i="9"/>
  <c r="E332" i="9"/>
  <c r="C332" i="9"/>
  <c r="T222" i="12"/>
  <c r="AF221" i="12"/>
  <c r="AD222" i="12"/>
  <c r="AB222" i="12"/>
  <c r="Z222" i="12"/>
  <c r="X222" i="12"/>
  <c r="V222" i="12"/>
  <c r="T262" i="12"/>
  <c r="AF261" i="12"/>
  <c r="T261" i="12" s="1"/>
  <c r="AB262" i="12"/>
  <c r="V262" i="12"/>
  <c r="AD262" i="12"/>
  <c r="Z262" i="12"/>
  <c r="X262" i="12"/>
  <c r="E251" i="9"/>
  <c r="F250" i="9"/>
  <c r="C251" i="9"/>
  <c r="T374" i="12"/>
  <c r="X374" i="12"/>
  <c r="AB374" i="12"/>
  <c r="Z374" i="12"/>
  <c r="V374" i="12"/>
  <c r="AD374" i="12"/>
  <c r="H427" i="12"/>
  <c r="G427" i="12"/>
  <c r="C428" i="12"/>
  <c r="E427" i="12"/>
  <c r="M36" i="10"/>
  <c r="K36" i="10"/>
  <c r="D36" i="10" s="1"/>
  <c r="C36" i="10" s="1"/>
  <c r="M221" i="10"/>
  <c r="N37" i="10"/>
  <c r="O37" i="10"/>
  <c r="F221" i="10"/>
  <c r="D221" i="10" s="1"/>
  <c r="C221" i="10" s="1"/>
  <c r="L221" i="10"/>
  <c r="J221" i="10" s="1"/>
  <c r="I221" i="10" s="1"/>
  <c r="D153" i="8"/>
  <c r="F407" i="9"/>
  <c r="E408" i="9"/>
  <c r="C408" i="9"/>
  <c r="F113" i="8"/>
  <c r="E114" i="8"/>
  <c r="AI290" i="12"/>
  <c r="AJ290" i="12"/>
  <c r="AK290" i="12"/>
  <c r="T447" i="12"/>
  <c r="V447" i="12"/>
  <c r="AD447" i="12"/>
  <c r="AB447" i="12"/>
  <c r="Z447" i="12"/>
  <c r="X447" i="12"/>
  <c r="F443" i="9"/>
  <c r="E444" i="9"/>
  <c r="C444" i="9"/>
  <c r="I154" i="8"/>
  <c r="D154" i="8" s="1"/>
  <c r="C154" i="8" s="1"/>
  <c r="G154" i="8"/>
  <c r="F154" i="8"/>
  <c r="E155" i="8"/>
  <c r="D155" i="8"/>
  <c r="C155" i="8" s="1"/>
  <c r="AJ524" i="12"/>
  <c r="AK524" i="12"/>
  <c r="AI524" i="12"/>
  <c r="C153" i="8" l="1"/>
  <c r="E331" i="9"/>
  <c r="F330" i="9"/>
  <c r="C331" i="9"/>
  <c r="E523" i="9"/>
  <c r="F522" i="9"/>
  <c r="C523" i="9"/>
  <c r="E407" i="9"/>
  <c r="F406" i="9"/>
  <c r="C407" i="9"/>
  <c r="G428" i="12"/>
  <c r="H428" i="12"/>
  <c r="E428" i="12"/>
  <c r="AF290" i="12"/>
  <c r="AD291" i="12"/>
  <c r="F249" i="9"/>
  <c r="E250" i="9"/>
  <c r="C250" i="9"/>
  <c r="E289" i="9"/>
  <c r="F288" i="9"/>
  <c r="C289" i="9"/>
  <c r="F370" i="9"/>
  <c r="E371" i="9"/>
  <c r="C371" i="9"/>
  <c r="T410" i="12"/>
  <c r="AB410" i="12"/>
  <c r="Z410" i="12"/>
  <c r="AD410" i="12"/>
  <c r="X410" i="12"/>
  <c r="V410" i="12"/>
  <c r="F170" i="9"/>
  <c r="E171" i="9"/>
  <c r="C171" i="9"/>
  <c r="AF142" i="12"/>
  <c r="AF141" i="12"/>
  <c r="AF66" i="12"/>
  <c r="T66" i="12" s="1"/>
  <c r="T67" i="12"/>
  <c r="AB67" i="12"/>
  <c r="Z67" i="12"/>
  <c r="X67" i="12"/>
  <c r="V67" i="12"/>
  <c r="AD67" i="12"/>
  <c r="AK525" i="12"/>
  <c r="AJ525" i="12"/>
  <c r="AI525" i="12"/>
  <c r="AF525" i="12" s="1"/>
  <c r="E443" i="9"/>
  <c r="F442" i="9"/>
  <c r="C443" i="9"/>
  <c r="O38" i="10"/>
  <c r="F222" i="10"/>
  <c r="D222" i="10" s="1"/>
  <c r="C222" i="10" s="1"/>
  <c r="N38" i="10"/>
  <c r="L222" i="10"/>
  <c r="J222" i="10" s="1"/>
  <c r="I222" i="10" s="1"/>
  <c r="E210" i="9"/>
  <c r="F209" i="9"/>
  <c r="C210" i="9"/>
  <c r="K37" i="10"/>
  <c r="D37" i="10" s="1"/>
  <c r="C37" i="10" s="1"/>
  <c r="M37" i="10"/>
  <c r="M222" i="10"/>
  <c r="F153" i="8"/>
  <c r="E154" i="8"/>
  <c r="E113" i="8"/>
  <c r="F112" i="8"/>
  <c r="T221" i="12"/>
  <c r="AI222" i="12" s="1"/>
  <c r="AF222" i="12" s="1"/>
  <c r="AK222" i="12"/>
  <c r="AJ222" i="12"/>
  <c r="F562" i="9"/>
  <c r="E563" i="9"/>
  <c r="C563" i="9"/>
  <c r="AK558" i="12"/>
  <c r="AI558" i="12"/>
  <c r="AF558" i="12" s="1"/>
  <c r="AJ558" i="12"/>
  <c r="D32" i="8"/>
  <c r="AM103" i="12"/>
  <c r="AN103" i="12" s="1"/>
  <c r="AK103" i="12"/>
  <c r="AL103" i="12" s="1"/>
  <c r="AI102" i="12"/>
  <c r="AI175" i="12"/>
  <c r="AK175" i="12"/>
  <c r="AJ175" i="12"/>
  <c r="E134" i="9"/>
  <c r="F133" i="9"/>
  <c r="C134" i="9"/>
  <c r="T347" i="12"/>
  <c r="AI348" i="12" s="1"/>
  <c r="AF348" i="12" s="1"/>
  <c r="X347" i="12"/>
  <c r="V347" i="12"/>
  <c r="AK348" i="12" s="1"/>
  <c r="AD347" i="12"/>
  <c r="AB347" i="12"/>
  <c r="Z347" i="12"/>
  <c r="AJ348" i="12"/>
  <c r="F39" i="10"/>
  <c r="E38" i="10"/>
  <c r="AF524" i="12"/>
  <c r="AD525" i="12"/>
  <c r="AK375" i="12"/>
  <c r="AI375" i="12"/>
  <c r="AF375" i="12" s="1"/>
  <c r="AJ375" i="12"/>
  <c r="F30" i="8"/>
  <c r="E31" i="8"/>
  <c r="AK448" i="12"/>
  <c r="AI448" i="12"/>
  <c r="AF448" i="12" s="1"/>
  <c r="AJ448" i="12"/>
  <c r="AJ262" i="12"/>
  <c r="AK262" i="12"/>
  <c r="AI262" i="12"/>
  <c r="AF262" i="12" s="1"/>
  <c r="AI263" i="12" s="1"/>
  <c r="D113" i="8"/>
  <c r="C113" i="8" s="1"/>
  <c r="AD264" i="12" l="1"/>
  <c r="AB264" i="12"/>
  <c r="Z264" i="12"/>
  <c r="X264" i="12"/>
  <c r="T264" i="12"/>
  <c r="V264" i="12"/>
  <c r="AF263" i="12"/>
  <c r="T263" i="12" s="1"/>
  <c r="F29" i="8"/>
  <c r="E30" i="8"/>
  <c r="C30" i="8"/>
  <c r="E112" i="8"/>
  <c r="F111" i="8"/>
  <c r="C111" i="8" s="1"/>
  <c r="T526" i="12"/>
  <c r="AB525" i="12"/>
  <c r="Z525" i="12"/>
  <c r="V525" i="12"/>
  <c r="X525" i="12"/>
  <c r="V141" i="12"/>
  <c r="T141" i="12"/>
  <c r="AD141" i="12"/>
  <c r="AB141" i="12"/>
  <c r="Z141" i="12"/>
  <c r="X141" i="12"/>
  <c r="AB174" i="12"/>
  <c r="AF175" i="12"/>
  <c r="Z174" i="12"/>
  <c r="AD174" i="12"/>
  <c r="V174" i="12"/>
  <c r="X174" i="12"/>
  <c r="T142" i="12"/>
  <c r="AD142" i="12"/>
  <c r="AB142" i="12"/>
  <c r="Z142" i="12"/>
  <c r="V142" i="12"/>
  <c r="X142" i="12"/>
  <c r="T375" i="12"/>
  <c r="Z375" i="12"/>
  <c r="AD375" i="12"/>
  <c r="AB375" i="12"/>
  <c r="X375" i="12"/>
  <c r="V375" i="12"/>
  <c r="T103" i="12"/>
  <c r="AF103" i="12"/>
  <c r="AB103" i="12"/>
  <c r="AJ103" i="12"/>
  <c r="Z103" i="12"/>
  <c r="T104" i="12"/>
  <c r="X103" i="12"/>
  <c r="V103" i="12"/>
  <c r="AB104" i="12"/>
  <c r="V104" i="12"/>
  <c r="Z104" i="12"/>
  <c r="AD103" i="12"/>
  <c r="AD104" i="12"/>
  <c r="X104" i="12"/>
  <c r="F152" i="8"/>
  <c r="E153" i="8"/>
  <c r="AD558" i="12"/>
  <c r="T558" i="12"/>
  <c r="V558" i="12"/>
  <c r="X558" i="12"/>
  <c r="AB558" i="12"/>
  <c r="Z558" i="12"/>
  <c r="F287" i="9"/>
  <c r="E288" i="9"/>
  <c r="C288" i="9"/>
  <c r="F405" i="9"/>
  <c r="E406" i="9"/>
  <c r="C406" i="9"/>
  <c r="E562" i="9"/>
  <c r="F561" i="9"/>
  <c r="C562" i="9"/>
  <c r="F40" i="10"/>
  <c r="E39" i="10"/>
  <c r="E133" i="9"/>
  <c r="F132" i="9"/>
  <c r="C133" i="9"/>
  <c r="F441" i="9"/>
  <c r="E442" i="9"/>
  <c r="C442" i="9"/>
  <c r="AK223" i="12"/>
  <c r="AJ223" i="12"/>
  <c r="AK67" i="12"/>
  <c r="AI67" i="12"/>
  <c r="AF67" i="12" s="1"/>
  <c r="AJ68" i="12" s="1"/>
  <c r="AJ67" i="12"/>
  <c r="F329" i="9"/>
  <c r="E330" i="9"/>
  <c r="C330" i="9"/>
  <c r="AK411" i="12"/>
  <c r="AI411" i="12"/>
  <c r="AF411" i="12" s="1"/>
  <c r="AJ411" i="12"/>
  <c r="E209" i="9"/>
  <c r="F208" i="9"/>
  <c r="C209" i="9"/>
  <c r="K38" i="10"/>
  <c r="D38" i="10" s="1"/>
  <c r="C38" i="10" s="1"/>
  <c r="M38" i="10"/>
  <c r="M223" i="10"/>
  <c r="E249" i="9"/>
  <c r="F248" i="9"/>
  <c r="C249" i="9"/>
  <c r="V348" i="12"/>
  <c r="AK349" i="12" s="1"/>
  <c r="T348" i="12"/>
  <c r="AI349" i="12" s="1"/>
  <c r="AF349" i="12" s="1"/>
  <c r="AB348" i="12"/>
  <c r="Z348" i="12"/>
  <c r="X348" i="12"/>
  <c r="AD348" i="12"/>
  <c r="AJ349" i="12"/>
  <c r="C112" i="8"/>
  <c r="AK263" i="12"/>
  <c r="T525" i="12"/>
  <c r="AB524" i="12"/>
  <c r="Z524" i="12"/>
  <c r="X524" i="12"/>
  <c r="V524" i="12"/>
  <c r="AI223" i="12"/>
  <c r="O39" i="10"/>
  <c r="N39" i="10"/>
  <c r="L223" i="10"/>
  <c r="J223" i="10" s="1"/>
  <c r="I223" i="10" s="1"/>
  <c r="F223" i="10"/>
  <c r="D223" i="10" s="1"/>
  <c r="C223" i="10" s="1"/>
  <c r="E170" i="9"/>
  <c r="F169" i="9"/>
  <c r="C170" i="9"/>
  <c r="E370" i="9"/>
  <c r="F369" i="9"/>
  <c r="C370" i="9"/>
  <c r="AJ263" i="12"/>
  <c r="T448" i="12"/>
  <c r="Z448" i="12"/>
  <c r="AD448" i="12"/>
  <c r="AB448" i="12"/>
  <c r="V448" i="12"/>
  <c r="X448" i="12"/>
  <c r="C32" i="8"/>
  <c r="C31" i="8"/>
  <c r="T290" i="12"/>
  <c r="V290" i="12"/>
  <c r="AB290" i="12"/>
  <c r="X290" i="12"/>
  <c r="Z290" i="12"/>
  <c r="F521" i="9"/>
  <c r="E522" i="9"/>
  <c r="C522" i="9"/>
  <c r="F41" i="10" l="1"/>
  <c r="E40" i="10"/>
  <c r="F328" i="9"/>
  <c r="E329" i="9"/>
  <c r="C329" i="9"/>
  <c r="F440" i="9"/>
  <c r="E441" i="9"/>
  <c r="C441" i="9"/>
  <c r="AK68" i="12"/>
  <c r="E521" i="9"/>
  <c r="F520" i="9"/>
  <c r="C521" i="9"/>
  <c r="AI68" i="12"/>
  <c r="F151" i="8"/>
  <c r="C151" i="8" s="1"/>
  <c r="E152" i="8"/>
  <c r="AI376" i="12"/>
  <c r="AF376" i="12" s="1"/>
  <c r="AJ376" i="12"/>
  <c r="AK376" i="12"/>
  <c r="E169" i="9"/>
  <c r="F168" i="9"/>
  <c r="C169" i="9"/>
  <c r="F207" i="9"/>
  <c r="E208" i="9"/>
  <c r="C208" i="9"/>
  <c r="AI176" i="12"/>
  <c r="AJ176" i="12"/>
  <c r="AK176" i="12"/>
  <c r="E29" i="8"/>
  <c r="F28" i="8"/>
  <c r="C28" i="8"/>
  <c r="AK264" i="12"/>
  <c r="AI264" i="12"/>
  <c r="AF264" i="12" s="1"/>
  <c r="AJ264" i="12"/>
  <c r="F131" i="9"/>
  <c r="E132" i="9"/>
  <c r="C132" i="9"/>
  <c r="AK449" i="12"/>
  <c r="AI449" i="12"/>
  <c r="AF449" i="12" s="1"/>
  <c r="AJ449" i="12"/>
  <c r="F404" i="9"/>
  <c r="E405" i="9"/>
  <c r="C405" i="9"/>
  <c r="AK104" i="12"/>
  <c r="AL104" i="12" s="1"/>
  <c r="AM104" i="12"/>
  <c r="AN104" i="12" s="1"/>
  <c r="T349" i="12"/>
  <c r="AI350" i="12" s="1"/>
  <c r="AF350" i="12" s="1"/>
  <c r="V349" i="12"/>
  <c r="AK350" i="12" s="1"/>
  <c r="X349" i="12"/>
  <c r="AD349" i="12"/>
  <c r="AB349" i="12"/>
  <c r="Z349" i="12"/>
  <c r="AJ350" i="12"/>
  <c r="AK526" i="12"/>
  <c r="AI526" i="12"/>
  <c r="AJ526" i="12"/>
  <c r="F247" i="9"/>
  <c r="E248" i="9"/>
  <c r="C248" i="9"/>
  <c r="T411" i="12"/>
  <c r="X411" i="12"/>
  <c r="Z411" i="12"/>
  <c r="V411" i="12"/>
  <c r="AD411" i="12"/>
  <c r="AB411" i="12"/>
  <c r="AI103" i="12"/>
  <c r="AI265" i="12"/>
  <c r="AK265" i="12"/>
  <c r="AJ265" i="12"/>
  <c r="AK291" i="12"/>
  <c r="AI291" i="12"/>
  <c r="AF291" i="12" s="1"/>
  <c r="AJ291" i="12"/>
  <c r="F110" i="8"/>
  <c r="E111" i="8"/>
  <c r="C110" i="8"/>
  <c r="AK559" i="12"/>
  <c r="AJ559" i="12"/>
  <c r="AI559" i="12"/>
  <c r="AF559" i="12" s="1"/>
  <c r="AK143" i="12"/>
  <c r="AI143" i="12"/>
  <c r="AJ143" i="12"/>
  <c r="E369" i="9"/>
  <c r="F368" i="9"/>
  <c r="C369" i="9"/>
  <c r="T224" i="12"/>
  <c r="AF223" i="12"/>
  <c r="AD224" i="12"/>
  <c r="AB224" i="12"/>
  <c r="Z224" i="12"/>
  <c r="X224" i="12"/>
  <c r="V224" i="12"/>
  <c r="AK142" i="12"/>
  <c r="AI142" i="12"/>
  <c r="AJ142" i="12"/>
  <c r="K39" i="10"/>
  <c r="D39" i="10" s="1"/>
  <c r="C39" i="10" s="1"/>
  <c r="M39" i="10"/>
  <c r="M224" i="10"/>
  <c r="O40" i="10"/>
  <c r="N40" i="10"/>
  <c r="L224" i="10"/>
  <c r="J224" i="10" s="1"/>
  <c r="I224" i="10" s="1"/>
  <c r="F224" i="10"/>
  <c r="D224" i="10" s="1"/>
  <c r="C224" i="10" s="1"/>
  <c r="F560" i="9"/>
  <c r="E561" i="9"/>
  <c r="C561" i="9"/>
  <c r="F286" i="9"/>
  <c r="E287" i="9"/>
  <c r="C287" i="9"/>
  <c r="C152" i="8"/>
  <c r="C29" i="8"/>
  <c r="L225" i="10" l="1"/>
  <c r="J225" i="10" s="1"/>
  <c r="I225" i="10" s="1"/>
  <c r="O41" i="10"/>
  <c r="N41" i="10"/>
  <c r="F225" i="10"/>
  <c r="D225" i="10" s="1"/>
  <c r="C225" i="10" s="1"/>
  <c r="E207" i="9"/>
  <c r="F206" i="9"/>
  <c r="C207" i="9"/>
  <c r="E151" i="8"/>
  <c r="F150" i="8"/>
  <c r="V350" i="12"/>
  <c r="AK351" i="12" s="1"/>
  <c r="T350" i="12"/>
  <c r="AI351" i="12" s="1"/>
  <c r="AF351" i="12" s="1"/>
  <c r="AD350" i="12"/>
  <c r="AB350" i="12"/>
  <c r="Z350" i="12"/>
  <c r="X350" i="12"/>
  <c r="AJ351" i="12"/>
  <c r="F403" i="9"/>
  <c r="E404" i="9"/>
  <c r="C404" i="9"/>
  <c r="E168" i="9"/>
  <c r="F167" i="9"/>
  <c r="C168" i="9"/>
  <c r="AB559" i="12"/>
  <c r="AD559" i="12"/>
  <c r="X559" i="12"/>
  <c r="Z559" i="12"/>
  <c r="T559" i="12"/>
  <c r="V559" i="12"/>
  <c r="E286" i="9"/>
  <c r="F285" i="9"/>
  <c r="C286" i="9"/>
  <c r="T223" i="12"/>
  <c r="AI224" i="12" s="1"/>
  <c r="AF224" i="12" s="1"/>
  <c r="AK224" i="12"/>
  <c r="AJ224" i="12"/>
  <c r="AF265" i="12"/>
  <c r="T265" i="12" s="1"/>
  <c r="T266" i="12"/>
  <c r="AD266" i="12"/>
  <c r="AB266" i="12"/>
  <c r="Z266" i="12"/>
  <c r="X266" i="12"/>
  <c r="V266" i="12"/>
  <c r="E520" i="9"/>
  <c r="F519" i="9"/>
  <c r="C520" i="9"/>
  <c r="T449" i="12"/>
  <c r="V449" i="12"/>
  <c r="AD449" i="12"/>
  <c r="AB449" i="12"/>
  <c r="Z449" i="12"/>
  <c r="X449" i="12"/>
  <c r="F27" i="8"/>
  <c r="E28" i="8"/>
  <c r="C27" i="8"/>
  <c r="E560" i="9"/>
  <c r="F559" i="9"/>
  <c r="C560" i="9"/>
  <c r="F367" i="9"/>
  <c r="E368" i="9"/>
  <c r="C368" i="9"/>
  <c r="E328" i="9"/>
  <c r="F327" i="9"/>
  <c r="C328" i="9"/>
  <c r="AI225" i="12"/>
  <c r="AF104" i="12"/>
  <c r="AJ104" i="12"/>
  <c r="F246" i="9"/>
  <c r="E247" i="9"/>
  <c r="C247" i="9"/>
  <c r="T69" i="12"/>
  <c r="AF68" i="12"/>
  <c r="T68" i="12" s="1"/>
  <c r="X69" i="12"/>
  <c r="AD69" i="12"/>
  <c r="AB69" i="12"/>
  <c r="Z69" i="12"/>
  <c r="V69" i="12"/>
  <c r="E440" i="9"/>
  <c r="F439" i="9"/>
  <c r="C440" i="9"/>
  <c r="AD527" i="12"/>
  <c r="AF526" i="12"/>
  <c r="F109" i="8"/>
  <c r="E110" i="8"/>
  <c r="C109" i="8"/>
  <c r="T291" i="12"/>
  <c r="V291" i="12"/>
  <c r="AB291" i="12"/>
  <c r="X291" i="12"/>
  <c r="Z291" i="12"/>
  <c r="T177" i="12"/>
  <c r="AF176" i="12"/>
  <c r="T176" i="12" s="1"/>
  <c r="Z175" i="12"/>
  <c r="AD175" i="12"/>
  <c r="V175" i="12"/>
  <c r="X175" i="12"/>
  <c r="AB175" i="12"/>
  <c r="M40" i="10"/>
  <c r="K40" i="10"/>
  <c r="D40" i="10" s="1"/>
  <c r="C40" i="10" s="1"/>
  <c r="M225" i="10"/>
  <c r="AF144" i="12"/>
  <c r="AF143" i="12"/>
  <c r="AJ412" i="12"/>
  <c r="AI412" i="12"/>
  <c r="AF412" i="12" s="1"/>
  <c r="AK412" i="12"/>
  <c r="F130" i="9"/>
  <c r="E131" i="9"/>
  <c r="C131" i="9"/>
  <c r="T376" i="12"/>
  <c r="V376" i="12"/>
  <c r="AB376" i="12"/>
  <c r="Z376" i="12"/>
  <c r="X376" i="12"/>
  <c r="AD376" i="12"/>
  <c r="F42" i="10"/>
  <c r="E41" i="10"/>
  <c r="E367" i="9" l="1"/>
  <c r="F366" i="9"/>
  <c r="C367" i="9"/>
  <c r="F284" i="9"/>
  <c r="E285" i="9"/>
  <c r="C285" i="9"/>
  <c r="E150" i="8"/>
  <c r="F149" i="8"/>
  <c r="C149" i="8"/>
  <c r="T144" i="12"/>
  <c r="AB144" i="12"/>
  <c r="Z144" i="12"/>
  <c r="X144" i="12"/>
  <c r="V144" i="12"/>
  <c r="AD144" i="12"/>
  <c r="E327" i="9"/>
  <c r="F326" i="9"/>
  <c r="C327" i="9"/>
  <c r="E403" i="9"/>
  <c r="F402" i="9"/>
  <c r="C403" i="9"/>
  <c r="T412" i="12"/>
  <c r="X412" i="12"/>
  <c r="V412" i="12"/>
  <c r="AD412" i="12"/>
  <c r="AB412" i="12"/>
  <c r="Z412" i="12"/>
  <c r="T226" i="12"/>
  <c r="AF225" i="12"/>
  <c r="Z226" i="12"/>
  <c r="X226" i="12"/>
  <c r="V226" i="12"/>
  <c r="AB226" i="12"/>
  <c r="AD226" i="12"/>
  <c r="AJ69" i="12"/>
  <c r="AI69" i="12"/>
  <c r="AF69" i="12" s="1"/>
  <c r="AI70" i="12" s="1"/>
  <c r="AK69" i="12"/>
  <c r="AK266" i="12"/>
  <c r="AJ266" i="12"/>
  <c r="AI266" i="12"/>
  <c r="AF266" i="12" s="1"/>
  <c r="AK267" i="12" s="1"/>
  <c r="AK377" i="12"/>
  <c r="AI377" i="12"/>
  <c r="AF377" i="12" s="1"/>
  <c r="AJ377" i="12"/>
  <c r="F518" i="9"/>
  <c r="E519" i="9"/>
  <c r="C519" i="9"/>
  <c r="F438" i="9"/>
  <c r="E439" i="9"/>
  <c r="C439" i="9"/>
  <c r="E27" i="8"/>
  <c r="F26" i="8"/>
  <c r="C26" i="8"/>
  <c r="AJ225" i="12"/>
  <c r="AK225" i="12"/>
  <c r="E206" i="9"/>
  <c r="F205" i="9"/>
  <c r="C206" i="9"/>
  <c r="F43" i="10"/>
  <c r="E42" i="10"/>
  <c r="E130" i="9"/>
  <c r="F129" i="9"/>
  <c r="C130" i="9"/>
  <c r="AK292" i="12"/>
  <c r="AJ292" i="12"/>
  <c r="AI292" i="12"/>
  <c r="E246" i="9"/>
  <c r="F245" i="9"/>
  <c r="C246" i="9"/>
  <c r="E167" i="9"/>
  <c r="F166" i="9"/>
  <c r="C167" i="9"/>
  <c r="AM105" i="12"/>
  <c r="AN105" i="12" s="1"/>
  <c r="AK105" i="12"/>
  <c r="AL105" i="12" s="1"/>
  <c r="AI104" i="12"/>
  <c r="T351" i="12"/>
  <c r="AI352" i="12" s="1"/>
  <c r="AF352" i="12" s="1"/>
  <c r="V351" i="12"/>
  <c r="AK352" i="12" s="1"/>
  <c r="X351" i="12"/>
  <c r="AD351" i="12"/>
  <c r="AB351" i="12"/>
  <c r="Z351" i="12"/>
  <c r="AJ352" i="12"/>
  <c r="K41" i="10"/>
  <c r="D41" i="10" s="1"/>
  <c r="C41" i="10" s="1"/>
  <c r="M41" i="10"/>
  <c r="M226" i="10"/>
  <c r="N42" i="10"/>
  <c r="O42" i="10"/>
  <c r="F226" i="10"/>
  <c r="D226" i="10" s="1"/>
  <c r="C226" i="10" s="1"/>
  <c r="L226" i="10"/>
  <c r="J226" i="10" s="1"/>
  <c r="I226" i="10" s="1"/>
  <c r="E109" i="8"/>
  <c r="F108" i="8"/>
  <c r="X143" i="12"/>
  <c r="AD143" i="12"/>
  <c r="AB143" i="12"/>
  <c r="T143" i="12"/>
  <c r="Z143" i="12"/>
  <c r="V143" i="12"/>
  <c r="AK177" i="12"/>
  <c r="AJ177" i="12"/>
  <c r="AI177" i="12"/>
  <c r="T527" i="12"/>
  <c r="AB526" i="12"/>
  <c r="X526" i="12"/>
  <c r="V526" i="12"/>
  <c r="Z526" i="12"/>
  <c r="AJ527" i="12"/>
  <c r="AK527" i="12"/>
  <c r="AI527" i="12"/>
  <c r="AF527" i="12" s="1"/>
  <c r="E559" i="9"/>
  <c r="F558" i="9"/>
  <c r="C559" i="9"/>
  <c r="AI450" i="12"/>
  <c r="AF450" i="12" s="1"/>
  <c r="AK450" i="12"/>
  <c r="AJ450" i="12"/>
  <c r="AJ267" i="12"/>
  <c r="AI267" i="12"/>
  <c r="AI560" i="12"/>
  <c r="AF560" i="12" s="1"/>
  <c r="AJ560" i="12"/>
  <c r="AK560" i="12"/>
  <c r="C150" i="8"/>
  <c r="T71" i="12" l="1"/>
  <c r="AF70" i="12"/>
  <c r="T70" i="12" s="1"/>
  <c r="AD71" i="12"/>
  <c r="Z71" i="12"/>
  <c r="X71" i="12"/>
  <c r="V71" i="12"/>
  <c r="AB71" i="12"/>
  <c r="F107" i="8"/>
  <c r="C107" i="8" s="1"/>
  <c r="E108" i="8"/>
  <c r="T560" i="12"/>
  <c r="V560" i="12"/>
  <c r="Z560" i="12"/>
  <c r="AB560" i="12"/>
  <c r="AD560" i="12"/>
  <c r="X560" i="12"/>
  <c r="AI144" i="12"/>
  <c r="AJ144" i="12"/>
  <c r="AK144" i="12"/>
  <c r="M42" i="10"/>
  <c r="K42" i="10"/>
  <c r="D42" i="10" s="1"/>
  <c r="C42" i="10" s="1"/>
  <c r="M227" i="10"/>
  <c r="V352" i="12"/>
  <c r="AK353" i="12" s="1"/>
  <c r="T352" i="12"/>
  <c r="AI353" i="12" s="1"/>
  <c r="AD352" i="12"/>
  <c r="AB352" i="12"/>
  <c r="Z352" i="12"/>
  <c r="X352" i="12"/>
  <c r="AJ353" i="12"/>
  <c r="T105" i="12"/>
  <c r="AI105" i="12" s="1"/>
  <c r="T106" i="12"/>
  <c r="AF105" i="12"/>
  <c r="AJ105" i="12"/>
  <c r="AB106" i="12"/>
  <c r="V106" i="12"/>
  <c r="AD105" i="12"/>
  <c r="AB105" i="12"/>
  <c r="Z105" i="12"/>
  <c r="Z106" i="12"/>
  <c r="X105" i="12"/>
  <c r="V105" i="12"/>
  <c r="AD106" i="12"/>
  <c r="X106" i="12"/>
  <c r="E149" i="8"/>
  <c r="F148" i="8"/>
  <c r="C148" i="8"/>
  <c r="E558" i="9"/>
  <c r="F557" i="9"/>
  <c r="C558" i="9"/>
  <c r="T450" i="12"/>
  <c r="V450" i="12"/>
  <c r="X450" i="12"/>
  <c r="AD450" i="12"/>
  <c r="AB450" i="12"/>
  <c r="Z450" i="12"/>
  <c r="AF292" i="12"/>
  <c r="AD293" i="12"/>
  <c r="T225" i="12"/>
  <c r="AI226" i="12" s="1"/>
  <c r="AF226" i="12" s="1"/>
  <c r="AJ226" i="12"/>
  <c r="AK226" i="12"/>
  <c r="F401" i="9"/>
  <c r="E402" i="9"/>
  <c r="C402" i="9"/>
  <c r="F204" i="9"/>
  <c r="E205" i="9"/>
  <c r="C205" i="9"/>
  <c r="F437" i="9"/>
  <c r="E438" i="9"/>
  <c r="C438" i="9"/>
  <c r="F325" i="9"/>
  <c r="E326" i="9"/>
  <c r="C326" i="9"/>
  <c r="E284" i="9"/>
  <c r="F283" i="9"/>
  <c r="C284" i="9"/>
  <c r="AF177" i="12"/>
  <c r="Z176" i="12"/>
  <c r="AD176" i="12"/>
  <c r="V176" i="12"/>
  <c r="X176" i="12"/>
  <c r="AB176" i="12"/>
  <c r="F165" i="9"/>
  <c r="E166" i="9"/>
  <c r="C166" i="9"/>
  <c r="Z268" i="12"/>
  <c r="T268" i="12"/>
  <c r="AF267" i="12"/>
  <c r="T267" i="12" s="1"/>
  <c r="V268" i="12"/>
  <c r="AD268" i="12"/>
  <c r="AB268" i="12"/>
  <c r="X268" i="12"/>
  <c r="V527" i="12"/>
  <c r="Z527" i="12"/>
  <c r="X527" i="12"/>
  <c r="AB527" i="12"/>
  <c r="T528" i="12"/>
  <c r="E129" i="9"/>
  <c r="F128" i="9"/>
  <c r="C129" i="9"/>
  <c r="AI528" i="12"/>
  <c r="AJ528" i="12"/>
  <c r="AK528" i="12"/>
  <c r="C108" i="8"/>
  <c r="E518" i="9"/>
  <c r="F517" i="9"/>
  <c r="C518" i="9"/>
  <c r="E26" i="8"/>
  <c r="F25" i="8"/>
  <c r="C25" i="8"/>
  <c r="AJ70" i="12"/>
  <c r="T377" i="12"/>
  <c r="V377" i="12"/>
  <c r="AD377" i="12"/>
  <c r="AB377" i="12"/>
  <c r="Z377" i="12"/>
  <c r="X377" i="12"/>
  <c r="AJ413" i="12"/>
  <c r="AK413" i="12"/>
  <c r="AI413" i="12"/>
  <c r="AF413" i="12" s="1"/>
  <c r="AK70" i="12"/>
  <c r="AJ145" i="12"/>
  <c r="AK145" i="12"/>
  <c r="AI145" i="12"/>
  <c r="E366" i="9"/>
  <c r="F365" i="9"/>
  <c r="C366" i="9"/>
  <c r="O43" i="10"/>
  <c r="N43" i="10"/>
  <c r="F227" i="10"/>
  <c r="D227" i="10" s="1"/>
  <c r="C227" i="10" s="1"/>
  <c r="L227" i="10"/>
  <c r="J227" i="10" s="1"/>
  <c r="I227" i="10" s="1"/>
  <c r="E245" i="9"/>
  <c r="F244" i="9"/>
  <c r="C245" i="9"/>
  <c r="F44" i="10"/>
  <c r="E43" i="10"/>
  <c r="F282" i="9" l="1"/>
  <c r="E283" i="9"/>
  <c r="C283" i="9"/>
  <c r="E437" i="9"/>
  <c r="F436" i="9"/>
  <c r="C437" i="9"/>
  <c r="AJ106" i="12"/>
  <c r="AF106" i="12"/>
  <c r="E107" i="8"/>
  <c r="F106" i="8"/>
  <c r="C106" i="8"/>
  <c r="AF528" i="12"/>
  <c r="AI529" i="12" s="1"/>
  <c r="AF529" i="12" s="1"/>
  <c r="AD529" i="12"/>
  <c r="F164" i="9"/>
  <c r="E165" i="9"/>
  <c r="C165" i="9"/>
  <c r="AJ227" i="12"/>
  <c r="AK227" i="12"/>
  <c r="F24" i="8"/>
  <c r="E25" i="8"/>
  <c r="C24" i="8"/>
  <c r="E557" i="9"/>
  <c r="F556" i="9"/>
  <c r="C557" i="9"/>
  <c r="AB292" i="12"/>
  <c r="T292" i="12"/>
  <c r="V292" i="12"/>
  <c r="X292" i="12"/>
  <c r="Z292" i="12"/>
  <c r="M43" i="10"/>
  <c r="K43" i="10"/>
  <c r="D43" i="10" s="1"/>
  <c r="C43" i="10" s="1"/>
  <c r="M228" i="10"/>
  <c r="N44" i="10"/>
  <c r="O44" i="10"/>
  <c r="F228" i="10"/>
  <c r="D228" i="10" s="1"/>
  <c r="C228" i="10" s="1"/>
  <c r="L228" i="10"/>
  <c r="J228" i="10" s="1"/>
  <c r="I228" i="10" s="1"/>
  <c r="E325" i="9"/>
  <c r="F324" i="9"/>
  <c r="C325" i="9"/>
  <c r="E148" i="8"/>
  <c r="F147" i="8"/>
  <c r="C147" i="8"/>
  <c r="F127" i="9"/>
  <c r="E128" i="9"/>
  <c r="C128" i="9"/>
  <c r="E204" i="9"/>
  <c r="F203" i="9"/>
  <c r="C204" i="9"/>
  <c r="F364" i="9"/>
  <c r="E365" i="9"/>
  <c r="C365" i="9"/>
  <c r="F516" i="9"/>
  <c r="E517" i="9"/>
  <c r="C517" i="9"/>
  <c r="T413" i="12"/>
  <c r="AD413" i="12"/>
  <c r="AB413" i="12"/>
  <c r="X413" i="12"/>
  <c r="V413" i="12"/>
  <c r="Z413" i="12"/>
  <c r="AI268" i="12"/>
  <c r="AF268" i="12" s="1"/>
  <c r="AK269" i="12" s="1"/>
  <c r="AJ268" i="12"/>
  <c r="AK268" i="12"/>
  <c r="F45" i="10"/>
  <c r="E44" i="10"/>
  <c r="AI227" i="12"/>
  <c r="F243" i="9"/>
  <c r="E244" i="9"/>
  <c r="C244" i="9"/>
  <c r="AF146" i="12"/>
  <c r="AF145" i="12"/>
  <c r="AK178" i="12"/>
  <c r="AJ178" i="12"/>
  <c r="AI178" i="12"/>
  <c r="E401" i="9"/>
  <c r="F400" i="9"/>
  <c r="C401" i="9"/>
  <c r="AM106" i="12"/>
  <c r="AN106" i="12" s="1"/>
  <c r="AK106" i="12"/>
  <c r="AL106" i="12" s="1"/>
  <c r="AK71" i="12"/>
  <c r="AI71" i="12"/>
  <c r="AF71" i="12" s="1"/>
  <c r="AI72" i="12" s="1"/>
  <c r="AJ71" i="12"/>
  <c r="AJ378" i="12"/>
  <c r="AI378" i="12"/>
  <c r="AF378" i="12" s="1"/>
  <c r="AK378" i="12"/>
  <c r="AI451" i="12"/>
  <c r="AF451" i="12" s="1"/>
  <c r="AJ451" i="12"/>
  <c r="AK451" i="12"/>
  <c r="AJ561" i="12"/>
  <c r="AK561" i="12"/>
  <c r="AI561" i="12"/>
  <c r="AF561" i="12" s="1"/>
  <c r="AK72" i="12"/>
  <c r="AJ72" i="12"/>
  <c r="T530" i="12" l="1"/>
  <c r="Z529" i="12"/>
  <c r="X529" i="12"/>
  <c r="AB529" i="12"/>
  <c r="V529" i="12"/>
  <c r="T73" i="12"/>
  <c r="V73" i="12"/>
  <c r="AD73" i="12"/>
  <c r="AB73" i="12"/>
  <c r="AF72" i="12"/>
  <c r="T72" i="12" s="1"/>
  <c r="Z73" i="12"/>
  <c r="X73" i="12"/>
  <c r="E516" i="9"/>
  <c r="F515" i="9"/>
  <c r="C516" i="9"/>
  <c r="AK293" i="12"/>
  <c r="AJ293" i="12"/>
  <c r="AI293" i="12"/>
  <c r="AF293" i="12" s="1"/>
  <c r="AM107" i="12"/>
  <c r="AN107" i="12" s="1"/>
  <c r="AK107" i="12"/>
  <c r="AL107" i="12" s="1"/>
  <c r="E127" i="9"/>
  <c r="F126" i="9"/>
  <c r="C127" i="9"/>
  <c r="AJ269" i="12"/>
  <c r="O45" i="10"/>
  <c r="L229" i="10"/>
  <c r="J229" i="10" s="1"/>
  <c r="I229" i="10" s="1"/>
  <c r="N45" i="10"/>
  <c r="F229" i="10"/>
  <c r="D229" i="10" s="1"/>
  <c r="C229" i="10" s="1"/>
  <c r="T145" i="12"/>
  <c r="Z145" i="12"/>
  <c r="X145" i="12"/>
  <c r="V145" i="12"/>
  <c r="AD145" i="12"/>
  <c r="AB145" i="12"/>
  <c r="AK529" i="12"/>
  <c r="K44" i="10"/>
  <c r="D44" i="10" s="1"/>
  <c r="C44" i="10" s="1"/>
  <c r="M44" i="10"/>
  <c r="M229" i="10"/>
  <c r="AI106" i="12"/>
  <c r="Z146" i="12"/>
  <c r="T146" i="12"/>
  <c r="X146" i="12"/>
  <c r="V146" i="12"/>
  <c r="AD146" i="12"/>
  <c r="AB146" i="12"/>
  <c r="AJ529" i="12"/>
  <c r="E364" i="9"/>
  <c r="F363" i="9"/>
  <c r="C364" i="9"/>
  <c r="F146" i="8"/>
  <c r="E147" i="8"/>
  <c r="C146" i="8"/>
  <c r="E556" i="9"/>
  <c r="F555" i="9"/>
  <c r="C556" i="9"/>
  <c r="F163" i="9"/>
  <c r="E164" i="9"/>
  <c r="C164" i="9"/>
  <c r="E436" i="9"/>
  <c r="F435" i="9"/>
  <c r="C436" i="9"/>
  <c r="AF178" i="12"/>
  <c r="T178" i="12" s="1"/>
  <c r="T179" i="12"/>
  <c r="V177" i="12"/>
  <c r="AD177" i="12"/>
  <c r="X177" i="12"/>
  <c r="AB177" i="12"/>
  <c r="Z177" i="12"/>
  <c r="AI269" i="12"/>
  <c r="AB561" i="12"/>
  <c r="T561" i="12"/>
  <c r="V561" i="12"/>
  <c r="X561" i="12"/>
  <c r="AD561" i="12"/>
  <c r="Z561" i="12"/>
  <c r="AI414" i="12"/>
  <c r="AF414" i="12" s="1"/>
  <c r="AJ414" i="12"/>
  <c r="AK414" i="12"/>
  <c r="X528" i="12"/>
  <c r="V528" i="12"/>
  <c r="T529" i="12"/>
  <c r="AB528" i="12"/>
  <c r="Z528" i="12"/>
  <c r="V451" i="12"/>
  <c r="AD451" i="12"/>
  <c r="T451" i="12"/>
  <c r="AB451" i="12"/>
  <c r="Z451" i="12"/>
  <c r="X451" i="12"/>
  <c r="F46" i="10"/>
  <c r="E45" i="10"/>
  <c r="F202" i="9"/>
  <c r="E203" i="9"/>
  <c r="C203" i="9"/>
  <c r="F399" i="9"/>
  <c r="E400" i="9"/>
  <c r="C400" i="9"/>
  <c r="E243" i="9"/>
  <c r="F242" i="9"/>
  <c r="C243" i="9"/>
  <c r="E324" i="9"/>
  <c r="F323" i="9"/>
  <c r="C324" i="9"/>
  <c r="E24" i="8"/>
  <c r="F23" i="8"/>
  <c r="C23" i="8" s="1"/>
  <c r="F105" i="8"/>
  <c r="E106" i="8"/>
  <c r="C105" i="8"/>
  <c r="AD378" i="12"/>
  <c r="T378" i="12"/>
  <c r="Z378" i="12"/>
  <c r="X378" i="12"/>
  <c r="V378" i="12"/>
  <c r="AB378" i="12"/>
  <c r="T228" i="12"/>
  <c r="AF227" i="12"/>
  <c r="AD228" i="12"/>
  <c r="AB228" i="12"/>
  <c r="Z228" i="12"/>
  <c r="X228" i="12"/>
  <c r="V228" i="12"/>
  <c r="E282" i="9"/>
  <c r="F281" i="9"/>
  <c r="C282" i="9"/>
  <c r="F162" i="9" l="1"/>
  <c r="E163" i="9"/>
  <c r="C163" i="9"/>
  <c r="F362" i="9"/>
  <c r="E363" i="9"/>
  <c r="C363" i="9"/>
  <c r="AJ73" i="12"/>
  <c r="AK73" i="12"/>
  <c r="AI73" i="12"/>
  <c r="AF73" i="12" s="1"/>
  <c r="M45" i="10"/>
  <c r="K45" i="10"/>
  <c r="D45" i="10" s="1"/>
  <c r="C45" i="10" s="1"/>
  <c r="M230" i="10"/>
  <c r="T293" i="12"/>
  <c r="X293" i="12"/>
  <c r="AB293" i="12"/>
  <c r="Z293" i="12"/>
  <c r="V293" i="12"/>
  <c r="F201" i="9"/>
  <c r="E202" i="9"/>
  <c r="C202" i="9"/>
  <c r="AK179" i="12"/>
  <c r="AJ179" i="12"/>
  <c r="AI179" i="12"/>
  <c r="T227" i="12"/>
  <c r="AI228" i="12" s="1"/>
  <c r="AF228" i="12" s="1"/>
  <c r="AJ228" i="12"/>
  <c r="AK228" i="12"/>
  <c r="E105" i="8"/>
  <c r="F104" i="8"/>
  <c r="C104" i="8"/>
  <c r="E242" i="9"/>
  <c r="F241" i="9"/>
  <c r="C242" i="9"/>
  <c r="AI530" i="12"/>
  <c r="AJ530" i="12"/>
  <c r="AK530" i="12"/>
  <c r="AJ562" i="12"/>
  <c r="AK562" i="12"/>
  <c r="AI562" i="12"/>
  <c r="AF562" i="12" s="1"/>
  <c r="F554" i="9"/>
  <c r="E555" i="9"/>
  <c r="C555" i="9"/>
  <c r="O46" i="10"/>
  <c r="L230" i="10"/>
  <c r="J230" i="10" s="1"/>
  <c r="I230" i="10" s="1"/>
  <c r="N46" i="10"/>
  <c r="F230" i="10"/>
  <c r="D230" i="10" s="1"/>
  <c r="C230" i="10" s="1"/>
  <c r="AK74" i="12"/>
  <c r="AI74" i="12"/>
  <c r="AF74" i="12" s="1"/>
  <c r="T74" i="12" s="1"/>
  <c r="AJ74" i="12"/>
  <c r="AI229" i="12"/>
  <c r="F47" i="10"/>
  <c r="E46" i="10"/>
  <c r="F434" i="9"/>
  <c r="E435" i="9"/>
  <c r="C435" i="9"/>
  <c r="AF269" i="12"/>
  <c r="T269" i="12" s="1"/>
  <c r="T270" i="12"/>
  <c r="AD270" i="12"/>
  <c r="AB270" i="12"/>
  <c r="Z270" i="12"/>
  <c r="X270" i="12"/>
  <c r="V270" i="12"/>
  <c r="F280" i="9"/>
  <c r="E281" i="9"/>
  <c r="C281" i="9"/>
  <c r="E23" i="8"/>
  <c r="F22" i="8"/>
  <c r="C22" i="8" s="1"/>
  <c r="F514" i="9"/>
  <c r="E515" i="9"/>
  <c r="C515" i="9"/>
  <c r="F145" i="8"/>
  <c r="E146" i="8"/>
  <c r="C145" i="8"/>
  <c r="AJ147" i="12"/>
  <c r="AK147" i="12"/>
  <c r="AI147" i="12"/>
  <c r="E126" i="9"/>
  <c r="F125" i="9"/>
  <c r="C126" i="9"/>
  <c r="E399" i="9"/>
  <c r="F398" i="9"/>
  <c r="C399" i="9"/>
  <c r="AK452" i="12"/>
  <c r="AJ452" i="12"/>
  <c r="AI452" i="12"/>
  <c r="AF452" i="12" s="1"/>
  <c r="Z414" i="12"/>
  <c r="T414" i="12"/>
  <c r="AD414" i="12"/>
  <c r="AB414" i="12"/>
  <c r="X414" i="12"/>
  <c r="V414" i="12"/>
  <c r="AK379" i="12"/>
  <c r="AJ379" i="12"/>
  <c r="AI379" i="12"/>
  <c r="AF379" i="12" s="1"/>
  <c r="F322" i="9"/>
  <c r="E323" i="9"/>
  <c r="C323" i="9"/>
  <c r="T107" i="12"/>
  <c r="AJ107" i="12"/>
  <c r="T108" i="12"/>
  <c r="AF107" i="12"/>
  <c r="X107" i="12"/>
  <c r="V107" i="12"/>
  <c r="AB107" i="12"/>
  <c r="AB108" i="12"/>
  <c r="Z107" i="12"/>
  <c r="V108" i="12"/>
  <c r="Z108" i="12"/>
  <c r="AD108" i="12"/>
  <c r="AD107" i="12"/>
  <c r="X108" i="12"/>
  <c r="AJ146" i="12"/>
  <c r="AI146" i="12"/>
  <c r="AK146" i="12"/>
  <c r="F124" i="9" l="1"/>
  <c r="E125" i="9"/>
  <c r="C125" i="9"/>
  <c r="AJ415" i="12"/>
  <c r="AK415" i="12"/>
  <c r="AI415" i="12"/>
  <c r="AF415" i="12" s="1"/>
  <c r="E434" i="9"/>
  <c r="F433" i="9"/>
  <c r="C434" i="9"/>
  <c r="N47" i="10"/>
  <c r="O47" i="10"/>
  <c r="L231" i="10"/>
  <c r="J231" i="10" s="1"/>
  <c r="I231" i="10" s="1"/>
  <c r="F231" i="10"/>
  <c r="D231" i="10" s="1"/>
  <c r="C231" i="10" s="1"/>
  <c r="AD531" i="12"/>
  <c r="AF530" i="12"/>
  <c r="AK229" i="12"/>
  <c r="AJ229" i="12"/>
  <c r="AF179" i="12"/>
  <c r="V178" i="12"/>
  <c r="AD178" i="12"/>
  <c r="X178" i="12"/>
  <c r="AB178" i="12"/>
  <c r="Z178" i="12"/>
  <c r="AI294" i="12"/>
  <c r="AJ294" i="12"/>
  <c r="AK294" i="12"/>
  <c r="F48" i="10"/>
  <c r="E47" i="10"/>
  <c r="T379" i="12"/>
  <c r="AD379" i="12"/>
  <c r="AB379" i="12"/>
  <c r="Z379" i="12"/>
  <c r="X379" i="12"/>
  <c r="V379" i="12"/>
  <c r="AF148" i="12"/>
  <c r="AF147" i="12"/>
  <c r="T230" i="12"/>
  <c r="AF229" i="12"/>
  <c r="Z230" i="12"/>
  <c r="X230" i="12"/>
  <c r="V230" i="12"/>
  <c r="AD230" i="12"/>
  <c r="AB230" i="12"/>
  <c r="F240" i="9"/>
  <c r="E241" i="9"/>
  <c r="C241" i="9"/>
  <c r="F21" i="8"/>
  <c r="E22" i="8"/>
  <c r="E554" i="9"/>
  <c r="F553" i="9"/>
  <c r="C554" i="9"/>
  <c r="AM108" i="12"/>
  <c r="AN108" i="12" s="1"/>
  <c r="AK108" i="12"/>
  <c r="AL108" i="12" s="1"/>
  <c r="AJ271" i="12"/>
  <c r="E362" i="9"/>
  <c r="F361" i="9"/>
  <c r="C362" i="9"/>
  <c r="AK270" i="12"/>
  <c r="AJ270" i="12"/>
  <c r="AI270" i="12"/>
  <c r="AF270" i="12" s="1"/>
  <c r="AI271" i="12" s="1"/>
  <c r="AF271" i="12" s="1"/>
  <c r="T271" i="12" s="1"/>
  <c r="F103" i="8"/>
  <c r="E104" i="8"/>
  <c r="E201" i="9"/>
  <c r="F200" i="9"/>
  <c r="C201" i="9"/>
  <c r="E322" i="9"/>
  <c r="F321" i="9"/>
  <c r="C322" i="9"/>
  <c r="T452" i="12"/>
  <c r="V452" i="12"/>
  <c r="AD452" i="12"/>
  <c r="AB452" i="12"/>
  <c r="Z452" i="12"/>
  <c r="X452" i="12"/>
  <c r="F397" i="9"/>
  <c r="E398" i="9"/>
  <c r="C398" i="9"/>
  <c r="F144" i="8"/>
  <c r="E145" i="8"/>
  <c r="C144" i="8"/>
  <c r="M46" i="10"/>
  <c r="K46" i="10"/>
  <c r="D46" i="10" s="1"/>
  <c r="C46" i="10" s="1"/>
  <c r="M231" i="10"/>
  <c r="F513" i="9"/>
  <c r="E514" i="9"/>
  <c r="C514" i="9"/>
  <c r="AK75" i="12"/>
  <c r="AJ75" i="12"/>
  <c r="AI75" i="12"/>
  <c r="T562" i="12"/>
  <c r="AB562" i="12"/>
  <c r="X562" i="12"/>
  <c r="Z562" i="12"/>
  <c r="V562" i="12"/>
  <c r="AD562" i="12"/>
  <c r="AI107" i="12"/>
  <c r="F279" i="9"/>
  <c r="E280" i="9"/>
  <c r="C280" i="9"/>
  <c r="F161" i="9"/>
  <c r="E162" i="9"/>
  <c r="C162" i="9"/>
  <c r="AI272" i="12" l="1"/>
  <c r="AJ272" i="12"/>
  <c r="AK272" i="12"/>
  <c r="F20" i="8"/>
  <c r="C20" i="8" s="1"/>
  <c r="E21" i="8"/>
  <c r="T229" i="12"/>
  <c r="AI230" i="12" s="1"/>
  <c r="AF230" i="12" s="1"/>
  <c r="AK230" i="12"/>
  <c r="AJ230" i="12"/>
  <c r="AJ180" i="12"/>
  <c r="AI180" i="12"/>
  <c r="AK180" i="12"/>
  <c r="E103" i="8"/>
  <c r="F102" i="8"/>
  <c r="C102" i="8" s="1"/>
  <c r="AK271" i="12"/>
  <c r="AI231" i="12"/>
  <c r="AF231" i="12" s="1"/>
  <c r="F49" i="10"/>
  <c r="E48" i="10"/>
  <c r="E433" i="9"/>
  <c r="F432" i="9"/>
  <c r="C433" i="9"/>
  <c r="E513" i="9"/>
  <c r="F512" i="9"/>
  <c r="C513" i="9"/>
  <c r="F396" i="9"/>
  <c r="E397" i="9"/>
  <c r="C397" i="9"/>
  <c r="T148" i="12"/>
  <c r="V148" i="12"/>
  <c r="AD148" i="12"/>
  <c r="AB148" i="12"/>
  <c r="Z148" i="12"/>
  <c r="X148" i="12"/>
  <c r="T415" i="12"/>
  <c r="Z415" i="12"/>
  <c r="X415" i="12"/>
  <c r="AB415" i="12"/>
  <c r="V415" i="12"/>
  <c r="AD415" i="12"/>
  <c r="T147" i="12"/>
  <c r="AB147" i="12"/>
  <c r="X147" i="12"/>
  <c r="V147" i="12"/>
  <c r="AD147" i="12"/>
  <c r="Z147" i="12"/>
  <c r="AB530" i="12"/>
  <c r="T531" i="12"/>
  <c r="Z530" i="12"/>
  <c r="V530" i="12"/>
  <c r="X530" i="12"/>
  <c r="AI531" i="12"/>
  <c r="AF531" i="12" s="1"/>
  <c r="AK531" i="12"/>
  <c r="AJ531" i="12"/>
  <c r="AJ108" i="12"/>
  <c r="AF108" i="12"/>
  <c r="F239" i="9"/>
  <c r="E240" i="9"/>
  <c r="C240" i="9"/>
  <c r="AF294" i="12"/>
  <c r="AD295" i="12"/>
  <c r="AK453" i="12"/>
  <c r="AI453" i="12"/>
  <c r="AF453" i="12" s="1"/>
  <c r="AJ453" i="12"/>
  <c r="F320" i="9"/>
  <c r="E321" i="9"/>
  <c r="C321" i="9"/>
  <c r="F160" i="9"/>
  <c r="E161" i="9"/>
  <c r="C161" i="9"/>
  <c r="AK563" i="12"/>
  <c r="AI563" i="12"/>
  <c r="AF563" i="12" s="1"/>
  <c r="AJ563" i="12"/>
  <c r="F552" i="9"/>
  <c r="E553" i="9"/>
  <c r="C553" i="9"/>
  <c r="F199" i="9"/>
  <c r="E200" i="9"/>
  <c r="C200" i="9"/>
  <c r="E361" i="9"/>
  <c r="F360" i="9"/>
  <c r="C361" i="9"/>
  <c r="O48" i="10"/>
  <c r="N48" i="10"/>
  <c r="F232" i="10"/>
  <c r="D232" i="10" s="1"/>
  <c r="C232" i="10" s="1"/>
  <c r="L232" i="10"/>
  <c r="J232" i="10" s="1"/>
  <c r="I232" i="10" s="1"/>
  <c r="C21" i="8"/>
  <c r="K47" i="10"/>
  <c r="D47" i="10" s="1"/>
  <c r="C47" i="10" s="1"/>
  <c r="M47" i="10"/>
  <c r="M232" i="10"/>
  <c r="E279" i="9"/>
  <c r="F278" i="9"/>
  <c r="C279" i="9"/>
  <c r="E144" i="8"/>
  <c r="F143" i="8"/>
  <c r="C143" i="8"/>
  <c r="C103" i="8"/>
  <c r="AI380" i="12"/>
  <c r="AF380" i="12" s="1"/>
  <c r="AJ380" i="12"/>
  <c r="AK380" i="12"/>
  <c r="E124" i="9"/>
  <c r="F123" i="9"/>
  <c r="C124" i="9"/>
  <c r="T294" i="12" l="1"/>
  <c r="X294" i="12"/>
  <c r="AB294" i="12"/>
  <c r="Z294" i="12"/>
  <c r="V294" i="12"/>
  <c r="K48" i="10"/>
  <c r="D48" i="10" s="1"/>
  <c r="C48" i="10" s="1"/>
  <c r="M48" i="10"/>
  <c r="M233" i="10"/>
  <c r="AI148" i="12"/>
  <c r="AK148" i="12"/>
  <c r="AJ148" i="12"/>
  <c r="F50" i="10"/>
  <c r="E49" i="10"/>
  <c r="F277" i="9"/>
  <c r="E278" i="9"/>
  <c r="C278" i="9"/>
  <c r="AK532" i="12"/>
  <c r="AI532" i="12"/>
  <c r="AJ532" i="12"/>
  <c r="E239" i="9"/>
  <c r="F238" i="9"/>
  <c r="C239" i="9"/>
  <c r="AM109" i="12"/>
  <c r="AN109" i="12" s="1"/>
  <c r="AK109" i="12"/>
  <c r="AL109" i="12" s="1"/>
  <c r="AI108" i="12"/>
  <c r="Z380" i="12"/>
  <c r="T380" i="12"/>
  <c r="AB380" i="12"/>
  <c r="X380" i="12"/>
  <c r="V380" i="12"/>
  <c r="AD380" i="12"/>
  <c r="AB563" i="12"/>
  <c r="AD563" i="12"/>
  <c r="T563" i="12"/>
  <c r="V563" i="12"/>
  <c r="Z563" i="12"/>
  <c r="X563" i="12"/>
  <c r="AI416" i="12"/>
  <c r="AF416" i="12" s="1"/>
  <c r="AK416" i="12"/>
  <c r="AJ416" i="12"/>
  <c r="E160" i="9"/>
  <c r="F159" i="9"/>
  <c r="C160" i="9"/>
  <c r="E552" i="9"/>
  <c r="F551" i="9"/>
  <c r="C552" i="9"/>
  <c r="F359" i="9"/>
  <c r="E360" i="9"/>
  <c r="C360" i="9"/>
  <c r="F319" i="9"/>
  <c r="E320" i="9"/>
  <c r="C320" i="9"/>
  <c r="F395" i="9"/>
  <c r="E396" i="9"/>
  <c r="C396" i="9"/>
  <c r="T453" i="12"/>
  <c r="AD453" i="12"/>
  <c r="AB453" i="12"/>
  <c r="V453" i="12"/>
  <c r="X453" i="12"/>
  <c r="Z453" i="12"/>
  <c r="T231" i="12"/>
  <c r="AI232" i="12" s="1"/>
  <c r="AK232" i="12"/>
  <c r="AJ232" i="12"/>
  <c r="AK231" i="12"/>
  <c r="AJ231" i="12"/>
  <c r="E143" i="8"/>
  <c r="F142" i="8"/>
  <c r="C142" i="8" s="1"/>
  <c r="T532" i="12"/>
  <c r="AB531" i="12"/>
  <c r="X531" i="12"/>
  <c r="V531" i="12"/>
  <c r="Z531" i="12"/>
  <c r="F511" i="9"/>
  <c r="E512" i="9"/>
  <c r="C512" i="9"/>
  <c r="F101" i="8"/>
  <c r="C101" i="8" s="1"/>
  <c r="E102" i="8"/>
  <c r="F19" i="8"/>
  <c r="E20" i="8"/>
  <c r="F198" i="9"/>
  <c r="E199" i="9"/>
  <c r="C199" i="9"/>
  <c r="F122" i="9"/>
  <c r="E123" i="9"/>
  <c r="C123" i="9"/>
  <c r="O49" i="10"/>
  <c r="N49" i="10"/>
  <c r="L233" i="10"/>
  <c r="J233" i="10" s="1"/>
  <c r="I233" i="10" s="1"/>
  <c r="F233" i="10"/>
  <c r="D233" i="10" s="1"/>
  <c r="C233" i="10" s="1"/>
  <c r="AJ149" i="12"/>
  <c r="AK149" i="12"/>
  <c r="AI149" i="12"/>
  <c r="F431" i="9"/>
  <c r="E432" i="9"/>
  <c r="C432" i="9"/>
  <c r="AF180" i="12"/>
  <c r="T180" i="12" s="1"/>
  <c r="T181" i="12"/>
  <c r="V179" i="12"/>
  <c r="AD179" i="12"/>
  <c r="X179" i="12"/>
  <c r="AB179" i="12"/>
  <c r="Z179" i="12"/>
  <c r="O50" i="10" l="1"/>
  <c r="N50" i="10"/>
  <c r="L234" i="10"/>
  <c r="J234" i="10" s="1"/>
  <c r="I234" i="10" s="1"/>
  <c r="F234" i="10"/>
  <c r="D234" i="10" s="1"/>
  <c r="C234" i="10" s="1"/>
  <c r="T416" i="12"/>
  <c r="AD416" i="12"/>
  <c r="AB416" i="12"/>
  <c r="Z416" i="12"/>
  <c r="X416" i="12"/>
  <c r="V416" i="12"/>
  <c r="E19" i="8"/>
  <c r="F18" i="8"/>
  <c r="C18" i="8"/>
  <c r="F394" i="9"/>
  <c r="E395" i="9"/>
  <c r="C395" i="9"/>
  <c r="AI381" i="12"/>
  <c r="AF381" i="12" s="1"/>
  <c r="AJ381" i="12"/>
  <c r="AK381" i="12"/>
  <c r="AF532" i="12"/>
  <c r="AD533" i="12"/>
  <c r="F550" i="9"/>
  <c r="E551" i="9"/>
  <c r="C551" i="9"/>
  <c r="E431" i="9"/>
  <c r="F430" i="9"/>
  <c r="C431" i="9"/>
  <c r="AJ533" i="12"/>
  <c r="AI533" i="12"/>
  <c r="AF533" i="12" s="1"/>
  <c r="AK533" i="12"/>
  <c r="T110" i="12"/>
  <c r="AJ109" i="12"/>
  <c r="T109" i="12"/>
  <c r="AI109" i="12" s="1"/>
  <c r="AF109" i="12"/>
  <c r="AD109" i="12"/>
  <c r="V110" i="12"/>
  <c r="Z110" i="12"/>
  <c r="AB109" i="12"/>
  <c r="Z109" i="12"/>
  <c r="X109" i="12"/>
  <c r="AD110" i="12"/>
  <c r="X110" i="12"/>
  <c r="V109" i="12"/>
  <c r="AB110" i="12"/>
  <c r="AF149" i="12"/>
  <c r="AF150" i="12"/>
  <c r="F121" i="9"/>
  <c r="E122" i="9"/>
  <c r="C122" i="9"/>
  <c r="E101" i="8"/>
  <c r="F100" i="8"/>
  <c r="C100" i="8"/>
  <c r="AI564" i="12"/>
  <c r="AF564" i="12" s="1"/>
  <c r="AJ564" i="12"/>
  <c r="AK564" i="12"/>
  <c r="E142" i="8"/>
  <c r="F141" i="8"/>
  <c r="C141" i="8"/>
  <c r="E319" i="9"/>
  <c r="F318" i="9"/>
  <c r="C319" i="9"/>
  <c r="E159" i="9"/>
  <c r="F158" i="9"/>
  <c r="C159" i="9"/>
  <c r="F276" i="9"/>
  <c r="E277" i="9"/>
  <c r="C277" i="9"/>
  <c r="AJ454" i="12"/>
  <c r="AK454" i="12"/>
  <c r="AI454" i="12"/>
  <c r="AF454" i="12" s="1"/>
  <c r="E198" i="9"/>
  <c r="F197" i="9"/>
  <c r="C198" i="9"/>
  <c r="E511" i="9"/>
  <c r="F510" i="9"/>
  <c r="C511" i="9"/>
  <c r="E238" i="9"/>
  <c r="F237" i="9"/>
  <c r="C238" i="9"/>
  <c r="F51" i="10"/>
  <c r="E50" i="10"/>
  <c r="AK181" i="12"/>
  <c r="AJ181" i="12"/>
  <c r="AI181" i="12"/>
  <c r="K49" i="10"/>
  <c r="D49" i="10" s="1"/>
  <c r="C49" i="10" s="1"/>
  <c r="M49" i="10"/>
  <c r="M234" i="10"/>
  <c r="C19" i="8"/>
  <c r="F358" i="9"/>
  <c r="E359" i="9"/>
  <c r="C359" i="9"/>
  <c r="AI295" i="12"/>
  <c r="AF295" i="12" s="1"/>
  <c r="AK295" i="12"/>
  <c r="AJ295" i="12"/>
  <c r="E121" i="9" l="1"/>
  <c r="F120" i="9"/>
  <c r="C121" i="9"/>
  <c r="T150" i="12"/>
  <c r="AB150" i="12"/>
  <c r="Z150" i="12"/>
  <c r="X150" i="12"/>
  <c r="V150" i="12"/>
  <c r="AD150" i="12"/>
  <c r="E158" i="9"/>
  <c r="F157" i="9"/>
  <c r="C158" i="9"/>
  <c r="T149" i="12"/>
  <c r="AD149" i="12"/>
  <c r="AB149" i="12"/>
  <c r="Z149" i="12"/>
  <c r="X149" i="12"/>
  <c r="V149" i="12"/>
  <c r="F429" i="9"/>
  <c r="E430" i="9"/>
  <c r="C430" i="9"/>
  <c r="T381" i="12"/>
  <c r="AB381" i="12"/>
  <c r="AD381" i="12"/>
  <c r="Z381" i="12"/>
  <c r="X381" i="12"/>
  <c r="V381" i="12"/>
  <c r="AF181" i="12"/>
  <c r="V180" i="12"/>
  <c r="AD180" i="12"/>
  <c r="X180" i="12"/>
  <c r="AB180" i="12"/>
  <c r="Z180" i="12"/>
  <c r="T454" i="12"/>
  <c r="AD454" i="12"/>
  <c r="V454" i="12"/>
  <c r="AB454" i="12"/>
  <c r="Z454" i="12"/>
  <c r="X454" i="12"/>
  <c r="AD564" i="12"/>
  <c r="T564" i="12"/>
  <c r="V564" i="12"/>
  <c r="X564" i="12"/>
  <c r="Z564" i="12"/>
  <c r="AB564" i="12"/>
  <c r="AK110" i="12"/>
  <c r="AL110" i="12" s="1"/>
  <c r="AM110" i="12"/>
  <c r="AN110" i="12" s="1"/>
  <c r="AJ110" i="12"/>
  <c r="AF110" i="12"/>
  <c r="AI110" i="12" s="1"/>
  <c r="F99" i="8"/>
  <c r="C99" i="8" s="1"/>
  <c r="E100" i="8"/>
  <c r="AJ417" i="12"/>
  <c r="AK417" i="12"/>
  <c r="AI417" i="12"/>
  <c r="AF417" i="12" s="1"/>
  <c r="E237" i="9"/>
  <c r="F236" i="9"/>
  <c r="C237" i="9"/>
  <c r="F317" i="9"/>
  <c r="E318" i="9"/>
  <c r="C318" i="9"/>
  <c r="F393" i="9"/>
  <c r="E394" i="9"/>
  <c r="C394" i="9"/>
  <c r="E550" i="9"/>
  <c r="F549" i="9"/>
  <c r="C550" i="9"/>
  <c r="T295" i="12"/>
  <c r="AB295" i="12"/>
  <c r="Z295" i="12"/>
  <c r="V295" i="12"/>
  <c r="X295" i="12"/>
  <c r="F509" i="9"/>
  <c r="E510" i="9"/>
  <c r="C510" i="9"/>
  <c r="AB533" i="12"/>
  <c r="T534" i="12"/>
  <c r="Z533" i="12"/>
  <c r="X533" i="12"/>
  <c r="V533" i="12"/>
  <c r="E18" i="8"/>
  <c r="F17" i="8"/>
  <c r="C17" i="8"/>
  <c r="K50" i="10"/>
  <c r="D50" i="10" s="1"/>
  <c r="C50" i="10" s="1"/>
  <c r="M50" i="10"/>
  <c r="M235" i="10"/>
  <c r="F52" i="10"/>
  <c r="E51" i="10"/>
  <c r="E358" i="9"/>
  <c r="F357" i="9"/>
  <c r="C358" i="9"/>
  <c r="E197" i="9"/>
  <c r="F196" i="9"/>
  <c r="C197" i="9"/>
  <c r="E276" i="9"/>
  <c r="F275" i="9"/>
  <c r="C276" i="9"/>
  <c r="E141" i="8"/>
  <c r="F140" i="8"/>
  <c r="C140" i="8"/>
  <c r="Z532" i="12"/>
  <c r="X532" i="12"/>
  <c r="T533" i="12"/>
  <c r="V532" i="12"/>
  <c r="AB532" i="12"/>
  <c r="L235" i="10"/>
  <c r="J235" i="10" s="1"/>
  <c r="I235" i="10" s="1"/>
  <c r="N51" i="10"/>
  <c r="O51" i="10"/>
  <c r="F235" i="10"/>
  <c r="D235" i="10" s="1"/>
  <c r="C235" i="10" s="1"/>
  <c r="T112" i="12" l="1"/>
  <c r="AJ111" i="12"/>
  <c r="AB112" i="12"/>
  <c r="X112" i="12"/>
  <c r="T111" i="12"/>
  <c r="Z111" i="12"/>
  <c r="AF111" i="12"/>
  <c r="X111" i="12"/>
  <c r="V111" i="12"/>
  <c r="Z112" i="12"/>
  <c r="AD112" i="12"/>
  <c r="AD111" i="12"/>
  <c r="AB111" i="12"/>
  <c r="V112" i="12"/>
  <c r="O52" i="10"/>
  <c r="N52" i="10"/>
  <c r="L236" i="10"/>
  <c r="J236" i="10" s="1"/>
  <c r="I236" i="10" s="1"/>
  <c r="F236" i="10"/>
  <c r="D236" i="10" s="1"/>
  <c r="C236" i="10" s="1"/>
  <c r="F235" i="9"/>
  <c r="E236" i="9"/>
  <c r="C236" i="9"/>
  <c r="F392" i="9"/>
  <c r="E393" i="9"/>
  <c r="C393" i="9"/>
  <c r="T417" i="12"/>
  <c r="Z417" i="12"/>
  <c r="X417" i="12"/>
  <c r="V417" i="12"/>
  <c r="AD417" i="12"/>
  <c r="AB417" i="12"/>
  <c r="K51" i="10"/>
  <c r="D51" i="10" s="1"/>
  <c r="C51" i="10" s="1"/>
  <c r="M51" i="10"/>
  <c r="M236" i="10"/>
  <c r="F356" i="9"/>
  <c r="E357" i="9"/>
  <c r="C357" i="9"/>
  <c r="E275" i="9"/>
  <c r="F274" i="9"/>
  <c r="C275" i="9"/>
  <c r="AI455" i="12"/>
  <c r="AF455" i="12" s="1"/>
  <c r="AJ455" i="12"/>
  <c r="AK455" i="12"/>
  <c r="F53" i="10"/>
  <c r="E52" i="10"/>
  <c r="AI296" i="12"/>
  <c r="AK296" i="12"/>
  <c r="AJ296" i="12"/>
  <c r="AK382" i="12"/>
  <c r="AJ382" i="12"/>
  <c r="AI382" i="12"/>
  <c r="AF382" i="12" s="1"/>
  <c r="AI150" i="12"/>
  <c r="AK150" i="12"/>
  <c r="AJ150" i="12"/>
  <c r="AI151" i="12"/>
  <c r="AK151" i="12"/>
  <c r="AJ151" i="12"/>
  <c r="AJ565" i="12"/>
  <c r="AK565" i="12"/>
  <c r="AI565" i="12"/>
  <c r="AF565" i="12" s="1"/>
  <c r="E99" i="8"/>
  <c r="F98" i="8"/>
  <c r="C98" i="8" s="1"/>
  <c r="AK534" i="12"/>
  <c r="AJ534" i="12"/>
  <c r="AI534" i="12"/>
  <c r="F195" i="9"/>
  <c r="E196" i="9"/>
  <c r="C196" i="9"/>
  <c r="E549" i="9"/>
  <c r="F548" i="9"/>
  <c r="C549" i="9"/>
  <c r="AM111" i="12"/>
  <c r="AN111" i="12" s="1"/>
  <c r="AK111" i="12"/>
  <c r="AL111" i="12" s="1"/>
  <c r="E120" i="9"/>
  <c r="F119" i="9"/>
  <c r="C120" i="9"/>
  <c r="F316" i="9"/>
  <c r="E317" i="9"/>
  <c r="C317" i="9"/>
  <c r="E157" i="9"/>
  <c r="F156" i="9"/>
  <c r="C157" i="9"/>
  <c r="E140" i="8"/>
  <c r="F139" i="8"/>
  <c r="C139" i="8"/>
  <c r="E17" i="8"/>
  <c r="F16" i="8"/>
  <c r="C16" i="8"/>
  <c r="E509" i="9"/>
  <c r="F508" i="9"/>
  <c r="C509" i="9"/>
  <c r="AJ182" i="12"/>
  <c r="AI182" i="12"/>
  <c r="AK182" i="12"/>
  <c r="E429" i="9"/>
  <c r="F428" i="9"/>
  <c r="C429" i="9"/>
  <c r="E428" i="9" l="1"/>
  <c r="F427" i="9"/>
  <c r="C428" i="9"/>
  <c r="E16" i="8"/>
  <c r="F15" i="8"/>
  <c r="C15" i="8"/>
  <c r="F234" i="9"/>
  <c r="E235" i="9"/>
  <c r="C235" i="9"/>
  <c r="F547" i="9"/>
  <c r="E548" i="9"/>
  <c r="C548" i="9"/>
  <c r="F97" i="8"/>
  <c r="C97" i="8" s="1"/>
  <c r="E98" i="8"/>
  <c r="E316" i="9"/>
  <c r="F315" i="9"/>
  <c r="C316" i="9"/>
  <c r="V382" i="12"/>
  <c r="T382" i="12"/>
  <c r="AB382" i="12"/>
  <c r="Z382" i="12"/>
  <c r="X382" i="12"/>
  <c r="AD382" i="12"/>
  <c r="F54" i="10"/>
  <c r="E53" i="10"/>
  <c r="AJ418" i="12"/>
  <c r="AK418" i="12"/>
  <c r="AI418" i="12"/>
  <c r="AF418" i="12" s="1"/>
  <c r="AM112" i="12"/>
  <c r="AN112" i="12" s="1"/>
  <c r="AK112" i="12"/>
  <c r="AL112" i="12" s="1"/>
  <c r="AF182" i="12"/>
  <c r="T182" i="12" s="1"/>
  <c r="T183" i="12"/>
  <c r="AD181" i="12"/>
  <c r="X181" i="12"/>
  <c r="AB181" i="12"/>
  <c r="Z181" i="12"/>
  <c r="V181" i="12"/>
  <c r="E139" i="8"/>
  <c r="F138" i="8"/>
  <c r="AD565" i="12"/>
  <c r="AB565" i="12"/>
  <c r="Z565" i="12"/>
  <c r="V565" i="12"/>
  <c r="X565" i="12"/>
  <c r="T565" i="12"/>
  <c r="E356" i="9"/>
  <c r="F355" i="9"/>
  <c r="C356" i="9"/>
  <c r="K52" i="10"/>
  <c r="D52" i="10" s="1"/>
  <c r="C52" i="10" s="1"/>
  <c r="M52" i="10"/>
  <c r="M237" i="10"/>
  <c r="N53" i="10"/>
  <c r="O53" i="10"/>
  <c r="F237" i="10"/>
  <c r="D237" i="10" s="1"/>
  <c r="C237" i="10" s="1"/>
  <c r="L237" i="10"/>
  <c r="J237" i="10" s="1"/>
  <c r="I237" i="10" s="1"/>
  <c r="AI111" i="12"/>
  <c r="E119" i="9"/>
  <c r="C119" i="9"/>
  <c r="T455" i="12"/>
  <c r="AB455" i="12"/>
  <c r="Z455" i="12"/>
  <c r="AD455" i="12"/>
  <c r="X455" i="12"/>
  <c r="V455" i="12"/>
  <c r="E195" i="9"/>
  <c r="F194" i="9"/>
  <c r="C195" i="9"/>
  <c r="F391" i="9"/>
  <c r="E392" i="9"/>
  <c r="C392" i="9"/>
  <c r="E508" i="9"/>
  <c r="F507" i="9"/>
  <c r="C508" i="9"/>
  <c r="E156" i="9"/>
  <c r="F155" i="9"/>
  <c r="C156" i="9"/>
  <c r="AD535" i="12"/>
  <c r="AF534" i="12"/>
  <c r="AF296" i="12"/>
  <c r="AD297" i="12"/>
  <c r="AF151" i="12"/>
  <c r="AF152" i="12"/>
  <c r="F273" i="9"/>
  <c r="E274" i="9"/>
  <c r="C274" i="9"/>
  <c r="F137" i="8" l="1"/>
  <c r="E138" i="8"/>
  <c r="C137" i="8"/>
  <c r="AK383" i="12"/>
  <c r="AJ383" i="12"/>
  <c r="AI383" i="12"/>
  <c r="AF383" i="12" s="1"/>
  <c r="E547" i="9"/>
  <c r="C547" i="9"/>
  <c r="E194" i="9"/>
  <c r="C194" i="9"/>
  <c r="E118" i="9"/>
  <c r="C118" i="9"/>
  <c r="E355" i="9"/>
  <c r="C355" i="9"/>
  <c r="T418" i="12"/>
  <c r="AD418" i="12"/>
  <c r="AB418" i="12"/>
  <c r="Z418" i="12"/>
  <c r="X418" i="12"/>
  <c r="V418" i="12"/>
  <c r="E155" i="9"/>
  <c r="C155" i="9"/>
  <c r="AF112" i="12"/>
  <c r="AJ112" i="12"/>
  <c r="AK566" i="12"/>
  <c r="AJ566" i="12"/>
  <c r="AI566" i="12"/>
  <c r="AF566" i="12" s="1"/>
  <c r="E315" i="9"/>
  <c r="C315" i="9"/>
  <c r="E234" i="9"/>
  <c r="C234" i="9"/>
  <c r="E273" i="9"/>
  <c r="C273" i="9"/>
  <c r="T152" i="12"/>
  <c r="AD152" i="12"/>
  <c r="AB152" i="12"/>
  <c r="Z152" i="12"/>
  <c r="X152" i="12"/>
  <c r="V152" i="12"/>
  <c r="E507" i="9"/>
  <c r="C507" i="9"/>
  <c r="O54" i="10"/>
  <c r="N54" i="10"/>
  <c r="L238" i="10"/>
  <c r="J238" i="10" s="1"/>
  <c r="I238" i="10" s="1"/>
  <c r="F238" i="10"/>
  <c r="D238" i="10" s="1"/>
  <c r="C238" i="10" s="1"/>
  <c r="F55" i="10"/>
  <c r="E54" i="10"/>
  <c r="F14" i="8"/>
  <c r="E15" i="8"/>
  <c r="C14" i="8"/>
  <c r="T151" i="12"/>
  <c r="V151" i="12"/>
  <c r="AD151" i="12"/>
  <c r="AB151" i="12"/>
  <c r="Z151" i="12"/>
  <c r="X151" i="12"/>
  <c r="M53" i="10"/>
  <c r="K53" i="10"/>
  <c r="D53" i="10" s="1"/>
  <c r="C53" i="10" s="1"/>
  <c r="M238" i="10"/>
  <c r="E97" i="8"/>
  <c r="F96" i="8"/>
  <c r="C96" i="8"/>
  <c r="T296" i="12"/>
  <c r="Z296" i="12"/>
  <c r="V296" i="12"/>
  <c r="AB296" i="12"/>
  <c r="X296" i="12"/>
  <c r="AI456" i="12"/>
  <c r="AF456" i="12" s="1"/>
  <c r="AJ456" i="12"/>
  <c r="AK456" i="12"/>
  <c r="AJ183" i="12"/>
  <c r="AK183" i="12"/>
  <c r="AI183" i="12"/>
  <c r="E427" i="9"/>
  <c r="C427" i="9"/>
  <c r="T535" i="12"/>
  <c r="AB534" i="12"/>
  <c r="Z534" i="12"/>
  <c r="X534" i="12"/>
  <c r="V534" i="12"/>
  <c r="AK535" i="12"/>
  <c r="AI535" i="12"/>
  <c r="AF535" i="12" s="1"/>
  <c r="AJ535" i="12"/>
  <c r="E391" i="9"/>
  <c r="C391" i="9"/>
  <c r="C138" i="8"/>
  <c r="E14" i="8" l="1"/>
  <c r="F13" i="8"/>
  <c r="C13" i="8"/>
  <c r="AD566" i="12"/>
  <c r="T566" i="12"/>
  <c r="V566" i="12"/>
  <c r="Z566" i="12"/>
  <c r="AB566" i="12"/>
  <c r="X566" i="12"/>
  <c r="AJ536" i="12"/>
  <c r="AI536" i="12"/>
  <c r="AK536" i="12"/>
  <c r="AF183" i="12"/>
  <c r="AD182" i="12"/>
  <c r="X182" i="12"/>
  <c r="AB182" i="12"/>
  <c r="Z182" i="12"/>
  <c r="V182" i="12"/>
  <c r="AI297" i="12"/>
  <c r="AF297" i="12" s="1"/>
  <c r="AJ297" i="12"/>
  <c r="AK297" i="12"/>
  <c r="F56" i="10"/>
  <c r="E55" i="10"/>
  <c r="T383" i="12"/>
  <c r="AD383" i="12"/>
  <c r="Z383" i="12"/>
  <c r="AB383" i="12"/>
  <c r="X383" i="12"/>
  <c r="V383" i="12"/>
  <c r="AJ419" i="12"/>
  <c r="AK419" i="12"/>
  <c r="AI419" i="12"/>
  <c r="AF419" i="12" s="1"/>
  <c r="T536" i="12"/>
  <c r="AB535" i="12"/>
  <c r="Z535" i="12"/>
  <c r="V535" i="12"/>
  <c r="X535" i="12"/>
  <c r="F95" i="8"/>
  <c r="E96" i="8"/>
  <c r="C95" i="8"/>
  <c r="AK153" i="12"/>
  <c r="AI153" i="12"/>
  <c r="AF153" i="12" s="1"/>
  <c r="AJ153" i="12"/>
  <c r="K54" i="10"/>
  <c r="D54" i="10" s="1"/>
  <c r="C54" i="10" s="1"/>
  <c r="M54" i="10"/>
  <c r="M239" i="10"/>
  <c r="AK113" i="12"/>
  <c r="AL113" i="12" s="1"/>
  <c r="AM113" i="12"/>
  <c r="AN113" i="12" s="1"/>
  <c r="AI112" i="12"/>
  <c r="O55" i="10"/>
  <c r="L239" i="10"/>
  <c r="J239" i="10" s="1"/>
  <c r="I239" i="10" s="1"/>
  <c r="N55" i="10"/>
  <c r="F239" i="10"/>
  <c r="D239" i="10" s="1"/>
  <c r="C239" i="10" s="1"/>
  <c r="T456" i="12"/>
  <c r="V456" i="12"/>
  <c r="AD456" i="12"/>
  <c r="AB456" i="12"/>
  <c r="X456" i="12"/>
  <c r="Z456" i="12"/>
  <c r="AJ152" i="12"/>
  <c r="AK152" i="12"/>
  <c r="AI152" i="12"/>
  <c r="F136" i="8"/>
  <c r="C136" i="8" s="1"/>
  <c r="E137" i="8"/>
  <c r="Z297" i="12" l="1"/>
  <c r="T297" i="12"/>
  <c r="V297" i="12"/>
  <c r="X297" i="12"/>
  <c r="AB297" i="12"/>
  <c r="O56" i="10"/>
  <c r="N56" i="10"/>
  <c r="L240" i="10"/>
  <c r="J240" i="10" s="1"/>
  <c r="I240" i="10" s="1"/>
  <c r="F240" i="10"/>
  <c r="D240" i="10" s="1"/>
  <c r="C240" i="10" s="1"/>
  <c r="AF113" i="12"/>
  <c r="T113" i="12"/>
  <c r="AI113" i="12" s="1"/>
  <c r="AJ113" i="12"/>
  <c r="AB113" i="12"/>
  <c r="Z113" i="12"/>
  <c r="AD113" i="12"/>
  <c r="X113" i="12"/>
  <c r="V113" i="12"/>
  <c r="E95" i="8"/>
  <c r="F94" i="8"/>
  <c r="C94" i="8" s="1"/>
  <c r="AK567" i="12"/>
  <c r="AI567" i="12"/>
  <c r="AF567" i="12" s="1"/>
  <c r="AJ567" i="12"/>
  <c r="AK457" i="12"/>
  <c r="AI457" i="12"/>
  <c r="AF457" i="12" s="1"/>
  <c r="AJ457" i="12"/>
  <c r="AK384" i="12"/>
  <c r="AI384" i="12"/>
  <c r="AF384" i="12" s="1"/>
  <c r="AJ384" i="12"/>
  <c r="F135" i="8"/>
  <c r="E136" i="8"/>
  <c r="AJ184" i="12"/>
  <c r="AI184" i="12"/>
  <c r="AK184" i="12"/>
  <c r="M55" i="10"/>
  <c r="K55" i="10"/>
  <c r="D55" i="10" s="1"/>
  <c r="C55" i="10" s="1"/>
  <c r="M240" i="10"/>
  <c r="X153" i="12"/>
  <c r="T153" i="12"/>
  <c r="AD153" i="12"/>
  <c r="AB153" i="12"/>
  <c r="Z153" i="12"/>
  <c r="V153" i="12"/>
  <c r="T419" i="12"/>
  <c r="Z419" i="12"/>
  <c r="X419" i="12"/>
  <c r="V419" i="12"/>
  <c r="AD419" i="12"/>
  <c r="AB419" i="12"/>
  <c r="F57" i="10"/>
  <c r="E56" i="10"/>
  <c r="F12" i="8"/>
  <c r="E13" i="8"/>
  <c r="C12" i="8"/>
  <c r="AF536" i="12"/>
  <c r="AJ537" i="12" s="1"/>
  <c r="AD537" i="12"/>
  <c r="F134" i="8" l="1"/>
  <c r="E135" i="8"/>
  <c r="C134" i="8"/>
  <c r="AK114" i="12"/>
  <c r="AL114" i="12" s="1"/>
  <c r="AM114" i="12"/>
  <c r="AN114" i="12" s="1"/>
  <c r="F93" i="8"/>
  <c r="E94" i="8"/>
  <c r="C93" i="8"/>
  <c r="AJ114" i="12"/>
  <c r="AF114" i="12"/>
  <c r="AJ420" i="12"/>
  <c r="AK420" i="12"/>
  <c r="AI420" i="12"/>
  <c r="AF420" i="12" s="1"/>
  <c r="T384" i="12"/>
  <c r="AB384" i="12"/>
  <c r="Z384" i="12"/>
  <c r="X384" i="12"/>
  <c r="V384" i="12"/>
  <c r="AD384" i="12"/>
  <c r="T185" i="12"/>
  <c r="AF184" i="12"/>
  <c r="T184" i="12" s="1"/>
  <c r="AD183" i="12"/>
  <c r="AB183" i="12"/>
  <c r="Z183" i="12"/>
  <c r="V183" i="12"/>
  <c r="X183" i="12"/>
  <c r="M56" i="10"/>
  <c r="K56" i="10"/>
  <c r="D56" i="10" s="1"/>
  <c r="C56" i="10" s="1"/>
  <c r="M241" i="10"/>
  <c r="F11" i="8"/>
  <c r="E12" i="8"/>
  <c r="N57" i="10"/>
  <c r="O57" i="10"/>
  <c r="L241" i="10"/>
  <c r="J241" i="10" s="1"/>
  <c r="I241" i="10" s="1"/>
  <c r="F241" i="10"/>
  <c r="D241" i="10" s="1"/>
  <c r="C241" i="10" s="1"/>
  <c r="T457" i="12"/>
  <c r="Z457" i="12"/>
  <c r="X457" i="12"/>
  <c r="AD457" i="12"/>
  <c r="AB457" i="12"/>
  <c r="V457" i="12"/>
  <c r="T537" i="12"/>
  <c r="AB536" i="12"/>
  <c r="X536" i="12"/>
  <c r="V536" i="12"/>
  <c r="Z536" i="12"/>
  <c r="F58" i="10"/>
  <c r="E57" i="10"/>
  <c r="AI537" i="12"/>
  <c r="AF537" i="12" s="1"/>
  <c r="AJ154" i="12"/>
  <c r="AI154" i="12"/>
  <c r="AK154" i="12"/>
  <c r="AK537" i="12"/>
  <c r="C135" i="8"/>
  <c r="AD567" i="12"/>
  <c r="AB567" i="12"/>
  <c r="T567" i="12"/>
  <c r="V567" i="12"/>
  <c r="X567" i="12"/>
  <c r="Z567" i="12"/>
  <c r="AI298" i="12"/>
  <c r="AJ298" i="12"/>
  <c r="AK298" i="12"/>
  <c r="E11" i="8" l="1"/>
  <c r="F10" i="8"/>
  <c r="C10" i="8"/>
  <c r="F59" i="10"/>
  <c r="E58" i="10"/>
  <c r="V537" i="12"/>
  <c r="T538" i="12"/>
  <c r="Z537" i="12"/>
  <c r="X537" i="12"/>
  <c r="AB537" i="12"/>
  <c r="AJ458" i="12"/>
  <c r="AI458" i="12"/>
  <c r="AF458" i="12" s="1"/>
  <c r="AK458" i="12"/>
  <c r="E93" i="8"/>
  <c r="F92" i="8"/>
  <c r="C92" i="8"/>
  <c r="N58" i="10"/>
  <c r="O58" i="10"/>
  <c r="L242" i="10"/>
  <c r="J242" i="10" s="1"/>
  <c r="I242" i="10" s="1"/>
  <c r="F242" i="10"/>
  <c r="D242" i="10" s="1"/>
  <c r="C242" i="10" s="1"/>
  <c r="AF298" i="12"/>
  <c r="AD299" i="12"/>
  <c r="C11" i="8"/>
  <c r="AI568" i="12"/>
  <c r="AF568" i="12" s="1"/>
  <c r="AJ568" i="12"/>
  <c r="AK568" i="12"/>
  <c r="AK385" i="12"/>
  <c r="AI385" i="12"/>
  <c r="AF385" i="12" s="1"/>
  <c r="AJ385" i="12"/>
  <c r="AK538" i="12"/>
  <c r="AI538" i="12"/>
  <c r="AF538" i="12" s="1"/>
  <c r="AJ538" i="12"/>
  <c r="K57" i="10"/>
  <c r="D57" i="10" s="1"/>
  <c r="C57" i="10" s="1"/>
  <c r="M57" i="10"/>
  <c r="M242" i="10"/>
  <c r="T420" i="12"/>
  <c r="AB420" i="12"/>
  <c r="Z420" i="12"/>
  <c r="X420" i="12"/>
  <c r="AD420" i="12"/>
  <c r="V420" i="12"/>
  <c r="AK185" i="12"/>
  <c r="AJ185" i="12"/>
  <c r="AI185" i="12"/>
  <c r="E134" i="8"/>
  <c r="F133" i="8"/>
  <c r="N59" i="10" l="1"/>
  <c r="M58" i="10"/>
  <c r="K58" i="10"/>
  <c r="D58" i="10" s="1"/>
  <c r="C58" i="10" s="1"/>
  <c r="M243" i="10"/>
  <c r="AI539" i="12"/>
  <c r="AJ539" i="12"/>
  <c r="AK539" i="12"/>
  <c r="E133" i="8"/>
  <c r="F132" i="8"/>
  <c r="C132" i="8"/>
  <c r="AK421" i="12"/>
  <c r="AI421" i="12"/>
  <c r="AF421" i="12" s="1"/>
  <c r="AJ421" i="12"/>
  <c r="F91" i="8"/>
  <c r="C91" i="8" s="1"/>
  <c r="E92" i="8"/>
  <c r="C133" i="8"/>
  <c r="AD568" i="12"/>
  <c r="X568" i="12"/>
  <c r="Z568" i="12"/>
  <c r="T568" i="12"/>
  <c r="V568" i="12"/>
  <c r="AB568" i="12"/>
  <c r="F60" i="10"/>
  <c r="E59" i="10"/>
  <c r="AF185" i="12"/>
  <c r="AB184" i="12"/>
  <c r="Z184" i="12"/>
  <c r="V184" i="12"/>
  <c r="X184" i="12"/>
  <c r="AD184" i="12"/>
  <c r="T458" i="12"/>
  <c r="Z458" i="12"/>
  <c r="X458" i="12"/>
  <c r="V458" i="12"/>
  <c r="AD458" i="12"/>
  <c r="AB458" i="12"/>
  <c r="X538" i="12"/>
  <c r="V538" i="12"/>
  <c r="AB538" i="12"/>
  <c r="Z538" i="12"/>
  <c r="T298" i="12"/>
  <c r="X298" i="12"/>
  <c r="V298" i="12"/>
  <c r="AB298" i="12"/>
  <c r="Z298" i="12"/>
  <c r="F9" i="8"/>
  <c r="E10" i="8"/>
  <c r="C9" i="8"/>
  <c r="T385" i="12"/>
  <c r="Z385" i="12"/>
  <c r="X385" i="12"/>
  <c r="AD385" i="12"/>
  <c r="AB385" i="12"/>
  <c r="V385" i="12"/>
  <c r="O59" i="10"/>
  <c r="L243" i="10"/>
  <c r="J243" i="10" s="1"/>
  <c r="I243" i="10" s="1"/>
  <c r="F243" i="10"/>
  <c r="D243" i="10" s="1"/>
  <c r="C243" i="10" s="1"/>
  <c r="F61" i="10" l="1"/>
  <c r="E60" i="10"/>
  <c r="AI299" i="12"/>
  <c r="AF299" i="12" s="1"/>
  <c r="AJ299" i="12"/>
  <c r="AK299" i="12"/>
  <c r="AJ459" i="12"/>
  <c r="AK459" i="12"/>
  <c r="AI459" i="12"/>
  <c r="AF459" i="12" s="1"/>
  <c r="T421" i="12"/>
  <c r="Z421" i="12"/>
  <c r="X421" i="12"/>
  <c r="V421" i="12"/>
  <c r="AD421" i="12"/>
  <c r="AB421" i="12"/>
  <c r="AK569" i="12"/>
  <c r="AI569" i="12"/>
  <c r="AF569" i="12" s="1"/>
  <c r="AJ569" i="12"/>
  <c r="AK386" i="12"/>
  <c r="AJ386" i="12"/>
  <c r="AI386" i="12"/>
  <c r="AF386" i="12" s="1"/>
  <c r="E132" i="8"/>
  <c r="F131" i="8"/>
  <c r="C131" i="8"/>
  <c r="E9" i="8"/>
  <c r="F8" i="8"/>
  <c r="C8" i="8"/>
  <c r="O60" i="10"/>
  <c r="L244" i="10"/>
  <c r="J244" i="10" s="1"/>
  <c r="I244" i="10" s="1"/>
  <c r="F244" i="10"/>
  <c r="D244" i="10" s="1"/>
  <c r="C244" i="10" s="1"/>
  <c r="AJ186" i="12"/>
  <c r="AI186" i="12"/>
  <c r="AK186" i="12"/>
  <c r="E91" i="8"/>
  <c r="F90" i="8"/>
  <c r="C90" i="8"/>
  <c r="N60" i="10"/>
  <c r="K59" i="10"/>
  <c r="D59" i="10" s="1"/>
  <c r="C59" i="10" s="1"/>
  <c r="M244" i="10"/>
  <c r="M59" i="10"/>
  <c r="T386" i="12" l="1"/>
  <c r="AB386" i="12"/>
  <c r="Z386" i="12"/>
  <c r="X386" i="12"/>
  <c r="V386" i="12"/>
  <c r="AD386" i="12"/>
  <c r="AK422" i="12"/>
  <c r="AI422" i="12"/>
  <c r="AF422" i="12" s="1"/>
  <c r="AJ422" i="12"/>
  <c r="T569" i="12"/>
  <c r="V569" i="12"/>
  <c r="X569" i="12"/>
  <c r="AD569" i="12"/>
  <c r="Z569" i="12"/>
  <c r="AB569" i="12"/>
  <c r="E8" i="8"/>
  <c r="F7" i="8"/>
  <c r="C7" i="8"/>
  <c r="T459" i="12"/>
  <c r="X459" i="12"/>
  <c r="AB459" i="12"/>
  <c r="Z459" i="12"/>
  <c r="AD459" i="12"/>
  <c r="V459" i="12"/>
  <c r="T299" i="12"/>
  <c r="V299" i="12"/>
  <c r="AB299" i="12"/>
  <c r="X299" i="12"/>
  <c r="Z299" i="12"/>
  <c r="N61" i="10"/>
  <c r="K60" i="10"/>
  <c r="D60" i="10" s="1"/>
  <c r="C60" i="10" s="1"/>
  <c r="M60" i="10"/>
  <c r="M245" i="10"/>
  <c r="F130" i="8"/>
  <c r="E131" i="8"/>
  <c r="C130" i="8"/>
  <c r="L245" i="10"/>
  <c r="J245" i="10" s="1"/>
  <c r="I245" i="10" s="1"/>
  <c r="O61" i="10"/>
  <c r="F245" i="10"/>
  <c r="D245" i="10" s="1"/>
  <c r="C245" i="10" s="1"/>
  <c r="F89" i="8"/>
  <c r="E90" i="8"/>
  <c r="T187" i="12"/>
  <c r="AF186" i="12"/>
  <c r="T186" i="12" s="1"/>
  <c r="Z185" i="12"/>
  <c r="V185" i="12"/>
  <c r="X185" i="12"/>
  <c r="AD185" i="12"/>
  <c r="AB185" i="12"/>
  <c r="F62" i="10"/>
  <c r="E61" i="10"/>
  <c r="F63" i="10" l="1"/>
  <c r="E62" i="10"/>
  <c r="E89" i="8"/>
  <c r="F88" i="8"/>
  <c r="C88" i="8" s="1"/>
  <c r="M61" i="10"/>
  <c r="N62" i="10"/>
  <c r="M246" i="10"/>
  <c r="K61" i="10"/>
  <c r="D61" i="10" s="1"/>
  <c r="C61" i="10" s="1"/>
  <c r="AK570" i="12"/>
  <c r="AI570" i="12"/>
  <c r="AF570" i="12" s="1"/>
  <c r="AJ570" i="12"/>
  <c r="AJ460" i="12"/>
  <c r="AK460" i="12"/>
  <c r="AI460" i="12"/>
  <c r="AF460" i="12" s="1"/>
  <c r="O62" i="10"/>
  <c r="L246" i="10"/>
  <c r="J246" i="10" s="1"/>
  <c r="I246" i="10" s="1"/>
  <c r="F246" i="10"/>
  <c r="D246" i="10" s="1"/>
  <c r="C246" i="10" s="1"/>
  <c r="T422" i="12"/>
  <c r="V422" i="12"/>
  <c r="X422" i="12"/>
  <c r="AD422" i="12"/>
  <c r="AB422" i="12"/>
  <c r="Z422" i="12"/>
  <c r="E7" i="8"/>
  <c r="F6" i="8"/>
  <c r="C6" i="8"/>
  <c r="AK300" i="12"/>
  <c r="AJ300" i="12"/>
  <c r="AI300" i="12"/>
  <c r="AI187" i="12"/>
  <c r="AJ187" i="12"/>
  <c r="AK187" i="12"/>
  <c r="E130" i="8"/>
  <c r="F129" i="8"/>
  <c r="C129" i="8" s="1"/>
  <c r="C89" i="8"/>
  <c r="AI387" i="12"/>
  <c r="AF387" i="12" s="1"/>
  <c r="AJ387" i="12"/>
  <c r="AK387" i="12"/>
  <c r="AF300" i="12" l="1"/>
  <c r="AD301" i="12"/>
  <c r="K62" i="10"/>
  <c r="D62" i="10" s="1"/>
  <c r="C62" i="10" s="1"/>
  <c r="N63" i="10"/>
  <c r="M62" i="10"/>
  <c r="M247" i="10"/>
  <c r="F5" i="8"/>
  <c r="E6" i="8"/>
  <c r="C5" i="8"/>
  <c r="O63" i="10"/>
  <c r="F247" i="10"/>
  <c r="D247" i="10" s="1"/>
  <c r="C247" i="10" s="1"/>
  <c r="L247" i="10"/>
  <c r="J247" i="10" s="1"/>
  <c r="I247" i="10" s="1"/>
  <c r="E129" i="8"/>
  <c r="F128" i="8"/>
  <c r="C128" i="8"/>
  <c r="T460" i="12"/>
  <c r="V460" i="12"/>
  <c r="AD460" i="12"/>
  <c r="AB460" i="12"/>
  <c r="Z460" i="12"/>
  <c r="X460" i="12"/>
  <c r="F87" i="8"/>
  <c r="E88" i="8"/>
  <c r="C87" i="8"/>
  <c r="AK423" i="12"/>
  <c r="AI423" i="12"/>
  <c r="AF423" i="12" s="1"/>
  <c r="AJ423" i="12"/>
  <c r="T387" i="12"/>
  <c r="V387" i="12"/>
  <c r="X387" i="12"/>
  <c r="AD387" i="12"/>
  <c r="AB387" i="12"/>
  <c r="Z387" i="12"/>
  <c r="AF187" i="12"/>
  <c r="Z186" i="12"/>
  <c r="V186" i="12"/>
  <c r="X186" i="12"/>
  <c r="AD186" i="12"/>
  <c r="AB186" i="12"/>
  <c r="X570" i="12"/>
  <c r="Z570" i="12"/>
  <c r="AD570" i="12"/>
  <c r="T570" i="12"/>
  <c r="V570" i="12"/>
  <c r="AB570" i="12"/>
  <c r="F64" i="10"/>
  <c r="E63" i="10"/>
  <c r="O64" i="10" l="1"/>
  <c r="L248" i="10"/>
  <c r="J248" i="10" s="1"/>
  <c r="I248" i="10" s="1"/>
  <c r="F248" i="10"/>
  <c r="D248" i="10" s="1"/>
  <c r="C248" i="10" s="1"/>
  <c r="AJ388" i="12"/>
  <c r="AK388" i="12"/>
  <c r="AI388" i="12"/>
  <c r="AF388" i="12" s="1"/>
  <c r="F4" i="8"/>
  <c r="E4" i="8" s="1"/>
  <c r="E5" i="8"/>
  <c r="F65" i="10"/>
  <c r="E64" i="10"/>
  <c r="T423" i="12"/>
  <c r="AB423" i="12"/>
  <c r="AD423" i="12"/>
  <c r="X423" i="12"/>
  <c r="V423" i="12"/>
  <c r="Z423" i="12"/>
  <c r="AJ461" i="12"/>
  <c r="AK461" i="12"/>
  <c r="AI461" i="12"/>
  <c r="AF461" i="12" s="1"/>
  <c r="AJ188" i="12"/>
  <c r="AK188" i="12"/>
  <c r="AI188" i="12"/>
  <c r="E128" i="8"/>
  <c r="F127" i="8"/>
  <c r="C127" i="8"/>
  <c r="K63" i="10"/>
  <c r="D63" i="10" s="1"/>
  <c r="C63" i="10" s="1"/>
  <c r="M63" i="10"/>
  <c r="N64" i="10"/>
  <c r="M248" i="10"/>
  <c r="AK571" i="12"/>
  <c r="AI571" i="12"/>
  <c r="AF571" i="12" s="1"/>
  <c r="AJ571" i="12"/>
  <c r="E87" i="8"/>
  <c r="F86" i="8"/>
  <c r="C86" i="8"/>
  <c r="T300" i="12"/>
  <c r="V300" i="12"/>
  <c r="AB300" i="12"/>
  <c r="X300" i="12"/>
  <c r="Z300" i="12"/>
  <c r="F66" i="10" l="1"/>
  <c r="E65" i="10"/>
  <c r="V461" i="12"/>
  <c r="T461" i="12"/>
  <c r="AB461" i="12"/>
  <c r="Z461" i="12"/>
  <c r="AD461" i="12"/>
  <c r="X461" i="12"/>
  <c r="M64" i="10"/>
  <c r="K64" i="10"/>
  <c r="D64" i="10" s="1"/>
  <c r="C64" i="10" s="1"/>
  <c r="N65" i="10"/>
  <c r="M249" i="10"/>
  <c r="AI301" i="12"/>
  <c r="AF301" i="12" s="1"/>
  <c r="AJ301" i="12"/>
  <c r="AK301" i="12"/>
  <c r="AD388" i="12"/>
  <c r="T388" i="12"/>
  <c r="AB388" i="12"/>
  <c r="Z388" i="12"/>
  <c r="X388" i="12"/>
  <c r="V388" i="12"/>
  <c r="F85" i="8"/>
  <c r="E85" i="8" s="1"/>
  <c r="E86" i="8"/>
  <c r="C85" i="8"/>
  <c r="F126" i="8"/>
  <c r="E126" i="8" s="1"/>
  <c r="E127" i="8"/>
  <c r="C126" i="8"/>
  <c r="AF188" i="12"/>
  <c r="T188" i="12" s="1"/>
  <c r="T189" i="12"/>
  <c r="V187" i="12"/>
  <c r="AD187" i="12"/>
  <c r="AB187" i="12"/>
  <c r="Z187" i="12"/>
  <c r="X187" i="12"/>
  <c r="AD571" i="12"/>
  <c r="T571" i="12"/>
  <c r="V571" i="12"/>
  <c r="X571" i="12"/>
  <c r="Z571" i="12"/>
  <c r="AB571" i="12"/>
  <c r="AK424" i="12"/>
  <c r="AJ424" i="12"/>
  <c r="AI424" i="12"/>
  <c r="AF424" i="12" s="1"/>
  <c r="L249" i="10"/>
  <c r="J249" i="10" s="1"/>
  <c r="I249" i="10" s="1"/>
  <c r="O65" i="10"/>
  <c r="F249" i="10"/>
  <c r="D249" i="10" s="1"/>
  <c r="C249" i="10" s="1"/>
  <c r="AK572" i="12" l="1"/>
  <c r="AI572" i="12"/>
  <c r="AF572" i="12" s="1"/>
  <c r="AJ572" i="12"/>
  <c r="AK389" i="12"/>
  <c r="AI389" i="12"/>
  <c r="AF389" i="12" s="1"/>
  <c r="AJ389" i="12"/>
  <c r="AI462" i="12"/>
  <c r="AF462" i="12" s="1"/>
  <c r="AK462" i="12"/>
  <c r="AJ462" i="12"/>
  <c r="L250" i="10"/>
  <c r="J250" i="10" s="1"/>
  <c r="I250" i="10" s="1"/>
  <c r="O66" i="10"/>
  <c r="F250" i="10"/>
  <c r="D250" i="10" s="1"/>
  <c r="C250" i="10" s="1"/>
  <c r="T301" i="12"/>
  <c r="V301" i="12"/>
  <c r="AB301" i="12"/>
  <c r="X301" i="12"/>
  <c r="Z301" i="12"/>
  <c r="AI189" i="12"/>
  <c r="AK189" i="12"/>
  <c r="AJ189" i="12"/>
  <c r="T424" i="12"/>
  <c r="AD424" i="12"/>
  <c r="AB424" i="12"/>
  <c r="Z424" i="12"/>
  <c r="X424" i="12"/>
  <c r="V424" i="12"/>
  <c r="N66" i="10"/>
  <c r="K65" i="10"/>
  <c r="D65" i="10" s="1"/>
  <c r="C65" i="10" s="1"/>
  <c r="M65" i="10"/>
  <c r="M250" i="10"/>
  <c r="F67" i="10"/>
  <c r="E66" i="10"/>
  <c r="T462" i="12" l="1"/>
  <c r="AD462" i="12"/>
  <c r="V462" i="12"/>
  <c r="AB462" i="12"/>
  <c r="Z462" i="12"/>
  <c r="X462" i="12"/>
  <c r="N67" i="10"/>
  <c r="K66" i="10"/>
  <c r="D66" i="10" s="1"/>
  <c r="C66" i="10" s="1"/>
  <c r="M66" i="10"/>
  <c r="M251" i="10"/>
  <c r="AK302" i="12"/>
  <c r="AI302" i="12"/>
  <c r="AJ302" i="12"/>
  <c r="T389" i="12"/>
  <c r="V389" i="12"/>
  <c r="AD389" i="12"/>
  <c r="AB389" i="12"/>
  <c r="Z389" i="12"/>
  <c r="X389" i="12"/>
  <c r="F68" i="10"/>
  <c r="E67" i="10"/>
  <c r="AK425" i="12"/>
  <c r="AJ425" i="12"/>
  <c r="AI425" i="12"/>
  <c r="AF425" i="12" s="1"/>
  <c r="O67" i="10"/>
  <c r="F251" i="10"/>
  <c r="D251" i="10" s="1"/>
  <c r="C251" i="10" s="1"/>
  <c r="L251" i="10"/>
  <c r="J251" i="10" s="1"/>
  <c r="I251" i="10" s="1"/>
  <c r="AD572" i="12"/>
  <c r="X572" i="12"/>
  <c r="Z572" i="12"/>
  <c r="T572" i="12"/>
  <c r="V572" i="12"/>
  <c r="AB572" i="12"/>
  <c r="AF189" i="12"/>
  <c r="V188" i="12"/>
  <c r="Z188" i="12"/>
  <c r="X188" i="12"/>
  <c r="AD188" i="12"/>
  <c r="AB188" i="12"/>
  <c r="AI390" i="12" l="1"/>
  <c r="AF390" i="12" s="1"/>
  <c r="AJ390" i="12"/>
  <c r="AK390" i="12"/>
  <c r="T425" i="12"/>
  <c r="V425" i="12"/>
  <c r="AB425" i="12"/>
  <c r="Z425" i="12"/>
  <c r="X425" i="12"/>
  <c r="AD425" i="12"/>
  <c r="AJ190" i="12"/>
  <c r="AI190" i="12"/>
  <c r="AK190" i="12"/>
  <c r="AF302" i="12"/>
  <c r="AD303" i="12"/>
  <c r="AJ573" i="12"/>
  <c r="AK573" i="12"/>
  <c r="AI573" i="12"/>
  <c r="AF573" i="12" s="1"/>
  <c r="AI463" i="12"/>
  <c r="AF463" i="12" s="1"/>
  <c r="AJ463" i="12"/>
  <c r="AK463" i="12"/>
  <c r="F69" i="10"/>
  <c r="E68" i="10"/>
  <c r="K67" i="10"/>
  <c r="D67" i="10" s="1"/>
  <c r="N68" i="10"/>
  <c r="M67" i="10"/>
  <c r="M252" i="10"/>
  <c r="O68" i="10"/>
  <c r="F252" i="10"/>
  <c r="D252" i="10" s="1"/>
  <c r="C252" i="10" s="1"/>
  <c r="L252" i="10"/>
  <c r="J252" i="10" s="1"/>
  <c r="I252" i="10" s="1"/>
  <c r="Z390" i="12" l="1"/>
  <c r="AD390" i="12"/>
  <c r="AB390" i="12"/>
  <c r="X390" i="12"/>
  <c r="V390" i="12"/>
  <c r="T390" i="12"/>
  <c r="AB302" i="12"/>
  <c r="T302" i="12"/>
  <c r="V302" i="12"/>
  <c r="X302" i="12"/>
  <c r="Z302" i="12"/>
  <c r="AF190" i="12"/>
  <c r="T190" i="12" s="1"/>
  <c r="T191" i="12"/>
  <c r="V189" i="12"/>
  <c r="X189" i="12"/>
  <c r="AD189" i="12"/>
  <c r="AB189" i="12"/>
  <c r="Z189" i="12"/>
  <c r="AD573" i="12"/>
  <c r="T573" i="12"/>
  <c r="V573" i="12"/>
  <c r="X573" i="12"/>
  <c r="Z573" i="12"/>
  <c r="AB573" i="12"/>
  <c r="F70" i="10"/>
  <c r="E69" i="10"/>
  <c r="T463" i="12"/>
  <c r="AB463" i="12"/>
  <c r="Z463" i="12"/>
  <c r="AD463" i="12"/>
  <c r="V463" i="12"/>
  <c r="X463" i="12"/>
  <c r="L253" i="10"/>
  <c r="J253" i="10" s="1"/>
  <c r="I253" i="10" s="1"/>
  <c r="O69" i="10"/>
  <c r="F253" i="10"/>
  <c r="D253" i="10" s="1"/>
  <c r="C253" i="10" s="1"/>
  <c r="N69" i="10"/>
  <c r="M68" i="10"/>
  <c r="K68" i="10"/>
  <c r="D68" i="10" s="1"/>
  <c r="C68" i="10" s="1"/>
  <c r="M253" i="10"/>
  <c r="AI426" i="12"/>
  <c r="AF426" i="12" s="1"/>
  <c r="AJ426" i="12"/>
  <c r="AK426" i="12"/>
  <c r="N70" i="10" l="1"/>
  <c r="K69" i="10"/>
  <c r="D69" i="10" s="1"/>
  <c r="C69" i="10" s="1"/>
  <c r="M254" i="10"/>
  <c r="M69" i="10"/>
  <c r="F71" i="10"/>
  <c r="E70" i="10"/>
  <c r="AK303" i="12"/>
  <c r="AJ303" i="12"/>
  <c r="AI303" i="12"/>
  <c r="AF303" i="12" s="1"/>
  <c r="AJ464" i="12"/>
  <c r="AK464" i="12"/>
  <c r="AI464" i="12"/>
  <c r="AF464" i="12" s="1"/>
  <c r="AJ391" i="12"/>
  <c r="AK391" i="12"/>
  <c r="AI391" i="12"/>
  <c r="AF391" i="12" s="1"/>
  <c r="O70" i="10"/>
  <c r="L254" i="10"/>
  <c r="J254" i="10" s="1"/>
  <c r="I254" i="10" s="1"/>
  <c r="F254" i="10"/>
  <c r="D254" i="10" s="1"/>
  <c r="C254" i="10" s="1"/>
  <c r="AD426" i="12"/>
  <c r="T426" i="12"/>
  <c r="AB426" i="12"/>
  <c r="Z426" i="12"/>
  <c r="X426" i="12"/>
  <c r="V426" i="12"/>
  <c r="AI574" i="12"/>
  <c r="AF574" i="12" s="1"/>
  <c r="AJ574" i="12"/>
  <c r="AK574" i="12"/>
  <c r="AK191" i="12"/>
  <c r="AJ191" i="12"/>
  <c r="AI191" i="12"/>
  <c r="AK427" i="12" l="1"/>
  <c r="AI427" i="12"/>
  <c r="AF427" i="12" s="1"/>
  <c r="AJ427" i="12"/>
  <c r="X574" i="12"/>
  <c r="Z574" i="12"/>
  <c r="AD574" i="12"/>
  <c r="T574" i="12"/>
  <c r="V574" i="12"/>
  <c r="AB574" i="12"/>
  <c r="T391" i="12"/>
  <c r="AD391" i="12"/>
  <c r="AB391" i="12"/>
  <c r="Z391" i="12"/>
  <c r="X391" i="12"/>
  <c r="V391" i="12"/>
  <c r="F72" i="10"/>
  <c r="E71" i="10"/>
  <c r="T303" i="12"/>
  <c r="V303" i="12"/>
  <c r="X303" i="12"/>
  <c r="AB303" i="12"/>
  <c r="Z303" i="12"/>
  <c r="L255" i="10"/>
  <c r="J255" i="10" s="1"/>
  <c r="I255" i="10" s="1"/>
  <c r="O71" i="10"/>
  <c r="F255" i="10"/>
  <c r="D255" i="10" s="1"/>
  <c r="C255" i="10" s="1"/>
  <c r="AF191" i="12"/>
  <c r="V190" i="12"/>
  <c r="X190" i="12"/>
  <c r="AD190" i="12"/>
  <c r="AB190" i="12"/>
  <c r="Z190" i="12"/>
  <c r="T464" i="12"/>
  <c r="AD464" i="12"/>
  <c r="AB464" i="12"/>
  <c r="V464" i="12"/>
  <c r="Z464" i="12"/>
  <c r="X464" i="12"/>
  <c r="N71" i="10"/>
  <c r="M70" i="10"/>
  <c r="K70" i="10"/>
  <c r="D70" i="10" s="1"/>
  <c r="C70" i="10" s="1"/>
  <c r="M255" i="10"/>
  <c r="AI392" i="12" l="1"/>
  <c r="AF392" i="12" s="1"/>
  <c r="AK392" i="12"/>
  <c r="AJ392" i="12"/>
  <c r="N72" i="10"/>
  <c r="K71" i="10"/>
  <c r="D71" i="10" s="1"/>
  <c r="C71" i="10" s="1"/>
  <c r="M71" i="10"/>
  <c r="M256" i="10"/>
  <c r="AK304" i="12"/>
  <c r="AJ304" i="12"/>
  <c r="AI304" i="12"/>
  <c r="AJ192" i="12"/>
  <c r="AI192" i="12"/>
  <c r="AK192" i="12"/>
  <c r="O72" i="10"/>
  <c r="L256" i="10"/>
  <c r="J256" i="10" s="1"/>
  <c r="I256" i="10" s="1"/>
  <c r="F256" i="10"/>
  <c r="D256" i="10" s="1"/>
  <c r="C256" i="10" s="1"/>
  <c r="AJ465" i="12"/>
  <c r="AI465" i="12"/>
  <c r="AK465" i="12"/>
  <c r="T427" i="12"/>
  <c r="X427" i="12"/>
  <c r="V427" i="12"/>
  <c r="AB427" i="12"/>
  <c r="Z427" i="12"/>
  <c r="AD427" i="12"/>
  <c r="AI575" i="12"/>
  <c r="AF575" i="12" s="1"/>
  <c r="AK575" i="12"/>
  <c r="AJ575" i="12"/>
  <c r="F73" i="10"/>
  <c r="E72" i="10"/>
  <c r="AK428" i="12" l="1"/>
  <c r="AI428" i="12"/>
  <c r="AF428" i="12" s="1"/>
  <c r="AJ428" i="12"/>
  <c r="F74" i="10"/>
  <c r="E73" i="10"/>
  <c r="F257" i="10"/>
  <c r="D257" i="10" s="1"/>
  <c r="C257" i="10" s="1"/>
  <c r="L257" i="10"/>
  <c r="J257" i="10" s="1"/>
  <c r="I257" i="10" s="1"/>
  <c r="O73" i="10"/>
  <c r="N73" i="10"/>
  <c r="K72" i="10"/>
  <c r="D72" i="10" s="1"/>
  <c r="C72" i="10" s="1"/>
  <c r="M72" i="10"/>
  <c r="M257" i="10"/>
  <c r="AF304" i="12"/>
  <c r="AD305" i="12"/>
  <c r="AD575" i="12"/>
  <c r="T575" i="12"/>
  <c r="V575" i="12"/>
  <c r="X575" i="12"/>
  <c r="Z575" i="12"/>
  <c r="AB575" i="12"/>
  <c r="AF192" i="12"/>
  <c r="T192" i="12" s="1"/>
  <c r="X191" i="12"/>
  <c r="AD191" i="12"/>
  <c r="AB191" i="12"/>
  <c r="Z191" i="12"/>
  <c r="V191" i="12"/>
  <c r="V392" i="12"/>
  <c r="T392" i="12"/>
  <c r="AD392" i="12"/>
  <c r="AB392" i="12"/>
  <c r="Z392" i="12"/>
  <c r="X392" i="12"/>
  <c r="AI393" i="12" l="1"/>
  <c r="AK393" i="12"/>
  <c r="AJ393" i="12"/>
  <c r="AJ576" i="12"/>
  <c r="AI576" i="12"/>
  <c r="AK576" i="12"/>
  <c r="L258" i="10"/>
  <c r="J258" i="10" s="1"/>
  <c r="I258" i="10" s="1"/>
  <c r="O74" i="10"/>
  <c r="F258" i="10"/>
  <c r="D258" i="10" s="1"/>
  <c r="C258" i="10" s="1"/>
  <c r="M73" i="10"/>
  <c r="K73" i="10"/>
  <c r="D73" i="10" s="1"/>
  <c r="C73" i="10" s="1"/>
  <c r="N74" i="10"/>
  <c r="M258" i="10"/>
  <c r="F75" i="10"/>
  <c r="E74" i="10"/>
  <c r="T304" i="12"/>
  <c r="X304" i="12"/>
  <c r="AB304" i="12"/>
  <c r="Z304" i="12"/>
  <c r="V304" i="12"/>
  <c r="T428" i="12"/>
  <c r="X428" i="12"/>
  <c r="AD428" i="12"/>
  <c r="AB428" i="12"/>
  <c r="Z428" i="12"/>
  <c r="V428" i="12"/>
  <c r="AJ193" i="12"/>
  <c r="AK193" i="12"/>
  <c r="AI193" i="12"/>
  <c r="AJ305" i="12" l="1"/>
  <c r="AK305" i="12"/>
  <c r="AI305" i="12"/>
  <c r="AF305" i="12" s="1"/>
  <c r="F76" i="10"/>
  <c r="E75" i="10"/>
  <c r="AD192" i="12"/>
  <c r="X192" i="12"/>
  <c r="AB192" i="12"/>
  <c r="Z192" i="12"/>
  <c r="V192" i="12"/>
  <c r="L259" i="10"/>
  <c r="J259" i="10" s="1"/>
  <c r="I259" i="10" s="1"/>
  <c r="O75" i="10"/>
  <c r="F259" i="10"/>
  <c r="D259" i="10" s="1"/>
  <c r="C259" i="10" s="1"/>
  <c r="N75" i="10"/>
  <c r="M74" i="10"/>
  <c r="K74" i="10"/>
  <c r="D74" i="10" s="1"/>
  <c r="C74" i="10" s="1"/>
  <c r="M259" i="10"/>
  <c r="AI429" i="12"/>
  <c r="AK429" i="12"/>
  <c r="AJ429" i="12"/>
  <c r="T305" i="12" l="1"/>
  <c r="X305" i="12"/>
  <c r="AB305" i="12"/>
  <c r="Z305" i="12"/>
  <c r="V305" i="12"/>
  <c r="K75" i="10"/>
  <c r="D75" i="10" s="1"/>
  <c r="C75" i="10" s="1"/>
  <c r="M75" i="10"/>
  <c r="N76" i="10"/>
  <c r="M260" i="10"/>
  <c r="L260" i="10"/>
  <c r="J260" i="10" s="1"/>
  <c r="I260" i="10" s="1"/>
  <c r="O76" i="10"/>
  <c r="F260" i="10"/>
  <c r="D260" i="10" s="1"/>
  <c r="C260" i="10" s="1"/>
  <c r="F77" i="10"/>
  <c r="E76" i="10"/>
  <c r="N77" i="10" l="1"/>
  <c r="K76" i="10"/>
  <c r="D76" i="10" s="1"/>
  <c r="C76" i="10" s="1"/>
  <c r="M76" i="10"/>
  <c r="M261" i="10"/>
  <c r="F78" i="10"/>
  <c r="E77" i="10"/>
  <c r="L261" i="10"/>
  <c r="J261" i="10" s="1"/>
  <c r="I261" i="10" s="1"/>
  <c r="O77" i="10"/>
  <c r="F261" i="10"/>
  <c r="D261" i="10" s="1"/>
  <c r="C261" i="10" s="1"/>
  <c r="AK306" i="12"/>
  <c r="AJ306" i="12"/>
  <c r="AI306" i="12"/>
  <c r="AF306" i="12" l="1"/>
  <c r="AD307" i="12"/>
  <c r="K77" i="10"/>
  <c r="D77" i="10" s="1"/>
  <c r="C77" i="10" s="1"/>
  <c r="N78" i="10"/>
  <c r="M77" i="10"/>
  <c r="M262" i="10"/>
  <c r="O78" i="10"/>
  <c r="L262" i="10"/>
  <c r="J262" i="10" s="1"/>
  <c r="I262" i="10" s="1"/>
  <c r="F262" i="10"/>
  <c r="D262" i="10" s="1"/>
  <c r="C262" i="10" s="1"/>
  <c r="F79" i="10"/>
  <c r="E78" i="10"/>
  <c r="F80" i="10" l="1"/>
  <c r="E79" i="10"/>
  <c r="O79" i="10"/>
  <c r="F263" i="10"/>
  <c r="D263" i="10" s="1"/>
  <c r="C263" i="10" s="1"/>
  <c r="L263" i="10"/>
  <c r="J263" i="10" s="1"/>
  <c r="I263" i="10" s="1"/>
  <c r="N79" i="10"/>
  <c r="M78" i="10"/>
  <c r="K78" i="10"/>
  <c r="D78" i="10" s="1"/>
  <c r="C78" i="10" s="1"/>
  <c r="M263" i="10"/>
  <c r="T306" i="12"/>
  <c r="AB306" i="12"/>
  <c r="Z306" i="12"/>
  <c r="V306" i="12"/>
  <c r="X306" i="12"/>
  <c r="AI307" i="12" l="1"/>
  <c r="AF307" i="12" s="1"/>
  <c r="AK307" i="12"/>
  <c r="AJ307" i="12"/>
  <c r="N80" i="10"/>
  <c r="K79" i="10"/>
  <c r="D79" i="10" s="1"/>
  <c r="C79" i="10" s="1"/>
  <c r="M79" i="10"/>
  <c r="M264" i="10"/>
  <c r="O80" i="10"/>
  <c r="L264" i="10"/>
  <c r="J264" i="10" s="1"/>
  <c r="I264" i="10" s="1"/>
  <c r="F264" i="10"/>
  <c r="D264" i="10" s="1"/>
  <c r="C264" i="10" s="1"/>
  <c r="F81" i="10"/>
  <c r="E80" i="10"/>
  <c r="L265" i="10" l="1"/>
  <c r="J265" i="10" s="1"/>
  <c r="I265" i="10" s="1"/>
  <c r="O81" i="10"/>
  <c r="F265" i="10"/>
  <c r="D265" i="10" s="1"/>
  <c r="C265" i="10" s="1"/>
  <c r="N81" i="10"/>
  <c r="K80" i="10"/>
  <c r="D80" i="10" s="1"/>
  <c r="C80" i="10" s="1"/>
  <c r="M265" i="10"/>
  <c r="M80" i="10"/>
  <c r="F82" i="10"/>
  <c r="E81" i="10"/>
  <c r="Z307" i="12"/>
  <c r="T307" i="12"/>
  <c r="V307" i="12"/>
  <c r="AB307" i="12"/>
  <c r="X307" i="12"/>
  <c r="F83" i="10" l="1"/>
  <c r="E82" i="10"/>
  <c r="N82" i="10"/>
  <c r="M81" i="10"/>
  <c r="M266" i="10"/>
  <c r="K81" i="10"/>
  <c r="D81" i="10" s="1"/>
  <c r="C81" i="10" s="1"/>
  <c r="O82" i="10"/>
  <c r="L266" i="10"/>
  <c r="J266" i="10" s="1"/>
  <c r="I266" i="10" s="1"/>
  <c r="F266" i="10"/>
  <c r="D266" i="10" s="1"/>
  <c r="C266" i="10" s="1"/>
  <c r="AJ308" i="12"/>
  <c r="AI308" i="12"/>
  <c r="AK308" i="12"/>
  <c r="F267" i="10" l="1"/>
  <c r="D267" i="10" s="1"/>
  <c r="C267" i="10" s="1"/>
  <c r="O83" i="10"/>
  <c r="L267" i="10"/>
  <c r="J267" i="10" s="1"/>
  <c r="I267" i="10" s="1"/>
  <c r="N83" i="10"/>
  <c r="K82" i="10"/>
  <c r="D82" i="10" s="1"/>
  <c r="C82" i="10" s="1"/>
  <c r="M82" i="10"/>
  <c r="M267" i="10"/>
  <c r="AF308" i="12"/>
  <c r="AD309" i="12"/>
  <c r="F84" i="10"/>
  <c r="E83" i="10"/>
  <c r="M83" i="10" l="1"/>
  <c r="N84" i="10"/>
  <c r="K83" i="10"/>
  <c r="D83" i="10" s="1"/>
  <c r="C83" i="10" s="1"/>
  <c r="M268" i="10"/>
  <c r="L268" i="10"/>
  <c r="J268" i="10" s="1"/>
  <c r="I268" i="10" s="1"/>
  <c r="O84" i="10"/>
  <c r="F268" i="10"/>
  <c r="D268" i="10" s="1"/>
  <c r="C268" i="10" s="1"/>
  <c r="F85" i="10"/>
  <c r="E84" i="10"/>
  <c r="T308" i="12"/>
  <c r="X308" i="12"/>
  <c r="Z308" i="12"/>
  <c r="V308" i="12"/>
  <c r="AB308" i="12"/>
  <c r="AJ309" i="12" l="1"/>
  <c r="AI309" i="12"/>
  <c r="AF309" i="12" s="1"/>
  <c r="AK309" i="12"/>
  <c r="F86" i="10"/>
  <c r="E85" i="10"/>
  <c r="L269" i="10"/>
  <c r="J269" i="10" s="1"/>
  <c r="I269" i="10" s="1"/>
  <c r="O85" i="10"/>
  <c r="F269" i="10"/>
  <c r="D269" i="10" s="1"/>
  <c r="C269" i="10" s="1"/>
  <c r="N85" i="10"/>
  <c r="M84" i="10"/>
  <c r="K84" i="10"/>
  <c r="D84" i="10" s="1"/>
  <c r="C84" i="10" s="1"/>
  <c r="M269" i="10"/>
  <c r="K85" i="10" l="1"/>
  <c r="D85" i="10" s="1"/>
  <c r="C85" i="10" s="1"/>
  <c r="N86" i="10"/>
  <c r="M85" i="10"/>
  <c r="M270" i="10"/>
  <c r="L270" i="10"/>
  <c r="J270" i="10" s="1"/>
  <c r="I270" i="10" s="1"/>
  <c r="F270" i="10"/>
  <c r="D270" i="10" s="1"/>
  <c r="C270" i="10" s="1"/>
  <c r="O86" i="10"/>
  <c r="F87" i="10"/>
  <c r="E86" i="10"/>
  <c r="V309" i="12"/>
  <c r="T309" i="12"/>
  <c r="AB309" i="12"/>
  <c r="X309" i="12"/>
  <c r="Z309" i="12"/>
  <c r="L271" i="10" l="1"/>
  <c r="J271" i="10" s="1"/>
  <c r="I271" i="10" s="1"/>
  <c r="O87" i="10"/>
  <c r="F271" i="10"/>
  <c r="D271" i="10" s="1"/>
  <c r="C271" i="10" s="1"/>
  <c r="K86" i="10"/>
  <c r="D86" i="10" s="1"/>
  <c r="C86" i="10" s="1"/>
  <c r="N87" i="10"/>
  <c r="M86" i="10"/>
  <c r="M271" i="10"/>
  <c r="F88" i="10"/>
  <c r="E87" i="10"/>
  <c r="AI310" i="12"/>
  <c r="AF310" i="12" s="1"/>
  <c r="AJ310" i="12"/>
  <c r="AK310" i="12"/>
  <c r="T310" i="12" l="1"/>
  <c r="V310" i="12"/>
  <c r="AB310" i="12"/>
  <c r="X310" i="12"/>
  <c r="Z310" i="12"/>
  <c r="F89" i="10"/>
  <c r="E88" i="10"/>
  <c r="N88" i="10"/>
  <c r="K87" i="10"/>
  <c r="D87" i="10" s="1"/>
  <c r="C87" i="10" s="1"/>
  <c r="M87" i="10"/>
  <c r="M272" i="10"/>
  <c r="O88" i="10"/>
  <c r="F272" i="10"/>
  <c r="D272" i="10" s="1"/>
  <c r="C272" i="10" s="1"/>
  <c r="L272" i="10"/>
  <c r="J272" i="10" s="1"/>
  <c r="I272" i="10" s="1"/>
  <c r="L273" i="10" l="1"/>
  <c r="J273" i="10" s="1"/>
  <c r="I273" i="10" s="1"/>
  <c r="O89" i="10"/>
  <c r="F273" i="10"/>
  <c r="D273" i="10" s="1"/>
  <c r="C273" i="10" s="1"/>
  <c r="AK311" i="12"/>
  <c r="AJ311" i="12"/>
  <c r="AI311" i="12"/>
  <c r="N89" i="10"/>
  <c r="M88" i="10"/>
  <c r="K88" i="10"/>
  <c r="D88" i="10" s="1"/>
  <c r="C88" i="10" s="1"/>
  <c r="M273" i="10"/>
  <c r="F90" i="10"/>
  <c r="E89" i="10"/>
  <c r="O90" i="10" l="1"/>
  <c r="L274" i="10"/>
  <c r="J274" i="10" s="1"/>
  <c r="I274" i="10" s="1"/>
  <c r="F274" i="10"/>
  <c r="D274" i="10" s="1"/>
  <c r="C274" i="10" s="1"/>
  <c r="F91" i="10"/>
  <c r="E90" i="10"/>
  <c r="N90" i="10"/>
  <c r="K89" i="10"/>
  <c r="D89" i="10" s="1"/>
  <c r="C89" i="10" s="1"/>
  <c r="M89" i="10"/>
  <c r="M274" i="10"/>
  <c r="N91" i="10" l="1"/>
  <c r="M90" i="10"/>
  <c r="M275" i="10"/>
  <c r="K90" i="10"/>
  <c r="D90" i="10" s="1"/>
  <c r="C90" i="10" s="1"/>
  <c r="F92" i="10"/>
  <c r="E91" i="10"/>
  <c r="L275" i="10"/>
  <c r="J275" i="10" s="1"/>
  <c r="I275" i="10" s="1"/>
  <c r="O91" i="10"/>
  <c r="F275" i="10"/>
  <c r="D275" i="10" s="1"/>
  <c r="C275" i="10" s="1"/>
  <c r="O92" i="10" l="1"/>
  <c r="L276" i="10"/>
  <c r="J276" i="10" s="1"/>
  <c r="I276" i="10" s="1"/>
  <c r="F276" i="10"/>
  <c r="D276" i="10" s="1"/>
  <c r="C276" i="10" s="1"/>
  <c r="F93" i="10"/>
  <c r="E92" i="10"/>
  <c r="N92" i="10"/>
  <c r="K91" i="10"/>
  <c r="D91" i="10" s="1"/>
  <c r="C91" i="10" s="1"/>
  <c r="M276" i="10"/>
  <c r="M91" i="10"/>
  <c r="N93" i="10" l="1"/>
  <c r="K92" i="10"/>
  <c r="D92" i="10" s="1"/>
  <c r="C92" i="10" s="1"/>
  <c r="M92" i="10"/>
  <c r="M277" i="10"/>
  <c r="F94" i="10"/>
  <c r="E93" i="10"/>
  <c r="L277" i="10"/>
  <c r="J277" i="10" s="1"/>
  <c r="I277" i="10" s="1"/>
  <c r="O93" i="10"/>
  <c r="F277" i="10"/>
  <c r="D277" i="10" s="1"/>
  <c r="C277" i="10" s="1"/>
  <c r="M93" i="10" l="1"/>
  <c r="N94" i="10"/>
  <c r="K93" i="10"/>
  <c r="D93" i="10" s="1"/>
  <c r="C93" i="10" s="1"/>
  <c r="M278" i="10"/>
  <c r="F95" i="10"/>
  <c r="E94" i="10"/>
  <c r="O94" i="10"/>
  <c r="L278" i="10"/>
  <c r="J278" i="10" s="1"/>
  <c r="I278" i="10" s="1"/>
  <c r="F278" i="10"/>
  <c r="D278" i="10" s="1"/>
  <c r="C278" i="10" s="1"/>
  <c r="N95" i="10" l="1"/>
  <c r="M94" i="10"/>
  <c r="K94" i="10"/>
  <c r="D94" i="10" s="1"/>
  <c r="C94" i="10" s="1"/>
  <c r="M279" i="10"/>
  <c r="L279" i="10"/>
  <c r="J279" i="10" s="1"/>
  <c r="I279" i="10" s="1"/>
  <c r="O95" i="10"/>
  <c r="F279" i="10"/>
  <c r="D279" i="10" s="1"/>
  <c r="C279" i="10" s="1"/>
  <c r="F96" i="10"/>
  <c r="E95" i="10"/>
  <c r="K95" i="10" l="1"/>
  <c r="D95" i="10" s="1"/>
  <c r="C95" i="10" s="1"/>
  <c r="M95" i="10"/>
  <c r="M280" i="10"/>
  <c r="N96" i="10"/>
  <c r="L280" i="10"/>
  <c r="J280" i="10" s="1"/>
  <c r="I280" i="10" s="1"/>
  <c r="O96" i="10"/>
  <c r="F280" i="10"/>
  <c r="D280" i="10" s="1"/>
  <c r="C280" i="10" s="1"/>
  <c r="F97" i="10"/>
  <c r="E96" i="10"/>
  <c r="F98" i="10" l="1"/>
  <c r="E97" i="10"/>
  <c r="L281" i="10"/>
  <c r="J281" i="10" s="1"/>
  <c r="I281" i="10" s="1"/>
  <c r="O97" i="10"/>
  <c r="F281" i="10"/>
  <c r="D281" i="10" s="1"/>
  <c r="C281" i="10" s="1"/>
  <c r="K96" i="10"/>
  <c r="D96" i="10" s="1"/>
  <c r="C96" i="10" s="1"/>
  <c r="M96" i="10"/>
  <c r="N97" i="10"/>
  <c r="M281" i="10"/>
  <c r="K97" i="10" l="1"/>
  <c r="D97" i="10" s="1"/>
  <c r="C97" i="10" s="1"/>
  <c r="M97" i="10"/>
  <c r="N98" i="10"/>
  <c r="M282" i="10"/>
  <c r="O98" i="10"/>
  <c r="F282" i="10"/>
  <c r="D282" i="10" s="1"/>
  <c r="C282" i="10" s="1"/>
  <c r="L282" i="10"/>
  <c r="J282" i="10" s="1"/>
  <c r="I282" i="10" s="1"/>
  <c r="F99" i="10"/>
  <c r="E98" i="10"/>
  <c r="F100" i="10" l="1"/>
  <c r="E99" i="10"/>
  <c r="L283" i="10"/>
  <c r="J283" i="10" s="1"/>
  <c r="I283" i="10" s="1"/>
  <c r="O99" i="10"/>
  <c r="F283" i="10"/>
  <c r="D283" i="10" s="1"/>
  <c r="C283" i="10" s="1"/>
  <c r="N99" i="10"/>
  <c r="M98" i="10"/>
  <c r="K98" i="10"/>
  <c r="D98" i="10" s="1"/>
  <c r="C98" i="10" s="1"/>
  <c r="M283" i="10"/>
  <c r="N100" i="10" l="1"/>
  <c r="K99" i="10"/>
  <c r="D99" i="10" s="1"/>
  <c r="C99" i="10" s="1"/>
  <c r="M99" i="10"/>
  <c r="M284" i="10"/>
  <c r="O100" i="10"/>
  <c r="L284" i="10"/>
  <c r="J284" i="10" s="1"/>
  <c r="I284" i="10" s="1"/>
  <c r="F284" i="10"/>
  <c r="D284" i="10" s="1"/>
  <c r="C284" i="10" s="1"/>
  <c r="F101" i="10"/>
  <c r="E100" i="10"/>
  <c r="F102" i="10" l="1"/>
  <c r="E101" i="10"/>
  <c r="L285" i="10"/>
  <c r="J285" i="10" s="1"/>
  <c r="I285" i="10" s="1"/>
  <c r="F285" i="10"/>
  <c r="D285" i="10" s="1"/>
  <c r="C285" i="10" s="1"/>
  <c r="O101" i="10"/>
  <c r="N101" i="10"/>
  <c r="K100" i="10"/>
  <c r="D100" i="10" s="1"/>
  <c r="C100" i="10" s="1"/>
  <c r="M285" i="10"/>
  <c r="M100" i="10"/>
  <c r="O102" i="10" l="1"/>
  <c r="L286" i="10"/>
  <c r="J286" i="10" s="1"/>
  <c r="I286" i="10" s="1"/>
  <c r="F286" i="10"/>
  <c r="D286" i="10" s="1"/>
  <c r="C286" i="10" s="1"/>
  <c r="N102" i="10"/>
  <c r="M101" i="10"/>
  <c r="K101" i="10"/>
  <c r="D101" i="10" s="1"/>
  <c r="C101" i="10" s="1"/>
  <c r="M286" i="10"/>
  <c r="F103" i="10"/>
  <c r="E102" i="10"/>
  <c r="F104" i="10" l="1"/>
  <c r="E103" i="10"/>
  <c r="N103" i="10"/>
  <c r="K102" i="10"/>
  <c r="D102" i="10" s="1"/>
  <c r="C102" i="10" s="1"/>
  <c r="M102" i="10"/>
  <c r="M287" i="10"/>
  <c r="F287" i="10"/>
  <c r="D287" i="10" s="1"/>
  <c r="C287" i="10" s="1"/>
  <c r="L287" i="10"/>
  <c r="J287" i="10" s="1"/>
  <c r="I287" i="10" s="1"/>
  <c r="O103" i="10"/>
  <c r="L288" i="10" l="1"/>
  <c r="J288" i="10" s="1"/>
  <c r="I288" i="10" s="1"/>
  <c r="O104" i="10"/>
  <c r="F288" i="10"/>
  <c r="D288" i="10" s="1"/>
  <c r="C288" i="10" s="1"/>
  <c r="M103" i="10"/>
  <c r="N104" i="10"/>
  <c r="K103" i="10"/>
  <c r="D103" i="10" s="1"/>
  <c r="C103" i="10" s="1"/>
  <c r="M288" i="10"/>
  <c r="F105" i="10"/>
  <c r="E104" i="10"/>
  <c r="L289" i="10" l="1"/>
  <c r="J289" i="10" s="1"/>
  <c r="I289" i="10" s="1"/>
  <c r="O105" i="10"/>
  <c r="F289" i="10"/>
  <c r="D289" i="10" s="1"/>
  <c r="C289" i="10" s="1"/>
  <c r="F106" i="10"/>
  <c r="E105" i="10"/>
  <c r="N105" i="10"/>
  <c r="K104" i="10"/>
  <c r="D104" i="10" s="1"/>
  <c r="C104" i="10" s="1"/>
  <c r="M104" i="10"/>
  <c r="M289" i="10"/>
  <c r="F107" i="10" l="1"/>
  <c r="E106" i="10"/>
  <c r="K105" i="10"/>
  <c r="D105" i="10" s="1"/>
  <c r="C105" i="10" s="1"/>
  <c r="N106" i="10"/>
  <c r="M105" i="10"/>
  <c r="M290" i="10"/>
  <c r="L290" i="10"/>
  <c r="J290" i="10" s="1"/>
  <c r="I290" i="10" s="1"/>
  <c r="O106" i="10"/>
  <c r="F290" i="10"/>
  <c r="D290" i="10" s="1"/>
  <c r="C290" i="10" s="1"/>
  <c r="L291" i="10" l="1"/>
  <c r="J291" i="10" s="1"/>
  <c r="I291" i="10" s="1"/>
  <c r="O107" i="10"/>
  <c r="F291" i="10"/>
  <c r="D291" i="10" s="1"/>
  <c r="C291" i="10" s="1"/>
  <c r="K106" i="10"/>
  <c r="D106" i="10" s="1"/>
  <c r="C106" i="10" s="1"/>
  <c r="M106" i="10"/>
  <c r="N107" i="10"/>
  <c r="M291" i="10"/>
  <c r="F108" i="10"/>
  <c r="E107" i="10"/>
  <c r="K107" i="10" l="1"/>
  <c r="D107" i="10" s="1"/>
  <c r="C107" i="10" s="1"/>
  <c r="M107" i="10"/>
  <c r="N108" i="10"/>
  <c r="M292" i="10"/>
  <c r="O108" i="10"/>
  <c r="F292" i="10"/>
  <c r="D292" i="10" s="1"/>
  <c r="C292" i="10" s="1"/>
  <c r="L292" i="10"/>
  <c r="J292" i="10" s="1"/>
  <c r="I292" i="10" s="1"/>
  <c r="F109" i="10"/>
  <c r="E108" i="10"/>
  <c r="F110" i="10" l="1"/>
  <c r="E109" i="10"/>
  <c r="O109" i="10"/>
  <c r="F293" i="10"/>
  <c r="D293" i="10" s="1"/>
  <c r="C293" i="10" s="1"/>
  <c r="L293" i="10"/>
  <c r="J293" i="10" s="1"/>
  <c r="I293" i="10" s="1"/>
  <c r="M108" i="10"/>
  <c r="N109" i="10"/>
  <c r="K108" i="10"/>
  <c r="D108" i="10" s="1"/>
  <c r="C108" i="10" s="1"/>
  <c r="M293" i="10"/>
  <c r="N110" i="10" l="1"/>
  <c r="K109" i="10"/>
  <c r="D109" i="10" s="1"/>
  <c r="C109" i="10" s="1"/>
  <c r="M109" i="10"/>
  <c r="M294" i="10"/>
  <c r="O110" i="10"/>
  <c r="L294" i="10"/>
  <c r="J294" i="10" s="1"/>
  <c r="I294" i="10" s="1"/>
  <c r="F294" i="10"/>
  <c r="D294" i="10" s="1"/>
  <c r="C294" i="10" s="1"/>
  <c r="F111" i="10"/>
  <c r="E110" i="10"/>
  <c r="F112" i="10" l="1"/>
  <c r="E111" i="10"/>
  <c r="L295" i="10"/>
  <c r="J295" i="10" s="1"/>
  <c r="I295" i="10" s="1"/>
  <c r="O111" i="10"/>
  <c r="F295" i="10"/>
  <c r="D295" i="10" s="1"/>
  <c r="C295" i="10" s="1"/>
  <c r="N111" i="10"/>
  <c r="M110" i="10"/>
  <c r="M295" i="10"/>
  <c r="K110" i="10"/>
  <c r="D110" i="10" s="1"/>
  <c r="C110" i="10" s="1"/>
  <c r="N112" i="10" l="1"/>
  <c r="K111" i="10"/>
  <c r="D111" i="10" s="1"/>
  <c r="C111" i="10" s="1"/>
  <c r="M296" i="10"/>
  <c r="M111" i="10"/>
  <c r="O112" i="10"/>
  <c r="L296" i="10"/>
  <c r="J296" i="10" s="1"/>
  <c r="I296" i="10" s="1"/>
  <c r="F296" i="10"/>
  <c r="D296" i="10" s="1"/>
  <c r="C296" i="10" s="1"/>
  <c r="F113" i="10"/>
  <c r="E112" i="10"/>
  <c r="F114" i="10" l="1"/>
  <c r="E113" i="10"/>
  <c r="F297" i="10"/>
  <c r="D297" i="10" s="1"/>
  <c r="C297" i="10" s="1"/>
  <c r="L297" i="10"/>
  <c r="J297" i="10" s="1"/>
  <c r="I297" i="10" s="1"/>
  <c r="O113" i="10"/>
  <c r="M112" i="10"/>
  <c r="K112" i="10"/>
  <c r="D112" i="10" s="1"/>
  <c r="C112" i="10" s="1"/>
  <c r="N113" i="10"/>
  <c r="M297" i="10"/>
  <c r="M113" i="10" l="1"/>
  <c r="N114" i="10"/>
  <c r="K113" i="10"/>
  <c r="D113" i="10" s="1"/>
  <c r="C113" i="10" s="1"/>
  <c r="M298" i="10"/>
  <c r="L298" i="10"/>
  <c r="J298" i="10" s="1"/>
  <c r="I298" i="10" s="1"/>
  <c r="O114" i="10"/>
  <c r="F298" i="10"/>
  <c r="D298" i="10" s="1"/>
  <c r="C298" i="10" s="1"/>
  <c r="F115" i="10"/>
  <c r="E114" i="10"/>
  <c r="F116" i="10" l="1"/>
  <c r="E115" i="10"/>
  <c r="L299" i="10"/>
  <c r="J299" i="10" s="1"/>
  <c r="I299" i="10" s="1"/>
  <c r="F299" i="10"/>
  <c r="D299" i="10" s="1"/>
  <c r="C299" i="10" s="1"/>
  <c r="O115" i="10"/>
  <c r="N115" i="10"/>
  <c r="M114" i="10"/>
  <c r="K114" i="10"/>
  <c r="D114" i="10" s="1"/>
  <c r="C114" i="10" s="1"/>
  <c r="M299" i="10"/>
  <c r="K115" i="10" l="1"/>
  <c r="D115" i="10" s="1"/>
  <c r="C115" i="10" s="1"/>
  <c r="N116" i="10"/>
  <c r="M115" i="10"/>
  <c r="M300" i="10"/>
  <c r="L300" i="10"/>
  <c r="J300" i="10" s="1"/>
  <c r="I300" i="10" s="1"/>
  <c r="O116" i="10"/>
  <c r="F300" i="10"/>
  <c r="D300" i="10" s="1"/>
  <c r="C300" i="10" s="1"/>
  <c r="F117" i="10"/>
  <c r="E116" i="10"/>
  <c r="F118" i="10" l="1"/>
  <c r="E117" i="10"/>
  <c r="L301" i="10"/>
  <c r="J301" i="10" s="1"/>
  <c r="I301" i="10" s="1"/>
  <c r="O117" i="10"/>
  <c r="F301" i="10"/>
  <c r="D301" i="10" s="1"/>
  <c r="C301" i="10" s="1"/>
  <c r="K116" i="10"/>
  <c r="D116" i="10" s="1"/>
  <c r="C116" i="10" s="1"/>
  <c r="M116" i="10"/>
  <c r="N117" i="10"/>
  <c r="M301" i="10"/>
  <c r="K117" i="10" l="1"/>
  <c r="D117" i="10" s="1"/>
  <c r="C117" i="10" s="1"/>
  <c r="M117" i="10"/>
  <c r="N118" i="10"/>
  <c r="M302" i="10"/>
  <c r="O118" i="10"/>
  <c r="F302" i="10"/>
  <c r="D302" i="10" s="1"/>
  <c r="C302" i="10" s="1"/>
  <c r="L302" i="10"/>
  <c r="J302" i="10" s="1"/>
  <c r="I302" i="10" s="1"/>
  <c r="F119" i="10"/>
  <c r="E118" i="10"/>
  <c r="F120" i="10" l="1"/>
  <c r="E119" i="10"/>
  <c r="O119" i="10"/>
  <c r="L303" i="10"/>
  <c r="J303" i="10" s="1"/>
  <c r="I303" i="10" s="1"/>
  <c r="F303" i="10"/>
  <c r="D303" i="10" s="1"/>
  <c r="C303" i="10" s="1"/>
  <c r="M118" i="10"/>
  <c r="K118" i="10"/>
  <c r="D118" i="10" s="1"/>
  <c r="C118" i="10" s="1"/>
  <c r="N119" i="10"/>
  <c r="M303" i="10"/>
  <c r="N120" i="10" l="1"/>
  <c r="K119" i="10"/>
  <c r="D119" i="10" s="1"/>
  <c r="C119" i="10" s="1"/>
  <c r="M304" i="10"/>
  <c r="M119" i="10"/>
  <c r="O120" i="10"/>
  <c r="L304" i="10"/>
  <c r="J304" i="10" s="1"/>
  <c r="I304" i="10" s="1"/>
  <c r="F304" i="10"/>
  <c r="D304" i="10" s="1"/>
  <c r="C304" i="10" s="1"/>
  <c r="F121" i="10"/>
  <c r="E120" i="10"/>
  <c r="F122" i="10" l="1"/>
  <c r="E121" i="10"/>
  <c r="L305" i="10"/>
  <c r="J305" i="10" s="1"/>
  <c r="I305" i="10" s="1"/>
  <c r="O121" i="10"/>
  <c r="F305" i="10"/>
  <c r="D305" i="10" s="1"/>
  <c r="C305" i="10" s="1"/>
  <c r="N121" i="10"/>
  <c r="K120" i="10"/>
  <c r="D120" i="10" s="1"/>
  <c r="C120" i="10" s="1"/>
  <c r="M120" i="10"/>
  <c r="M305" i="10"/>
  <c r="N122" i="10" l="1"/>
  <c r="K121" i="10"/>
  <c r="D121" i="10" s="1"/>
  <c r="C121" i="10" s="1"/>
  <c r="M121" i="10"/>
  <c r="M306" i="10"/>
  <c r="O122" i="10"/>
  <c r="L306" i="10"/>
  <c r="J306" i="10" s="1"/>
  <c r="I306" i="10" s="1"/>
  <c r="F306" i="10"/>
  <c r="D306" i="10" s="1"/>
  <c r="C306" i="10" s="1"/>
  <c r="F123" i="10"/>
  <c r="E122" i="10"/>
  <c r="F124" i="10" l="1"/>
  <c r="E123" i="10"/>
  <c r="F307" i="10"/>
  <c r="D307" i="10" s="1"/>
  <c r="C307" i="10" s="1"/>
  <c r="O123" i="10"/>
  <c r="L307" i="10"/>
  <c r="J307" i="10" s="1"/>
  <c r="I307" i="10" s="1"/>
  <c r="K122" i="10"/>
  <c r="D122" i="10" s="1"/>
  <c r="C122" i="10" s="1"/>
  <c r="N123" i="10"/>
  <c r="M122" i="10"/>
  <c r="M307" i="10"/>
  <c r="M123" i="10" l="1"/>
  <c r="N124" i="10"/>
  <c r="K123" i="10"/>
  <c r="D123" i="10" s="1"/>
  <c r="C123" i="10" s="1"/>
  <c r="M308" i="10"/>
  <c r="O124" i="10"/>
  <c r="L308" i="10"/>
  <c r="J308" i="10" s="1"/>
  <c r="I308" i="10" s="1"/>
  <c r="F308" i="10"/>
  <c r="D308" i="10" s="1"/>
  <c r="C308" i="10" s="1"/>
  <c r="F125" i="10"/>
  <c r="E124" i="10"/>
  <c r="N125" i="10" l="1"/>
  <c r="K124" i="10"/>
  <c r="D124" i="10" s="1"/>
  <c r="C124" i="10" s="1"/>
  <c r="M124" i="10"/>
  <c r="M309" i="10"/>
  <c r="F126" i="10"/>
  <c r="E125" i="10"/>
  <c r="L309" i="10"/>
  <c r="J309" i="10" s="1"/>
  <c r="I309" i="10" s="1"/>
  <c r="O125" i="10"/>
  <c r="F309" i="10"/>
  <c r="D309" i="10" s="1"/>
  <c r="C309" i="10" s="1"/>
  <c r="L310" i="10" l="1"/>
  <c r="J310" i="10" s="1"/>
  <c r="I310" i="10" s="1"/>
  <c r="O126" i="10"/>
  <c r="F310" i="10"/>
  <c r="D310" i="10" s="1"/>
  <c r="C310" i="10" s="1"/>
  <c r="F127" i="10"/>
  <c r="E126" i="10"/>
  <c r="K125" i="10"/>
  <c r="D125" i="10" s="1"/>
  <c r="C125" i="10" s="1"/>
  <c r="M125" i="10"/>
  <c r="N126" i="10"/>
  <c r="M310" i="10"/>
  <c r="K126" i="10" l="1"/>
  <c r="D126" i="10" s="1"/>
  <c r="C126" i="10" s="1"/>
  <c r="N127" i="10"/>
  <c r="M126" i="10"/>
  <c r="M311" i="10"/>
  <c r="F128" i="10"/>
  <c r="E127" i="10"/>
  <c r="L311" i="10"/>
  <c r="J311" i="10" s="1"/>
  <c r="I311" i="10" s="1"/>
  <c r="O127" i="10"/>
  <c r="F311" i="10"/>
  <c r="D311" i="10" s="1"/>
  <c r="C311" i="10" s="1"/>
  <c r="F129" i="10" l="1"/>
  <c r="E128" i="10"/>
  <c r="K127" i="10"/>
  <c r="D127" i="10" s="1"/>
  <c r="C127" i="10" s="1"/>
  <c r="M127" i="10"/>
  <c r="N128" i="10"/>
  <c r="M312" i="10"/>
  <c r="O128" i="10"/>
  <c r="L312" i="10"/>
  <c r="J312" i="10" s="1"/>
  <c r="I312" i="10" s="1"/>
  <c r="F312" i="10"/>
  <c r="D312" i="10" s="1"/>
  <c r="C312" i="10" s="1"/>
  <c r="O129" i="10" l="1"/>
  <c r="L313" i="10"/>
  <c r="J313" i="10" s="1"/>
  <c r="I313" i="10" s="1"/>
  <c r="F313" i="10"/>
  <c r="D313" i="10" s="1"/>
  <c r="C313" i="10" s="1"/>
  <c r="M128" i="10"/>
  <c r="N129" i="10"/>
  <c r="K128" i="10"/>
  <c r="D128" i="10" s="1"/>
  <c r="C128" i="10" s="1"/>
  <c r="M313" i="10"/>
  <c r="F130" i="10"/>
  <c r="E129" i="10"/>
  <c r="F131" i="10" l="1"/>
  <c r="E130" i="10"/>
  <c r="N130" i="10"/>
  <c r="M129" i="10"/>
  <c r="K129" i="10"/>
  <c r="D129" i="10" s="1"/>
  <c r="C129" i="10" s="1"/>
  <c r="M314" i="10"/>
  <c r="O130" i="10"/>
  <c r="L314" i="10"/>
  <c r="J314" i="10" s="1"/>
  <c r="I314" i="10" s="1"/>
  <c r="F314" i="10"/>
  <c r="D314" i="10" s="1"/>
  <c r="C314" i="10" s="1"/>
  <c r="L315" i="10" l="1"/>
  <c r="J315" i="10" s="1"/>
  <c r="I315" i="10" s="1"/>
  <c r="O131" i="10"/>
  <c r="F315" i="10"/>
  <c r="D315" i="10" s="1"/>
  <c r="C315" i="10" s="1"/>
  <c r="N131" i="10"/>
  <c r="K130" i="10"/>
  <c r="D130" i="10" s="1"/>
  <c r="C130" i="10" s="1"/>
  <c r="M130" i="10"/>
  <c r="M315" i="10"/>
  <c r="F132" i="10"/>
  <c r="E131" i="10"/>
  <c r="N132" i="10" l="1"/>
  <c r="K131" i="10"/>
  <c r="D131" i="10" s="1"/>
  <c r="C131" i="10" s="1"/>
  <c r="M131" i="10"/>
  <c r="M316" i="10"/>
  <c r="O132" i="10"/>
  <c r="L316" i="10"/>
  <c r="J316" i="10" s="1"/>
  <c r="I316" i="10" s="1"/>
  <c r="F316" i="10"/>
  <c r="D316" i="10" s="1"/>
  <c r="C316" i="10" s="1"/>
  <c r="F133" i="10"/>
  <c r="E132" i="10"/>
  <c r="F134" i="10" l="1"/>
  <c r="E133" i="10"/>
  <c r="F317" i="10"/>
  <c r="D317" i="10" s="1"/>
  <c r="C317" i="10" s="1"/>
  <c r="L317" i="10"/>
  <c r="J317" i="10" s="1"/>
  <c r="I317" i="10" s="1"/>
  <c r="O133" i="10"/>
  <c r="M132" i="10"/>
  <c r="N133" i="10"/>
  <c r="K132" i="10"/>
  <c r="D132" i="10" s="1"/>
  <c r="C132" i="10" s="1"/>
  <c r="M317" i="10"/>
  <c r="M133" i="10" l="1"/>
  <c r="K133" i="10"/>
  <c r="D133" i="10" s="1"/>
  <c r="C133" i="10" s="1"/>
  <c r="N134" i="10"/>
  <c r="M318" i="10"/>
  <c r="O134" i="10"/>
  <c r="L318" i="10"/>
  <c r="J318" i="10" s="1"/>
  <c r="I318" i="10" s="1"/>
  <c r="F318" i="10"/>
  <c r="D318" i="10" s="1"/>
  <c r="C318" i="10" s="1"/>
  <c r="F135" i="10"/>
  <c r="E134" i="10"/>
  <c r="F136" i="10" l="1"/>
  <c r="E135" i="10"/>
  <c r="L319" i="10"/>
  <c r="J319" i="10" s="1"/>
  <c r="I319" i="10" s="1"/>
  <c r="O135" i="10"/>
  <c r="F319" i="10"/>
  <c r="D319" i="10" s="1"/>
  <c r="C319" i="10" s="1"/>
  <c r="M134" i="10"/>
  <c r="K134" i="10"/>
  <c r="D134" i="10" s="1"/>
  <c r="C134" i="10" s="1"/>
  <c r="N135" i="10"/>
  <c r="M319" i="10"/>
  <c r="L320" i="10" l="1"/>
  <c r="J320" i="10" s="1"/>
  <c r="I320" i="10" s="1"/>
  <c r="O136" i="10"/>
  <c r="F320" i="10"/>
  <c r="D320" i="10" s="1"/>
  <c r="C320" i="10" s="1"/>
  <c r="F137" i="10"/>
  <c r="E136" i="10"/>
  <c r="K135" i="10"/>
  <c r="D135" i="10" s="1"/>
  <c r="C135" i="10" s="1"/>
  <c r="M135" i="10"/>
  <c r="N136" i="10"/>
  <c r="M320" i="10"/>
  <c r="K136" i="10" l="1"/>
  <c r="D136" i="10" s="1"/>
  <c r="C136" i="10" s="1"/>
  <c r="M136" i="10"/>
  <c r="N137" i="10"/>
  <c r="M321" i="10"/>
  <c r="F138" i="10"/>
  <c r="E137" i="10"/>
  <c r="L321" i="10"/>
  <c r="J321" i="10" s="1"/>
  <c r="I321" i="10" s="1"/>
  <c r="O137" i="10"/>
  <c r="F321" i="10"/>
  <c r="D321" i="10" s="1"/>
  <c r="C321" i="10" s="1"/>
  <c r="O138" i="10" l="1"/>
  <c r="F322" i="10"/>
  <c r="D322" i="10" s="1"/>
  <c r="C322" i="10" s="1"/>
  <c r="L322" i="10"/>
  <c r="J322" i="10" s="1"/>
  <c r="I322" i="10" s="1"/>
  <c r="F139" i="10"/>
  <c r="E138" i="10"/>
  <c r="K137" i="10"/>
  <c r="D137" i="10" s="1"/>
  <c r="C137" i="10" s="1"/>
  <c r="N138" i="10"/>
  <c r="M137" i="10"/>
  <c r="M322" i="10"/>
  <c r="M138" i="10" l="1"/>
  <c r="K138" i="10"/>
  <c r="D138" i="10" s="1"/>
  <c r="C138" i="10" s="1"/>
  <c r="N139" i="10"/>
  <c r="M323" i="10"/>
  <c r="F140" i="10"/>
  <c r="E139" i="10"/>
  <c r="O139" i="10"/>
  <c r="L323" i="10"/>
  <c r="J323" i="10" s="1"/>
  <c r="I323" i="10" s="1"/>
  <c r="F323" i="10"/>
  <c r="D323" i="10" s="1"/>
  <c r="C323" i="10" s="1"/>
  <c r="F141" i="10" l="1"/>
  <c r="E140" i="10"/>
  <c r="O140" i="10"/>
  <c r="L324" i="10"/>
  <c r="J324" i="10" s="1"/>
  <c r="I324" i="10" s="1"/>
  <c r="F324" i="10"/>
  <c r="D324" i="10" s="1"/>
  <c r="C324" i="10" s="1"/>
  <c r="N140" i="10"/>
  <c r="M139" i="10"/>
  <c r="M324" i="10"/>
  <c r="K139" i="10"/>
  <c r="D139" i="10" s="1"/>
  <c r="C139" i="10" s="1"/>
  <c r="N141" i="10" l="1"/>
  <c r="K140" i="10"/>
  <c r="D140" i="10" s="1"/>
  <c r="C140" i="10" s="1"/>
  <c r="M140" i="10"/>
  <c r="M325" i="10"/>
  <c r="L325" i="10"/>
  <c r="J325" i="10" s="1"/>
  <c r="I325" i="10" s="1"/>
  <c r="O141" i="10"/>
  <c r="F325" i="10"/>
  <c r="D325" i="10" s="1"/>
  <c r="C325" i="10" s="1"/>
  <c r="F142" i="10"/>
  <c r="E141" i="10"/>
  <c r="E142" i="10" l="1"/>
  <c r="F143" i="10"/>
  <c r="O142" i="10"/>
  <c r="L326" i="10"/>
  <c r="J326" i="10" s="1"/>
  <c r="I326" i="10" s="1"/>
  <c r="F326" i="10"/>
  <c r="D326" i="10" s="1"/>
  <c r="C326" i="10" s="1"/>
  <c r="N142" i="10"/>
  <c r="K141" i="10"/>
  <c r="D141" i="10" s="1"/>
  <c r="C141" i="10" s="1"/>
  <c r="M326" i="10"/>
  <c r="M141" i="10"/>
  <c r="N143" i="10" l="1"/>
  <c r="M142" i="10"/>
  <c r="K142" i="10"/>
  <c r="D142" i="10" s="1"/>
  <c r="C142" i="10" s="1"/>
  <c r="M327" i="10"/>
  <c r="L327" i="10"/>
  <c r="J327" i="10" s="1"/>
  <c r="I327" i="10" s="1"/>
  <c r="F327" i="10"/>
  <c r="D327" i="10" s="1"/>
  <c r="C327" i="10" s="1"/>
  <c r="O143" i="10"/>
  <c r="F144" i="10"/>
  <c r="E143" i="10"/>
  <c r="F145" i="10" l="1"/>
  <c r="E144" i="10"/>
  <c r="L328" i="10"/>
  <c r="J328" i="10" s="1"/>
  <c r="I328" i="10" s="1"/>
  <c r="O144" i="10"/>
  <c r="F328" i="10"/>
  <c r="D328" i="10" s="1"/>
  <c r="C328" i="10" s="1"/>
  <c r="M143" i="10"/>
  <c r="N144" i="10"/>
  <c r="K143" i="10"/>
  <c r="D143" i="10" s="1"/>
  <c r="C143" i="10" s="1"/>
  <c r="M328" i="10"/>
  <c r="M144" i="10" l="1"/>
  <c r="N145" i="10"/>
  <c r="K144" i="10"/>
  <c r="D144" i="10" s="1"/>
  <c r="C144" i="10" s="1"/>
  <c r="M329" i="10"/>
  <c r="L329" i="10"/>
  <c r="J329" i="10" s="1"/>
  <c r="I329" i="10" s="1"/>
  <c r="O145" i="10"/>
  <c r="F329" i="10"/>
  <c r="D329" i="10" s="1"/>
  <c r="C329" i="10" s="1"/>
  <c r="F146" i="10"/>
  <c r="E145" i="10"/>
  <c r="L330" i="10" l="1"/>
  <c r="J330" i="10" s="1"/>
  <c r="I330" i="10" s="1"/>
  <c r="O146" i="10"/>
  <c r="F330" i="10"/>
  <c r="D330" i="10" s="1"/>
  <c r="C330" i="10" s="1"/>
  <c r="K145" i="10"/>
  <c r="D145" i="10" s="1"/>
  <c r="C145" i="10" s="1"/>
  <c r="M145" i="10"/>
  <c r="N146" i="10"/>
  <c r="M330" i="10"/>
  <c r="F147" i="10"/>
  <c r="E146" i="10"/>
  <c r="F148" i="10" l="1"/>
  <c r="E147" i="10"/>
  <c r="K146" i="10"/>
  <c r="D146" i="10" s="1"/>
  <c r="C146" i="10" s="1"/>
  <c r="M146" i="10"/>
  <c r="N147" i="10"/>
  <c r="M331" i="10"/>
  <c r="L331" i="10"/>
  <c r="J331" i="10" s="1"/>
  <c r="I331" i="10" s="1"/>
  <c r="O147" i="10"/>
  <c r="F331" i="10"/>
  <c r="D331" i="10" s="1"/>
  <c r="C331" i="10" s="1"/>
  <c r="O148" i="10" l="1"/>
  <c r="F332" i="10"/>
  <c r="D332" i="10" s="1"/>
  <c r="C332" i="10" s="1"/>
  <c r="L332" i="10"/>
  <c r="J332" i="10" s="1"/>
  <c r="I332" i="10" s="1"/>
  <c r="K147" i="10"/>
  <c r="D147" i="10" s="1"/>
  <c r="C147" i="10" s="1"/>
  <c r="M147" i="10"/>
  <c r="N148" i="10"/>
  <c r="M332" i="10"/>
  <c r="F149" i="10"/>
  <c r="E148" i="10"/>
  <c r="F150" i="10" l="1"/>
  <c r="E149" i="10"/>
  <c r="M148" i="10"/>
  <c r="N149" i="10"/>
  <c r="M333" i="10"/>
  <c r="K148" i="10"/>
  <c r="D148" i="10" s="1"/>
  <c r="C148" i="10" s="1"/>
  <c r="O149" i="10"/>
  <c r="L333" i="10"/>
  <c r="J333" i="10" s="1"/>
  <c r="I333" i="10" s="1"/>
  <c r="F333" i="10"/>
  <c r="D333" i="10" s="1"/>
  <c r="C333" i="10" s="1"/>
  <c r="O150" i="10" l="1"/>
  <c r="L334" i="10"/>
  <c r="J334" i="10" s="1"/>
  <c r="I334" i="10" s="1"/>
  <c r="F334" i="10"/>
  <c r="D334" i="10" s="1"/>
  <c r="C334" i="10" s="1"/>
  <c r="F151" i="10"/>
  <c r="E150" i="10"/>
  <c r="N150" i="10"/>
  <c r="K149" i="10"/>
  <c r="D149" i="10" s="1"/>
  <c r="C149" i="10" s="1"/>
  <c r="M149" i="10"/>
  <c r="M334" i="10"/>
  <c r="F152" i="10" l="1"/>
  <c r="E151" i="10"/>
  <c r="L335" i="10"/>
  <c r="J335" i="10" s="1"/>
  <c r="I335" i="10" s="1"/>
  <c r="O151" i="10"/>
  <c r="F335" i="10"/>
  <c r="D335" i="10" s="1"/>
  <c r="C335" i="10" s="1"/>
  <c r="N151" i="10"/>
  <c r="K150" i="10"/>
  <c r="D150" i="10" s="1"/>
  <c r="C150" i="10" s="1"/>
  <c r="M335" i="10"/>
  <c r="M150" i="10"/>
  <c r="O152" i="10" l="1"/>
  <c r="L336" i="10"/>
  <c r="J336" i="10" s="1"/>
  <c r="I336" i="10" s="1"/>
  <c r="F336" i="10"/>
  <c r="D336" i="10" s="1"/>
  <c r="C336" i="10" s="1"/>
  <c r="F153" i="10"/>
  <c r="E152" i="10"/>
  <c r="N152" i="10"/>
  <c r="K151" i="10"/>
  <c r="D151" i="10" s="1"/>
  <c r="C151" i="10" s="1"/>
  <c r="M151" i="10"/>
  <c r="M336" i="10"/>
  <c r="N153" i="10" l="1"/>
  <c r="K152" i="10"/>
  <c r="D152" i="10" s="1"/>
  <c r="C152" i="10" s="1"/>
  <c r="M152" i="10"/>
  <c r="M337" i="10"/>
  <c r="F154" i="10"/>
  <c r="E154" i="10" s="1"/>
  <c r="E153" i="10"/>
  <c r="F337" i="10"/>
  <c r="D337" i="10" s="1"/>
  <c r="C337" i="10" s="1"/>
  <c r="O153" i="10"/>
  <c r="L337" i="10"/>
  <c r="J337" i="10" s="1"/>
  <c r="I337" i="10" s="1"/>
  <c r="M153" i="10" l="1"/>
  <c r="K153" i="10"/>
  <c r="D153" i="10" s="1"/>
  <c r="M338" i="10"/>
  <c r="L338" i="10"/>
  <c r="J338" i="10" s="1"/>
  <c r="I338" i="10" s="1"/>
  <c r="F338" i="10"/>
  <c r="D338" i="10" s="1"/>
  <c r="C338" i="10" s="1"/>
  <c r="C154" i="10" l="1"/>
  <c r="C153" i="10"/>
  <c r="C339" i="10"/>
  <c r="I33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Ingar Walder</author>
  </authors>
  <commentList>
    <comment ref="E2" authorId="0" shapeId="0" xr:uid="{00000000-0006-0000-0400-000001000000}">
      <text>
        <r>
          <rPr>
            <b/>
            <sz val="9"/>
            <color rgb="FF000000"/>
            <rFont val="Calibri"/>
            <family val="2"/>
            <charset val="238"/>
          </rPr>
          <t>Ingar Walder:</t>
        </r>
        <r>
          <rPr>
            <sz val="9"/>
            <color rgb="FF000000"/>
            <rFont val="Calibri"/>
            <family val="2"/>
            <charset val="238"/>
          </rPr>
          <t xml:space="preserve">
</t>
        </r>
        <r>
          <rPr>
            <sz val="9"/>
            <color rgb="FF000000"/>
            <rFont val="Calibri"/>
            <family val="2"/>
            <charset val="238"/>
          </rPr>
          <t>Från TB 2012-07-06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Ingar Walder</author>
  </authors>
  <commentList>
    <comment ref="C9" authorId="0" shapeId="0" xr:uid="{00000000-0006-0000-0A00-000001000000}">
      <text>
        <r>
          <rPr>
            <b/>
            <sz val="9"/>
            <color indexed="81"/>
            <rFont val="Verdana"/>
            <family val="2"/>
          </rPr>
          <t>Ingar Walder:</t>
        </r>
        <r>
          <rPr>
            <sz val="9"/>
            <color indexed="81"/>
            <rFont val="Verdana"/>
            <family val="2"/>
          </rPr>
          <t xml:space="preserve">
Fra Ola Hansson</t>
        </r>
      </text>
    </comment>
    <comment ref="C29" authorId="0" shapeId="0" xr:uid="{00000000-0006-0000-0A00-000002000000}">
      <text>
        <r>
          <rPr>
            <b/>
            <sz val="9"/>
            <color indexed="81"/>
            <rFont val="Verdana"/>
            <family val="2"/>
          </rPr>
          <t>Ingar Walder:</t>
        </r>
        <r>
          <rPr>
            <sz val="9"/>
            <color indexed="81"/>
            <rFont val="Verdana"/>
            <family val="2"/>
          </rPr>
          <t xml:space="preserve">
Fra BergAB</t>
        </r>
      </text>
    </comment>
  </commentList>
</comments>
</file>

<file path=xl/sharedStrings.xml><?xml version="1.0" encoding="utf-8"?>
<sst xmlns="http://schemas.openxmlformats.org/spreadsheetml/2006/main" count="6881" uniqueCount="1500">
  <si>
    <t>As</t>
    <phoneticPr fontId="8" type="noConversion"/>
  </si>
  <si>
    <t>Cr</t>
    <phoneticPr fontId="8" type="noConversion"/>
  </si>
  <si>
    <t>&lt;0.055</t>
    <phoneticPr fontId="8" type="noConversion"/>
  </si>
  <si>
    <t>As</t>
    <phoneticPr fontId="8" type="noConversion"/>
  </si>
  <si>
    <t>Cr</t>
    <phoneticPr fontId="8" type="noConversion"/>
  </si>
  <si>
    <t>Cr</t>
    <phoneticPr fontId="8" type="noConversion"/>
  </si>
  <si>
    <t>Leveaniemi Pit Lake Water Quality (SWECO, 2007 &amp; MKB2012)</t>
    <phoneticPr fontId="8" type="noConversion"/>
  </si>
  <si>
    <t>SE &amp; SW Ditch</t>
    <phoneticPr fontId="8" type="noConversion"/>
  </si>
  <si>
    <t>SVA58</t>
    <phoneticPr fontId="8" type="noConversion"/>
  </si>
  <si>
    <t>mmol/l</t>
    <phoneticPr fontId="8" type="noConversion"/>
  </si>
  <si>
    <t>mS/l</t>
    <phoneticPr fontId="8" type="noConversion"/>
  </si>
  <si>
    <t>mg/l</t>
    <phoneticPr fontId="8" type="noConversion"/>
  </si>
  <si>
    <t>mg/l</t>
    <phoneticPr fontId="8" type="noConversion"/>
  </si>
  <si>
    <t>&lt;0.005</t>
    <phoneticPr fontId="8" type="noConversion"/>
  </si>
  <si>
    <t>&lt;0.011</t>
    <phoneticPr fontId="8" type="noConversion"/>
  </si>
  <si>
    <t>mg/l</t>
    <phoneticPr fontId="8" type="noConversion"/>
  </si>
  <si>
    <t>ug/l</t>
    <phoneticPr fontId="8" type="noConversion"/>
  </si>
  <si>
    <t>&lt;0.055</t>
    <phoneticPr fontId="8" type="noConversion"/>
  </si>
  <si>
    <t>ND</t>
    <phoneticPr fontId="8" type="noConversion"/>
  </si>
  <si>
    <t>&lt;0.002</t>
    <phoneticPr fontId="8" type="noConversion"/>
  </si>
  <si>
    <t>ug/l</t>
    <phoneticPr fontId="8" type="noConversion"/>
  </si>
  <si>
    <t>&lt;0.01</t>
    <phoneticPr fontId="8" type="noConversion"/>
  </si>
  <si>
    <t>ND</t>
    <phoneticPr fontId="8" type="noConversion"/>
  </si>
  <si>
    <t>na</t>
    <phoneticPr fontId="8" type="noConversion"/>
  </si>
  <si>
    <t>SVA49&amp;50 Lakewater</t>
    <phoneticPr fontId="8" type="noConversion"/>
  </si>
  <si>
    <t>Gruvberget</t>
    <phoneticPr fontId="8" type="noConversion"/>
  </si>
  <si>
    <t>SVA63</t>
    <phoneticPr fontId="8" type="noConversion"/>
  </si>
  <si>
    <t>Metträsk</t>
    <phoneticPr fontId="8" type="noConversion"/>
  </si>
  <si>
    <t>Resipient dam</t>
    <phoneticPr fontId="8" type="noConversion"/>
  </si>
  <si>
    <t>Surface water</t>
    <phoneticPr fontId="8" type="noConversion"/>
  </si>
  <si>
    <t>SVA57 Discharge water</t>
    <phoneticPr fontId="8" type="noConversion"/>
  </si>
  <si>
    <t>Ground-water</t>
    <phoneticPr fontId="8" type="noConversion"/>
  </si>
  <si>
    <t>Leveäniemi</t>
    <phoneticPr fontId="8" type="noConversion"/>
  </si>
  <si>
    <t>step</t>
  </si>
  <si>
    <t>Using</t>
  </si>
  <si>
    <t>mix</t>
  </si>
  <si>
    <t>Mixture</t>
  </si>
  <si>
    <t>Solution</t>
  </si>
  <si>
    <t>C</t>
  </si>
  <si>
    <t>N</t>
  </si>
  <si>
    <t>Adjusted</t>
  </si>
  <si>
    <t>to</t>
  </si>
  <si>
    <t>alkalinity</t>
  </si>
  <si>
    <t>(eq/kg)</t>
  </si>
  <si>
    <t>CoNO2+</t>
  </si>
  <si>
    <t>Cu(S4)2-3</t>
  </si>
  <si>
    <t>CuS4S5-3</t>
  </si>
  <si>
    <t>CuNO2+</t>
  </si>
  <si>
    <t>Cu(NO2)2</t>
  </si>
  <si>
    <t>Cu(HS)3-</t>
  </si>
  <si>
    <t>N(3)</t>
  </si>
  <si>
    <t>NO2-</t>
  </si>
  <si>
    <t>S(-2)</t>
  </si>
  <si>
    <t>HS-</t>
  </si>
  <si>
    <t>H2S</t>
  </si>
  <si>
    <t>S5-2</t>
  </si>
  <si>
    <t>S6-2</t>
  </si>
  <si>
    <t>S4-2</t>
  </si>
  <si>
    <t>S3-2</t>
  </si>
  <si>
    <t>S2-2</t>
  </si>
  <si>
    <t>S-2</t>
  </si>
  <si>
    <t>ZnS(HS)-</t>
  </si>
  <si>
    <t>Zn(HS)2</t>
  </si>
  <si>
    <t>Zn(HS)3-</t>
  </si>
  <si>
    <t>ZnS(HS)2-2</t>
  </si>
  <si>
    <t>Zn(HS)4-2</t>
  </si>
  <si>
    <t>(Co(NH3)5Cl)(NO3)2-336.01</t>
  </si>
  <si>
    <t>(Co(NH3)5Cl)Cl2-332.71</t>
  </si>
  <si>
    <t>(Co(NH3)5OH2)Cl3-340.07</t>
  </si>
  <si>
    <t>(Co(NH3)6)(NO3)3-407.10</t>
  </si>
  <si>
    <t>Anilite</t>
  </si>
  <si>
    <t>Cu0.25Cu1.5S</t>
  </si>
  <si>
    <t>BlaubleiI</t>
  </si>
  <si>
    <t>Cu0.9Cu0.2S</t>
  </si>
  <si>
    <t>BlaubleiII</t>
  </si>
  <si>
    <t>Cu0.6Cu0.8S</t>
  </si>
  <si>
    <t>Chalcocite</t>
  </si>
  <si>
    <t>Cu2S</t>
  </si>
  <si>
    <t>CoS(alpha)</t>
  </si>
  <si>
    <t>CoS</t>
  </si>
  <si>
    <t>CoS(beta)</t>
  </si>
  <si>
    <t>Covellite</t>
  </si>
  <si>
    <t>CuS</t>
  </si>
  <si>
    <t>Djurleite</t>
  </si>
  <si>
    <t>Cu0.066Cu1.868S</t>
  </si>
  <si>
    <t>H2S(g)</t>
  </si>
  <si>
    <t>MoS2</t>
  </si>
  <si>
    <t>NiS(alpha)</t>
  </si>
  <si>
    <t>NiS</t>
  </si>
  <si>
    <t>NiS(beta)</t>
  </si>
  <si>
    <t>NiS(gamma)</t>
  </si>
  <si>
    <t>Sphalerite</t>
  </si>
  <si>
    <t>ZnS</t>
  </si>
  <si>
    <t>Sulfur</t>
  </si>
  <si>
    <t>Wurtzite</t>
  </si>
  <si>
    <t>ZnS(am)</t>
  </si>
  <si>
    <t>------------------------------</t>
  </si>
  <si>
    <t xml:space="preserve"> </t>
    <phoneticPr fontId="8" type="noConversion"/>
  </si>
  <si>
    <t>Current PW</t>
    <phoneticPr fontId="8" type="noConversion"/>
  </si>
  <si>
    <t>Calc. PW</t>
    <phoneticPr fontId="8" type="noConversion"/>
  </si>
  <si>
    <t>Receiving Env.</t>
    <phoneticPr fontId="8" type="noConversion"/>
  </si>
  <si>
    <t>PIT WATER  2007</t>
    <phoneticPr fontId="8" type="noConversion"/>
  </si>
  <si>
    <t>(x86)\USGS\Phreeqc</t>
    <phoneticPr fontId="8" type="noConversion"/>
  </si>
  <si>
    <t>3.0.6-7757\database\minteq.v4.dat</t>
    <phoneticPr fontId="8" type="noConversion"/>
  </si>
  <si>
    <t>NiSO4</t>
  </si>
  <si>
    <t>NiOH+</t>
  </si>
  <si>
    <t>Ni(OH)2</t>
  </si>
  <si>
    <t>Ni(SO4)2-2</t>
  </si>
  <si>
    <t>Ni(OH)3-</t>
  </si>
  <si>
    <t>O2</t>
  </si>
  <si>
    <t>SO4-2</t>
  </si>
  <si>
    <t>ZnSO4</t>
  </si>
  <si>
    <t>HSO4-</t>
  </si>
  <si>
    <t>Zn(SO4)2-2</t>
  </si>
  <si>
    <t>Zn+2</t>
  </si>
  <si>
    <t>ZnOH+</t>
  </si>
  <si>
    <t>Zn(OH)2</t>
  </si>
  <si>
    <t>Zn(OH)3-</t>
  </si>
  <si>
    <t>Zn(OH)4-2</t>
  </si>
  <si>
    <t>indices-------------------------------</t>
  </si>
  <si>
    <t>Phase</t>
  </si>
  <si>
    <t>SI</t>
  </si>
  <si>
    <t>log</t>
  </si>
  <si>
    <t>IAP</t>
  </si>
  <si>
    <t>K(283</t>
  </si>
  <si>
    <t>K,</t>
  </si>
  <si>
    <t>atm)</t>
  </si>
  <si>
    <t>(Co(NH3)5Cl)(NO3)2</t>
  </si>
  <si>
    <t>(Co(NH3)5Cl)Cl2</t>
  </si>
  <si>
    <t>(Co(NH3)5OH2)Cl3</t>
  </si>
  <si>
    <t>(Co(NH3)6)(NO3)3</t>
  </si>
  <si>
    <t>(Co(NH3)6)Cl3</t>
  </si>
  <si>
    <t>As</t>
    <phoneticPr fontId="8" type="noConversion"/>
  </si>
  <si>
    <t>Cu2SO4</t>
  </si>
  <si>
    <t>Cumetal</t>
  </si>
  <si>
    <t>CuMoO4</t>
  </si>
  <si>
    <t>CuOCuSO4</t>
  </si>
  <si>
    <t>Cuprite</t>
  </si>
  <si>
    <t>Cu2O</t>
  </si>
  <si>
    <t>Goslarite</t>
  </si>
  <si>
    <t>ZnSO4:7H2O</t>
  </si>
  <si>
    <t>Gypsum</t>
  </si>
  <si>
    <t>CaSO4:2H2O</t>
  </si>
  <si>
    <t>Halite</t>
  </si>
  <si>
    <t>NaCl</t>
  </si>
  <si>
    <t>Langite</t>
  </si>
  <si>
    <t>Cu4(OH)6SO4:H2O</t>
  </si>
  <si>
    <t>Lime</t>
  </si>
  <si>
    <t>CaO</t>
  </si>
  <si>
    <t>Malachite</t>
  </si>
  <si>
    <t>Cu2(OH)2CO3</t>
  </si>
  <si>
    <t>Melanothallite</t>
  </si>
  <si>
    <t>Mirabilite</t>
  </si>
  <si>
    <t>Na2SO4:10H2O</t>
  </si>
  <si>
    <t>MoO3</t>
  </si>
  <si>
    <t>Morenosite</t>
  </si>
  <si>
    <t>NiSO4:7H2O</t>
  </si>
  <si>
    <t>Na2Mo2O7</t>
  </si>
  <si>
    <t>Na2MoO4</t>
  </si>
  <si>
    <t>Na2MoO4:2H2O</t>
  </si>
  <si>
    <t>Nantokite</t>
  </si>
  <si>
    <t>Natron</t>
  </si>
  <si>
    <t>Na2CO3:10H2O</t>
  </si>
  <si>
    <t>Ni4(OH)6SO4</t>
  </si>
  <si>
    <t>NiMoO4</t>
  </si>
  <si>
    <t>Portlandite</t>
  </si>
  <si>
    <t>Ca(OH)2</t>
  </si>
  <si>
    <t>Retgersite</t>
  </si>
  <si>
    <t>NiSO4:6H2O</t>
  </si>
  <si>
    <t>Smithsonite</t>
  </si>
  <si>
    <t>Tenorite</t>
  </si>
  <si>
    <t>CuO</t>
  </si>
  <si>
    <t>Thenardite</t>
  </si>
  <si>
    <t>Na2SO4</t>
  </si>
  <si>
    <t>Thermonatrite</t>
  </si>
  <si>
    <t>Na2CO3:H2O</t>
  </si>
  <si>
    <t>Zincite</t>
  </si>
  <si>
    <t>ZnO</t>
  </si>
  <si>
    <t>Zincosite</t>
  </si>
  <si>
    <t>Zn(NO3)2:6H2O</t>
  </si>
  <si>
    <t>Zn(OH)2(am)</t>
  </si>
  <si>
    <t>Zn(OH)2(beta)</t>
  </si>
  <si>
    <t>Zn(OH)2(epsilon)</t>
  </si>
  <si>
    <t>Zn(OH)2(gamma)</t>
  </si>
  <si>
    <t>Zn2(OH)2SO4</t>
  </si>
  <si>
    <t>Zn2(OH)3Cl</t>
  </si>
  <si>
    <t>Zn3O(SO4)2</t>
  </si>
  <si>
    <t>Zn4(OH)6SO4</t>
  </si>
  <si>
    <t>Zn5(OH)8Cl2</t>
  </si>
  <si>
    <t>ZnCO3:1H2O</t>
  </si>
  <si>
    <t>Znmetal</t>
  </si>
  <si>
    <t>ZnMoO4</t>
  </si>
  <si>
    <t>ZnO(active)</t>
  </si>
  <si>
    <t>ZnSO4:1H2O</t>
  </si>
  <si>
    <t>End</t>
  </si>
  <si>
    <t>simulation.</t>
  </si>
  <si>
    <t>-----------------------------</t>
  </si>
  <si>
    <t>Run</t>
  </si>
  <si>
    <t>after</t>
  </si>
  <si>
    <t>Seconds.</t>
  </si>
  <si>
    <t>3.0.6-7757\database\Svap02.pqi</t>
  </si>
  <si>
    <t>C:\Users\Peaches\LKAB\Svap02.pqo</t>
  </si>
  <si>
    <t>Future</t>
  </si>
  <si>
    <t>ug/kgw</t>
  </si>
  <si>
    <t>composition------------------------------</t>
  </si>
  <si>
    <t>Elements</t>
  </si>
  <si>
    <t>Molality</t>
  </si>
  <si>
    <t>Moles</t>
  </si>
  <si>
    <t>Charge</t>
  </si>
  <si>
    <t>balance</t>
  </si>
  <si>
    <t>solution----------------------------</t>
  </si>
  <si>
    <t>=</t>
  </si>
  <si>
    <t>Equilibrium</t>
  </si>
  <si>
    <t>with</t>
  </si>
  <si>
    <t>Activity</t>
  </si>
  <si>
    <t>Ionic</t>
  </si>
  <si>
    <t>strength</t>
  </si>
  <si>
    <t>Mass</t>
  </si>
  <si>
    <t>(kg)</t>
  </si>
  <si>
    <t>carbon</t>
  </si>
  <si>
    <t>(mol/kg)</t>
  </si>
  <si>
    <t>CO2</t>
  </si>
  <si>
    <t>Temperature</t>
  </si>
  <si>
    <t>(deg</t>
  </si>
  <si>
    <t>C)</t>
  </si>
  <si>
    <t>Electrical</t>
  </si>
  <si>
    <t>(eq)</t>
  </si>
  <si>
    <t>Percent</t>
  </si>
  <si>
    <t>error,</t>
  </si>
  <si>
    <t>100*(Cat-|An|)/(Cat+|An|)</t>
  </si>
  <si>
    <t>Upstream</t>
  </si>
  <si>
    <t>MIX</t>
  </si>
  <si>
    <t>CaHPO4</t>
  </si>
  <si>
    <t>CaPO4-</t>
  </si>
  <si>
    <t>CaH2PO4+</t>
  </si>
  <si>
    <t>CoHPO4</t>
  </si>
  <si>
    <t>NaHPO4-</t>
  </si>
  <si>
    <t>HPO4-2</t>
  </si>
  <si>
    <t>H2PO4-</t>
  </si>
  <si>
    <t>PO4-3</t>
  </si>
  <si>
    <t>H3PO4</t>
  </si>
  <si>
    <t>Ca3(PO4)2(beta)</t>
  </si>
  <si>
    <t>Ca3(PO4)2</t>
  </si>
  <si>
    <t>Ca4H(PO4)3:3H2O</t>
  </si>
  <si>
    <t>CaHPO4:2H2O</t>
  </si>
  <si>
    <t>Co3(PO4)2</t>
  </si>
  <si>
    <t>Cu3(PO4)2</t>
  </si>
  <si>
    <t>Cu3(PO4)2:3H2O</t>
  </si>
  <si>
    <t>Hydroxylapatite</t>
  </si>
  <si>
    <t>Ca5(PO4)3OH</t>
  </si>
  <si>
    <t>Ni3(PO4)2</t>
  </si>
  <si>
    <t>Zn3(PO4)2:4H2O</t>
  </si>
  <si>
    <t>-----------------------------------------</t>
  </si>
  <si>
    <t>batch-reaction</t>
  </si>
  <si>
    <t>Reaction</t>
  </si>
  <si>
    <t>NaCO3-</t>
  </si>
  <si>
    <t>CuCO3</t>
  </si>
  <si>
    <t>ZnCO3</t>
  </si>
  <si>
    <t>NiCO3</t>
  </si>
  <si>
    <t>CoCO3</t>
  </si>
  <si>
    <t>NiHCO3+</t>
  </si>
  <si>
    <t>CoHCO3+</t>
  </si>
  <si>
    <t>Cu(CO3)2-2</t>
  </si>
  <si>
    <t>ZnHCO3+</t>
  </si>
  <si>
    <t>CuHCO3+</t>
  </si>
  <si>
    <t>Ca+2</t>
  </si>
  <si>
    <t>CaSO4</t>
  </si>
  <si>
    <t>CaNO3+</t>
  </si>
  <si>
    <t>CaNH3+2</t>
  </si>
  <si>
    <t>CaOH+</t>
  </si>
  <si>
    <t>Ca(NH3)2+2</t>
  </si>
  <si>
    <t>Cl-</t>
  </si>
  <si>
    <t>CoCl+</t>
  </si>
  <si>
    <t>ZnOHCl</t>
  </si>
  <si>
    <t>ZnCl+</t>
  </si>
  <si>
    <t>NiCl+</t>
  </si>
  <si>
    <t>CuCl+</t>
  </si>
  <si>
    <t>ZnCl2</t>
  </si>
  <si>
    <t>CuCl2</t>
  </si>
  <si>
    <t>NiCl2</t>
  </si>
  <si>
    <t>ZnCl3-</t>
  </si>
  <si>
    <t>ZnCl4-2</t>
  </si>
  <si>
    <t>CuCl3-</t>
  </si>
  <si>
    <t>CuCl2-</t>
  </si>
  <si>
    <t>CuCl</t>
  </si>
  <si>
    <t>CuCl3-2</t>
  </si>
  <si>
    <t>CuCl4-2</t>
  </si>
  <si>
    <t>CoCl+2</t>
  </si>
  <si>
    <t>Co(NH3)5Cl+2</t>
  </si>
  <si>
    <t>Co(NH3)6Cl+2</t>
  </si>
  <si>
    <t>Co(2)</t>
  </si>
  <si>
    <t>Co+2</t>
  </si>
  <si>
    <t>CoSO4</t>
  </si>
  <si>
    <t>CoOH+</t>
  </si>
  <si>
    <t>Co(NH3)+2</t>
  </si>
  <si>
    <t>Co(OH)2</t>
  </si>
  <si>
    <t>CoNO3+</t>
  </si>
  <si>
    <t>Co(NO3)2</t>
  </si>
  <si>
    <t>Co(NH3)2+2</t>
  </si>
  <si>
    <t>Co(OH)3-</t>
  </si>
  <si>
    <t>Co2OH+3</t>
  </si>
  <si>
    <t>CoOOH-</t>
  </si>
  <si>
    <t>Co(NH3)3+2</t>
  </si>
  <si>
    <t>Co(OH)4-2</t>
  </si>
  <si>
    <t>Co(NH3)4+2</t>
  </si>
  <si>
    <t>Co4(OH)4+4</t>
  </si>
  <si>
    <t>Co(NH3)5+2</t>
  </si>
  <si>
    <t>Co(3)</t>
  </si>
  <si>
    <t>CoOH+2</t>
  </si>
  <si>
    <t>Co+3</t>
  </si>
  <si>
    <t>Co(NH3)6SO4+</t>
  </si>
  <si>
    <t>Co(NH3)6OH+2</t>
  </si>
  <si>
    <t>Cu(1)</t>
  </si>
  <si>
    <t>Cu+</t>
  </si>
  <si>
    <t>Cu(2)</t>
  </si>
  <si>
    <t>CuOH+</t>
  </si>
  <si>
    <t>Cu+2</t>
  </si>
  <si>
    <t>Cu(OH)2</t>
  </si>
  <si>
    <t>CuNH3+2</t>
  </si>
  <si>
    <t>CuSO4</t>
  </si>
  <si>
    <t>Cu(OH)3-</t>
  </si>
  <si>
    <t>CuNO3+</t>
  </si>
  <si>
    <t>Cu2(OH)2+2</t>
  </si>
  <si>
    <t>Cu(NO3)2</t>
  </si>
  <si>
    <t>Cu(OH)4-2</t>
  </si>
  <si>
    <t>H(0)</t>
  </si>
  <si>
    <t>H2</t>
  </si>
  <si>
    <t>MoO4-2</t>
  </si>
  <si>
    <t>HMoO4-</t>
  </si>
  <si>
    <t>H2MoO4</t>
  </si>
  <si>
    <t>Mo7O24-6</t>
  </si>
  <si>
    <t>HMo7O24-5</t>
  </si>
  <si>
    <t>H2Mo7O24-4</t>
  </si>
  <si>
    <t>H3Mo7O24-3</t>
  </si>
  <si>
    <t>NH4+</t>
  </si>
  <si>
    <t>NH3</t>
  </si>
  <si>
    <t>NH4SO4-</t>
  </si>
  <si>
    <t>NiNH3+2</t>
  </si>
  <si>
    <t>Ni(NH3)2+2</t>
  </si>
  <si>
    <t>NO3-</t>
  </si>
  <si>
    <t>ZnNO3+</t>
  </si>
  <si>
    <t>NiNO3+</t>
  </si>
  <si>
    <t>Zn(NO3)2</t>
  </si>
  <si>
    <t>Na+</t>
  </si>
  <si>
    <t>NaSO4-</t>
  </si>
  <si>
    <t>Ni+2</t>
  </si>
  <si>
    <t>163.0</t>
  </si>
  <si>
    <t>0,004</t>
  </si>
  <si>
    <t>0,080</t>
  </si>
  <si>
    <t>10.2</t>
  </si>
  <si>
    <t>9.39</t>
  </si>
  <si>
    <t>0.677</t>
  </si>
  <si>
    <t>0.027</t>
  </si>
  <si>
    <t>496.0</t>
  </si>
  <si>
    <t>0.774</t>
  </si>
  <si>
    <t>1.04</t>
  </si>
  <si>
    <t>3,5</t>
  </si>
  <si>
    <t>AM110929-00142</t>
  </si>
  <si>
    <t>2011-10-11 00:00:00</t>
  </si>
  <si>
    <t>7,8</t>
  </si>
  <si>
    <t>51,9</t>
  </si>
  <si>
    <t>70</t>
  </si>
  <si>
    <t>79</t>
  </si>
  <si>
    <t>0.051</t>
  </si>
  <si>
    <t>0,087</t>
  </si>
  <si>
    <t>2.61</t>
  </si>
  <si>
    <t>159</t>
  </si>
  <si>
    <t>1,3</t>
  </si>
  <si>
    <t>0,000</t>
  </si>
  <si>
    <t>16.1</t>
  </si>
  <si>
    <t>6.38</t>
  </si>
  <si>
    <t>178.0</t>
  </si>
  <si>
    <t>1.61</t>
  </si>
  <si>
    <t>0.0318</t>
  </si>
  <si>
    <t>316.0</t>
  </si>
  <si>
    <t>0.861</t>
  </si>
  <si>
    <t>Anhydrite</t>
  </si>
  <si>
    <t>Antlerite</t>
  </si>
  <si>
    <t>Cu3(OH)4SO4</t>
  </si>
  <si>
    <t>Aragonite</t>
  </si>
  <si>
    <t>Atacamite</t>
  </si>
  <si>
    <t>Cu2(OH)3Cl</t>
  </si>
  <si>
    <t>Azurite</t>
  </si>
  <si>
    <t>Cu3(OH)2(CO3)2</t>
  </si>
  <si>
    <t>Bianchite</t>
  </si>
  <si>
    <t>ZnSO4:6H2O</t>
  </si>
  <si>
    <t>Brochantite</t>
  </si>
  <si>
    <t>Cu4(OH)6SO4</t>
  </si>
  <si>
    <t>Bunsenite</t>
  </si>
  <si>
    <t>NiO</t>
  </si>
  <si>
    <t>CaMoO4</t>
  </si>
  <si>
    <t>CH4(g)</t>
  </si>
  <si>
    <t>CH4</t>
  </si>
  <si>
    <t>Chalcanthite</t>
  </si>
  <si>
    <t>CuSO4:5H2O</t>
  </si>
  <si>
    <t>Co(OH)3</t>
  </si>
  <si>
    <t>CO2(g)</t>
  </si>
  <si>
    <t>Co3O4</t>
  </si>
  <si>
    <t>CoCl2</t>
  </si>
  <si>
    <t>CoCl2:6H2O</t>
  </si>
  <si>
    <t>CoMoO4</t>
  </si>
  <si>
    <t>CoO</t>
  </si>
  <si>
    <t>CoSO4:6H2O</t>
  </si>
  <si>
    <t>Cu2(OH)3NO3</t>
  </si>
  <si>
    <t>0.0179</t>
  </si>
  <si>
    <t>467.0</t>
  </si>
  <si>
    <t>&lt;1</t>
  </si>
  <si>
    <t>4,3</t>
  </si>
  <si>
    <t>AM110408-00403</t>
  </si>
  <si>
    <t>2011-06-20 00:00:00</t>
  </si>
  <si>
    <t>57,7</t>
  </si>
  <si>
    <t>20</t>
  </si>
  <si>
    <t>10</t>
  </si>
  <si>
    <t>0,16</t>
  </si>
  <si>
    <t>0,069</t>
  </si>
  <si>
    <t>1.8</t>
  </si>
  <si>
    <t>170</t>
  </si>
  <si>
    <t>2,6</t>
  </si>
  <si>
    <t>0,043</t>
  </si>
  <si>
    <t>0,860</t>
  </si>
  <si>
    <t>Ja</t>
  </si>
  <si>
    <t>10.1</t>
  </si>
  <si>
    <t>154.0</t>
  </si>
  <si>
    <t>0.247</t>
  </si>
  <si>
    <t>0.0168</t>
  </si>
  <si>
    <t>430.0</t>
  </si>
  <si>
    <t>0.868</t>
  </si>
  <si>
    <t>4,2</t>
  </si>
  <si>
    <t>Cu           ug/l</t>
    <phoneticPr fontId="8" type="noConversion"/>
  </si>
  <si>
    <t>Cu</t>
    <phoneticPr fontId="8" type="noConversion"/>
  </si>
  <si>
    <t>Input</t>
  </si>
  <si>
    <t>file:</t>
  </si>
  <si>
    <t>C:\Program</t>
  </si>
  <si>
    <t>Files</t>
  </si>
  <si>
    <t>(x86)\USGS\Phreeqc</t>
  </si>
  <si>
    <t>Interactive</t>
  </si>
  <si>
    <t>3.0.6-7757\database\Svap01.pqi</t>
  </si>
  <si>
    <t>Output</t>
  </si>
  <si>
    <t>C:\Users\Peaches\LKAB\Svap01.pqo</t>
  </si>
  <si>
    <t>Database</t>
  </si>
  <si>
    <t>3.0.6-7757\database\minteq.v4.dat</t>
  </si>
  <si>
    <t>------------------</t>
  </si>
  <si>
    <t>Reading</t>
  </si>
  <si>
    <t>data</t>
  </si>
  <si>
    <t>base.</t>
  </si>
  <si>
    <t>SOLUTION_MASTER_SPECIES</t>
  </si>
  <si>
    <t>SOLUTION_SPECIES</t>
  </si>
  <si>
    <t>PHASES</t>
  </si>
  <si>
    <t>SURFACE_MASTER_SPECIES</t>
  </si>
  <si>
    <t>SURFACE_SPECIES</t>
  </si>
  <si>
    <t>END</t>
  </si>
  <si>
    <t>------------------------------------</t>
  </si>
  <si>
    <t>input</t>
  </si>
  <si>
    <t>for</t>
  </si>
  <si>
    <t>simulation</t>
  </si>
  <si>
    <t>DATABASE</t>
  </si>
  <si>
    <t>SOLUTION</t>
  </si>
  <si>
    <t>Current</t>
  </si>
  <si>
    <t>PW</t>
  </si>
  <si>
    <t>temp</t>
  </si>
  <si>
    <t>pe</t>
  </si>
  <si>
    <t>O2(g)</t>
  </si>
  <si>
    <t>redox</t>
  </si>
  <si>
    <t>units</t>
  </si>
  <si>
    <t>mg/kgw</t>
  </si>
  <si>
    <t>density</t>
  </si>
  <si>
    <t>Alkalinity</t>
  </si>
  <si>
    <t>eq/kgw</t>
  </si>
  <si>
    <t>N(-3)</t>
  </si>
  <si>
    <t>N(5)</t>
  </si>
  <si>
    <t>charge</t>
  </si>
  <si>
    <t>O(0)</t>
  </si>
  <si>
    <t>S(6)</t>
  </si>
  <si>
    <t>water</t>
  </si>
  <si>
    <t>#</t>
  </si>
  <si>
    <t>kg</t>
  </si>
  <si>
    <t>precip</t>
  </si>
  <si>
    <t>Calcite</t>
  </si>
  <si>
    <t>-------------------------------------------</t>
  </si>
  <si>
    <t>Beginning</t>
  </si>
  <si>
    <t>of</t>
  </si>
  <si>
    <t>initial</t>
  </si>
  <si>
    <t>solution</t>
  </si>
  <si>
    <t>calculations.</t>
  </si>
  <si>
    <t>Initial</t>
  </si>
  <si>
    <t>Alt</t>
    <phoneticPr fontId="8" type="noConversion"/>
  </si>
  <si>
    <t>Påvirkning av diffuse lekasje</t>
    <phoneticPr fontId="8" type="noConversion"/>
  </si>
  <si>
    <t>Diffus lekkasje påvirkning</t>
    <phoneticPr fontId="8" type="noConversion"/>
  </si>
  <si>
    <t>Vatten från diken läggs till alt 2</t>
  </si>
  <si>
    <t>Vatten via verken (klarvattensreservoaren)</t>
  </si>
  <si>
    <t>Vatten direkt till klarningen</t>
  </si>
  <si>
    <t>Som 1, men med vatten fra diken i tillegg</t>
  </si>
  <si>
    <t>Waste Rock Leaching data</t>
    <phoneticPr fontId="8" type="noConversion"/>
  </si>
  <si>
    <t>mS/m</t>
    <phoneticPr fontId="8" type="noConversion"/>
  </si>
  <si>
    <t>g</t>
    <phoneticPr fontId="8" type="noConversion"/>
  </si>
  <si>
    <t>ml</t>
    <phoneticPr fontId="8" type="noConversion"/>
  </si>
  <si>
    <t>ml</t>
    <phoneticPr fontId="8" type="noConversion"/>
  </si>
  <si>
    <t>Iterations</t>
  </si>
  <si>
    <t>H</t>
  </si>
  <si>
    <t>O</t>
  </si>
  <si>
    <t>couples---------------------------------</t>
  </si>
  <si>
    <t>Redox</t>
  </si>
  <si>
    <t>couple</t>
  </si>
  <si>
    <t>Eh</t>
  </si>
  <si>
    <t>(volts)</t>
  </si>
  <si>
    <t>N(-3)/N(5)</t>
  </si>
  <si>
    <t>O(-2)/O(0)</t>
  </si>
  <si>
    <t>species----------------------------</t>
  </si>
  <si>
    <t>Log</t>
  </si>
  <si>
    <t>mole</t>
  </si>
  <si>
    <t>Species</t>
  </si>
  <si>
    <t>Gamma</t>
  </si>
  <si>
    <t>cm3/mol</t>
  </si>
  <si>
    <t>OH-</t>
  </si>
  <si>
    <t>H+</t>
  </si>
  <si>
    <t>H2O</t>
  </si>
  <si>
    <t>C(4)</t>
  </si>
  <si>
    <t>HCO3-</t>
  </si>
  <si>
    <t>CaHCO3+</t>
  </si>
  <si>
    <t>H2CO3</t>
  </si>
  <si>
    <t>CaCO3</t>
  </si>
  <si>
    <t>CO3-2</t>
  </si>
  <si>
    <t>NaHCO3</t>
  </si>
  <si>
    <t>9,0</t>
  </si>
  <si>
    <t>140</t>
  </si>
  <si>
    <t>976</t>
  </si>
  <si>
    <t>0.006</t>
  </si>
  <si>
    <t>0.056</t>
  </si>
  <si>
    <t>0.39</t>
  </si>
  <si>
    <t>0.30</t>
  </si>
  <si>
    <t>16,2</t>
  </si>
  <si>
    <t>0.440</t>
  </si>
  <si>
    <t>Turb</t>
  </si>
  <si>
    <t>Färg</t>
  </si>
  <si>
    <t>Susp_ämnen</t>
  </si>
  <si>
    <t>P_tot</t>
  </si>
  <si>
    <t>N_tot</t>
  </si>
  <si>
    <t>NH4-N</t>
  </si>
  <si>
    <t>TOC</t>
  </si>
  <si>
    <t>Abs</t>
  </si>
  <si>
    <t>Abs436</t>
  </si>
  <si>
    <t>Filtrerad</t>
  </si>
  <si>
    <t>Si</t>
  </si>
  <si>
    <t>Sr</t>
  </si>
  <si>
    <t>Al</t>
  </si>
  <si>
    <t>Fe</t>
  </si>
  <si>
    <t>Mn</t>
  </si>
  <si>
    <t>P</t>
  </si>
  <si>
    <t>V</t>
  </si>
  <si>
    <t>2B.4</t>
    <phoneticPr fontId="8" type="noConversion"/>
  </si>
  <si>
    <t>8.52</t>
  </si>
  <si>
    <t>13.4</t>
  </si>
  <si>
    <t>214.0</t>
  </si>
  <si>
    <t>23.6</t>
  </si>
  <si>
    <t>11.3</t>
  </si>
  <si>
    <t>4430.0</t>
  </si>
  <si>
    <t>1.02</t>
  </si>
  <si>
    <t>5.61</t>
  </si>
  <si>
    <t>0.0729</t>
  </si>
  <si>
    <t>AM120704-00655</t>
  </si>
  <si>
    <t>SGN45</t>
  </si>
  <si>
    <t>2012-07-02 00:00:00</t>
  </si>
  <si>
    <t>6,5</t>
  </si>
  <si>
    <t>42,5</t>
  </si>
  <si>
    <t>457</t>
  </si>
  <si>
    <t>0.59</t>
  </si>
  <si>
    <t>0,79</t>
  </si>
  <si>
    <t>0.64</t>
  </si>
  <si>
    <t>3.9</t>
  </si>
  <si>
    <t>0.037</t>
  </si>
  <si>
    <t>9,6</t>
  </si>
  <si>
    <t>0.202</t>
  </si>
  <si>
    <t>12.4</t>
  </si>
  <si>
    <t>14.1</t>
  </si>
  <si>
    <t>120.0</t>
  </si>
  <si>
    <t>1670.0</t>
  </si>
  <si>
    <t>0.398</t>
  </si>
  <si>
    <t>3.72</t>
  </si>
  <si>
    <t>0.38</t>
  </si>
  <si>
    <t>Mean</t>
    <phoneticPr fontId="8" type="noConversion"/>
  </si>
  <si>
    <t>COD-Cr</t>
  </si>
  <si>
    <t>S</t>
  </si>
  <si>
    <t>Leveaniemi Dagbrott</t>
    <phoneticPr fontId="8" type="noConversion"/>
  </si>
  <si>
    <t>&lt;0,002</t>
  </si>
  <si>
    <t>AM120629-00736</t>
  </si>
  <si>
    <t>2012-07-03 00:00:00</t>
  </si>
  <si>
    <t>7,4</t>
  </si>
  <si>
    <t>60,1</t>
  </si>
  <si>
    <t>303</t>
  </si>
  <si>
    <t>0.062</t>
  </si>
  <si>
    <t>0,11</t>
  </si>
  <si>
    <t>0.084</t>
  </si>
  <si>
    <t>2.9</t>
  </si>
  <si>
    <t>&lt;0.03</t>
  </si>
  <si>
    <t>200</t>
  </si>
  <si>
    <t>9.52</t>
  </si>
  <si>
    <t>9.64</t>
  </si>
  <si>
    <t>191.0</t>
  </si>
  <si>
    <t>0.611</t>
  </si>
  <si>
    <t>0.0223</t>
  </si>
  <si>
    <t>526.0</t>
  </si>
  <si>
    <t>0.743</t>
  </si>
  <si>
    <t>285</t>
  </si>
  <si>
    <t>SGN29</t>
  </si>
  <si>
    <t>AM120704-00652</t>
  </si>
  <si>
    <t>8,0</t>
  </si>
  <si>
    <t>23,0</t>
  </si>
  <si>
    <t>7,0</t>
  </si>
  <si>
    <t>41</t>
  </si>
  <si>
    <t>0.043</t>
  </si>
  <si>
    <t>0,033</t>
  </si>
  <si>
    <t>Total vattenföring  i recipient inklusive avbördning från verksamhet [m3/s]</t>
  </si>
  <si>
    <t>7,6</t>
  </si>
  <si>
    <t>55,8</t>
  </si>
  <si>
    <t>110</t>
  </si>
  <si>
    <t>60</t>
  </si>
  <si>
    <t>0.041</t>
  </si>
  <si>
    <t>0,17</t>
  </si>
  <si>
    <t>0,12</t>
  </si>
  <si>
    <t>&lt;0.200</t>
  </si>
  <si>
    <t>1.76</t>
  </si>
  <si>
    <t>&lt;0.500</t>
  </si>
  <si>
    <t>max uppmätt: 13,3</t>
  </si>
  <si>
    <t>KOMMENTAR</t>
  </si>
  <si>
    <t>Övergripande</t>
  </si>
  <si>
    <t>Förbrukad mgd sprängmedel [ton/år]</t>
  </si>
  <si>
    <t>Kvävekvot i sprängmedel [%]</t>
  </si>
  <si>
    <t>Spillkvot [%]</t>
  </si>
  <si>
    <t>Delflöden</t>
  </si>
  <si>
    <t>Till länshållningsvatten  [%]</t>
  </si>
  <si>
    <t>Till sidoberg [%]</t>
  </si>
  <si>
    <t>kontrollsumma</t>
  </si>
  <si>
    <t>Till malm [%]</t>
  </si>
  <si>
    <t>Groundwater discharge volume</t>
    <phoneticPr fontId="8" type="noConversion"/>
  </si>
  <si>
    <t>mg/l</t>
    <phoneticPr fontId="8" type="noConversion"/>
  </si>
  <si>
    <t>ug/l</t>
    <phoneticPr fontId="8" type="noConversion"/>
  </si>
  <si>
    <t>Runoff WQ</t>
    <phoneticPr fontId="8" type="noConversion"/>
  </si>
  <si>
    <t>Påvirkning av  vattenkvalitet i magasinene ved fortjokkat deponering  med diken</t>
    <phoneticPr fontId="8" type="noConversion"/>
  </si>
  <si>
    <t>Påvirkning av diffuse lekasje  med diken</t>
    <phoneticPr fontId="8" type="noConversion"/>
  </si>
  <si>
    <t>Påvirkning av Mettresket vattenkvalitet  med diken</t>
    <phoneticPr fontId="8" type="noConversion"/>
  </si>
  <si>
    <t>Alkalinity</t>
    <phoneticPr fontId="8" type="noConversion"/>
  </si>
  <si>
    <t>0,15</t>
  </si>
  <si>
    <t>0.17</t>
  </si>
  <si>
    <t>180</t>
  </si>
  <si>
    <t>7,3</t>
  </si>
  <si>
    <t>0,011</t>
  </si>
  <si>
    <t>0,220</t>
  </si>
  <si>
    <t>JA</t>
  </si>
  <si>
    <t>9.18</t>
  </si>
  <si>
    <t>19.3</t>
  </si>
  <si>
    <t>9.57</t>
  </si>
  <si>
    <t>10.9</t>
  </si>
  <si>
    <t>210.0</t>
  </si>
  <si>
    <t>0.978</t>
  </si>
  <si>
    <t>Pit water quality during operation</t>
    <phoneticPr fontId="8" type="noConversion"/>
  </si>
  <si>
    <t>Groundwater Quality</t>
    <phoneticPr fontId="8" type="noConversion"/>
  </si>
  <si>
    <t>NH4        mg/l</t>
    <phoneticPr fontId="8" type="noConversion"/>
  </si>
  <si>
    <t xml:space="preserve">        mg/l</t>
    <phoneticPr fontId="8" type="noConversion"/>
  </si>
  <si>
    <t>Cl</t>
  </si>
  <si>
    <t>Fluorid</t>
  </si>
  <si>
    <t>Klorid</t>
  </si>
  <si>
    <t>NO3-N</t>
  </si>
  <si>
    <t>PO4P</t>
  </si>
  <si>
    <t>Sulfat</t>
  </si>
  <si>
    <t>Ca</t>
  </si>
  <si>
    <t>K</t>
  </si>
  <si>
    <t>Mg</t>
  </si>
  <si>
    <t>Na</t>
  </si>
  <si>
    <t>As</t>
  </si>
  <si>
    <t>Ba</t>
  </si>
  <si>
    <t>Cd</t>
  </si>
  <si>
    <t>Co</t>
  </si>
  <si>
    <t>Cr</t>
  </si>
  <si>
    <t>AM110408-00405</t>
  </si>
  <si>
    <t>2011-08-16 00:00:00</t>
  </si>
  <si>
    <t>Nitrate-N</t>
    <phoneticPr fontId="8" type="noConversion"/>
  </si>
  <si>
    <t>NO3-N</t>
    <phoneticPr fontId="8" type="noConversion"/>
  </si>
  <si>
    <t>Länshållningsvattenfrån dagbrott</t>
    <phoneticPr fontId="8" type="noConversion"/>
  </si>
  <si>
    <t>Länshållningsvattenfrån dagbrott, Från sidoberg,  från sovring</t>
    <phoneticPr fontId="8" type="noConversion"/>
  </si>
  <si>
    <t>Massflöde NO3-N in till sedimentationsdamm [kg/år]</t>
    <phoneticPr fontId="8" type="noConversion"/>
  </si>
  <si>
    <t>Po4-P</t>
    <phoneticPr fontId="8" type="noConversion"/>
  </si>
  <si>
    <t>PHOSPHATE</t>
    <phoneticPr fontId="8" type="noConversion"/>
  </si>
  <si>
    <t>PO4-P</t>
    <phoneticPr fontId="8" type="noConversion"/>
  </si>
  <si>
    <t>&lt;0.10</t>
  </si>
  <si>
    <t>F</t>
    <phoneticPr fontId="8" type="noConversion"/>
  </si>
  <si>
    <t>Ca</t>
    <phoneticPr fontId="8" type="noConversion"/>
  </si>
  <si>
    <t>&lt;0.004</t>
  </si>
  <si>
    <t>&lt;0.05</t>
  </si>
  <si>
    <t>na</t>
    <phoneticPr fontId="8" type="noConversion"/>
  </si>
  <si>
    <t>Resipient</t>
    <phoneticPr fontId="8" type="noConversion"/>
  </si>
  <si>
    <t>SVA58</t>
    <phoneticPr fontId="8" type="noConversion"/>
  </si>
  <si>
    <t>SVA57</t>
    <phoneticPr fontId="8" type="noConversion"/>
  </si>
  <si>
    <t>&lt;0.002</t>
    <phoneticPr fontId="8" type="noConversion"/>
  </si>
  <si>
    <t>&lt;0.01</t>
  </si>
  <si>
    <t>&lt;0.23</t>
  </si>
  <si>
    <t>&lt;0,010</t>
  </si>
  <si>
    <t xml:space="preserve"> </t>
  </si>
  <si>
    <t>Grundvatten</t>
  </si>
  <si>
    <t>pH</t>
  </si>
  <si>
    <t>Kond</t>
  </si>
  <si>
    <t>Alkalinitet</t>
  </si>
  <si>
    <t xml:space="preserve">Vattenkvalitetsforandring i klarvattenreservoart </t>
    <phoneticPr fontId="8" type="noConversion"/>
  </si>
  <si>
    <t>2B.3</t>
    <phoneticPr fontId="8" type="noConversion"/>
  </si>
  <si>
    <t>Påvirkning av  vattenkvalitet i magasinene ved fortjokkat deponering</t>
    <phoneticPr fontId="8" type="noConversion"/>
  </si>
  <si>
    <t>2B.4</t>
    <phoneticPr fontId="8" type="noConversion"/>
  </si>
  <si>
    <t>Mertainen info (Bergab)</t>
    <phoneticPr fontId="8" type="noConversion"/>
  </si>
  <si>
    <t xml:space="preserve">Påvirkning av Mettresket vattenkvalitet </t>
    <phoneticPr fontId="8" type="noConversion"/>
  </si>
  <si>
    <t>3.1.a</t>
    <phoneticPr fontId="8" type="noConversion"/>
  </si>
  <si>
    <t>3.1.b</t>
    <phoneticPr fontId="8" type="noConversion"/>
  </si>
  <si>
    <t>grunnvatten</t>
    <phoneticPr fontId="8" type="noConversion"/>
  </si>
  <si>
    <t>Grundvatten</t>
    <phoneticPr fontId="8" type="noConversion"/>
  </si>
  <si>
    <t>Vil fortjokkad deponi resultere i kveve sittende i avgangssedimentene?</t>
    <phoneticPr fontId="8" type="noConversion"/>
  </si>
  <si>
    <t>Kvevekonsentrasjoner</t>
    <phoneticPr fontId="8" type="noConversion"/>
  </si>
  <si>
    <t>Vattenföring i processsvattensystemet [m3/s]</t>
    <phoneticPr fontId="8" type="noConversion"/>
  </si>
  <si>
    <t>Vattenföring i lensholdningsvatten [Mm3/year]</t>
    <phoneticPr fontId="8" type="noConversion"/>
  </si>
  <si>
    <t>Tømning via sedimentasjonsbasseng –oljeavskiller og til dagens tømningsledning</t>
  </si>
  <si>
    <t>0.1.1</t>
    <phoneticPr fontId="8" type="noConversion"/>
  </si>
  <si>
    <t xml:space="preserve"> </t>
    <phoneticPr fontId="8" type="noConversion"/>
  </si>
  <si>
    <t>m3</t>
    <phoneticPr fontId="8" type="noConversion"/>
  </si>
  <si>
    <t>&lt;0.0001</t>
    <phoneticPr fontId="8" type="noConversion"/>
  </si>
  <si>
    <t>&lt;0.00004</t>
    <phoneticPr fontId="8" type="noConversion"/>
  </si>
  <si>
    <t>&lt;0.3</t>
    <phoneticPr fontId="8" type="noConversion"/>
  </si>
  <si>
    <t>Cu</t>
    <phoneticPr fontId="8" type="noConversion"/>
  </si>
  <si>
    <t>&lt;0.0005</t>
    <phoneticPr fontId="8" type="noConversion"/>
  </si>
  <si>
    <t>&lt;0.007</t>
    <phoneticPr fontId="8" type="noConversion"/>
  </si>
  <si>
    <t>&lt;0.001</t>
    <phoneticPr fontId="8" type="noConversion"/>
  </si>
  <si>
    <t>&lt;0.005</t>
    <phoneticPr fontId="8" type="noConversion"/>
  </si>
  <si>
    <t>0.15</t>
  </si>
  <si>
    <t>1.1</t>
  </si>
  <si>
    <t>8.6</t>
  </si>
  <si>
    <t>1,1</t>
  </si>
  <si>
    <t>0.0000</t>
  </si>
  <si>
    <t>1.44</t>
  </si>
  <si>
    <t>12.7</t>
  </si>
  <si>
    <t>9.51</t>
  </si>
  <si>
    <t>67.0</t>
  </si>
  <si>
    <t>2.13</t>
  </si>
  <si>
    <t>0.0026</t>
  </si>
  <si>
    <t>7.68</t>
  </si>
  <si>
    <t>2.36</t>
  </si>
  <si>
    <t>0.045</t>
  </si>
  <si>
    <t>AM120704-00654</t>
  </si>
  <si>
    <t>SGN44</t>
  </si>
  <si>
    <t>6,9</t>
  </si>
  <si>
    <t>43,3</t>
  </si>
  <si>
    <t>surface leaching</t>
    <phoneticPr fontId="8" type="noConversion"/>
  </si>
  <si>
    <t># years</t>
    <phoneticPr fontId="8" type="noConversion"/>
  </si>
  <si>
    <t>ÅR</t>
    <phoneticPr fontId="8" type="noConversion"/>
  </si>
  <si>
    <t>ug/l</t>
    <phoneticPr fontId="8" type="noConversion"/>
  </si>
  <si>
    <t>m3/year</t>
    <phoneticPr fontId="8" type="noConversion"/>
  </si>
  <si>
    <t>Leaching</t>
    <phoneticPr fontId="8" type="noConversion"/>
  </si>
  <si>
    <t>Lake volume</t>
    <phoneticPr fontId="8" type="noConversion"/>
  </si>
  <si>
    <t>Yearly addition</t>
    <phoneticPr fontId="8" type="noConversion"/>
  </si>
  <si>
    <t>Copper add/year</t>
    <phoneticPr fontId="8" type="noConversion"/>
  </si>
  <si>
    <t>Lake copper con.</t>
    <phoneticPr fontId="8" type="noConversion"/>
  </si>
  <si>
    <t>Total Lake volume after refilling</t>
    <phoneticPr fontId="8" type="noConversion"/>
  </si>
  <si>
    <t>Temperatur</t>
  </si>
  <si>
    <t>Glödgn.rest</t>
  </si>
  <si>
    <t>möh</t>
  </si>
  <si>
    <t>m</t>
  </si>
  <si>
    <t>-</t>
  </si>
  <si>
    <t>mS/m</t>
  </si>
  <si>
    <t>mmol/l</t>
  </si>
  <si>
    <t>FNU</t>
  </si>
  <si>
    <t>mg/l</t>
  </si>
  <si>
    <t>Abs/5 cm</t>
  </si>
  <si>
    <t>µg/l</t>
  </si>
  <si>
    <t>°C</t>
  </si>
  <si>
    <t>SGN23</t>
  </si>
  <si>
    <t>AM110408-00357</t>
  </si>
  <si>
    <t>2011-04-18 00:00:00</t>
  </si>
  <si>
    <t>7,7</t>
  </si>
  <si>
    <t>60,4</t>
  </si>
  <si>
    <t>2.6</t>
  </si>
  <si>
    <t>0,32</t>
  </si>
  <si>
    <t>&lt;5,0</t>
  </si>
  <si>
    <t>660</t>
  </si>
  <si>
    <t>&lt;0.005</t>
  </si>
  <si>
    <t>0,13</t>
  </si>
  <si>
    <t>Gruvberget</t>
  </si>
  <si>
    <t>Surface water</t>
  </si>
  <si>
    <t>To dams from Process plant</t>
  </si>
  <si>
    <t>P2 to process plant</t>
  </si>
  <si>
    <t>Tailings storage</t>
  </si>
  <si>
    <t>Discharge</t>
  </si>
  <si>
    <t>Leakage</t>
  </si>
  <si>
    <t>Mettresk, Tailings, Recip., Clearing.</t>
  </si>
  <si>
    <t>Cu</t>
    <phoneticPr fontId="8" type="noConversion"/>
  </si>
  <si>
    <t>Vattenkvalitetsforandring i klarvattenreservoaret med diken</t>
    <phoneticPr fontId="8" type="noConversion"/>
  </si>
  <si>
    <t>alla data under detgräns, så halva detgräns satt! Praxis</t>
  </si>
  <si>
    <t>Processvatten</t>
    <phoneticPr fontId="8" type="noConversion"/>
  </si>
  <si>
    <t>Malm</t>
    <phoneticPr fontId="8" type="noConversion"/>
  </si>
  <si>
    <t>Bakgrundstransport av NH4-N i recipient [kg/år]</t>
  </si>
  <si>
    <t>Vinter</t>
    <phoneticPr fontId="8" type="noConversion"/>
  </si>
  <si>
    <t>Total massa NH4-N i recipient [kg/år]</t>
  </si>
  <si>
    <t>SVA 69</t>
  </si>
  <si>
    <t>Resulterande koncentration NH4-N i recipient [mg/l]</t>
  </si>
  <si>
    <t xml:space="preserve"> pH i recipient [dim.lös]</t>
  </si>
  <si>
    <t xml:space="preserve"> max uppmätt: 7,7; Beräkning av Sweco via Uno</t>
  </si>
  <si>
    <t>temperatur i recipient [C]</t>
  </si>
  <si>
    <t>3b. Andel av lakvatten som transporteras diffust under dike och vidare (gv-bildning till berg samt grundvatten i jord under dikesbotten). [%]</t>
  </si>
  <si>
    <t>malm --&gt;sovringsavfall [%]</t>
  </si>
  <si>
    <t>malm--&gt;anrikningsrågods [%]</t>
  </si>
  <si>
    <t>0.1.2</t>
    <phoneticPr fontId="8" type="noConversion"/>
  </si>
  <si>
    <t>Grundvatten</t>
    <phoneticPr fontId="8" type="noConversion"/>
  </si>
  <si>
    <t>1.1.a</t>
    <phoneticPr fontId="8" type="noConversion"/>
  </si>
  <si>
    <t>1.1.b</t>
    <phoneticPr fontId="8" type="noConversion"/>
  </si>
  <si>
    <t>grunnvatten</t>
    <phoneticPr fontId="8" type="noConversion"/>
  </si>
  <si>
    <t>Grundvatten</t>
    <phoneticPr fontId="8" type="noConversion"/>
  </si>
  <si>
    <t>Regnvatten</t>
    <phoneticPr fontId="8" type="noConversion"/>
  </si>
  <si>
    <t>Cu ug/l Mettresket SVA57 gjennomsnitt</t>
    <phoneticPr fontId="8" type="noConversion"/>
  </si>
  <si>
    <t>&lt;0.007</t>
    <phoneticPr fontId="8" type="noConversion"/>
  </si>
  <si>
    <t>pH</t>
    <phoneticPr fontId="8" type="noConversion"/>
  </si>
  <si>
    <t>Sulfate</t>
    <phoneticPr fontId="8" type="noConversion"/>
  </si>
  <si>
    <t>Chloride</t>
    <phoneticPr fontId="8" type="noConversion"/>
  </si>
  <si>
    <t>NO3</t>
    <phoneticPr fontId="8" type="noConversion"/>
  </si>
  <si>
    <t>NH4</t>
    <phoneticPr fontId="8" type="noConversion"/>
  </si>
  <si>
    <t>NH3</t>
    <phoneticPr fontId="8" type="noConversion"/>
  </si>
  <si>
    <t>Cu</t>
    <phoneticPr fontId="8" type="noConversion"/>
  </si>
  <si>
    <t>Zn</t>
    <phoneticPr fontId="8" type="noConversion"/>
  </si>
  <si>
    <t>Rainwater quality</t>
    <phoneticPr fontId="8" type="noConversion"/>
  </si>
  <si>
    <t>RAINWATER</t>
    <phoneticPr fontId="8" type="noConversion"/>
  </si>
  <si>
    <t>Rainwater volum</t>
    <phoneticPr fontId="8" type="noConversion"/>
  </si>
  <si>
    <t>Pit water Volume operation</t>
    <phoneticPr fontId="8" type="noConversion"/>
  </si>
  <si>
    <t>April</t>
    <phoneticPr fontId="8" type="noConversion"/>
  </si>
  <si>
    <t>Mai</t>
    <phoneticPr fontId="8" type="noConversion"/>
  </si>
  <si>
    <t>Juni</t>
    <phoneticPr fontId="8" type="noConversion"/>
  </si>
  <si>
    <t>Juli</t>
    <phoneticPr fontId="8" type="noConversion"/>
  </si>
  <si>
    <t>August</t>
    <phoneticPr fontId="8" type="noConversion"/>
  </si>
  <si>
    <t>September</t>
    <phoneticPr fontId="8" type="noConversion"/>
  </si>
  <si>
    <t>Oktober</t>
    <phoneticPr fontId="8" type="noConversion"/>
  </si>
  <si>
    <t>Mm3/sommar</t>
    <phoneticPr fontId="8" type="noConversion"/>
  </si>
  <si>
    <t>Alt 0 Resipient , Cu conc.</t>
    <phoneticPr fontId="8" type="noConversion"/>
  </si>
  <si>
    <t>Alt 0 Resipient NH4 conc.</t>
    <phoneticPr fontId="8" type="noConversion"/>
  </si>
  <si>
    <t>Cu kg/y</t>
    <phoneticPr fontId="8" type="noConversion"/>
  </si>
  <si>
    <t>NH4 kg/y</t>
    <phoneticPr fontId="8" type="noConversion"/>
  </si>
  <si>
    <t>Cu</t>
  </si>
  <si>
    <t>Mo</t>
  </si>
  <si>
    <t>Ni</t>
  </si>
  <si>
    <t>Pb</t>
  </si>
  <si>
    <t>nd</t>
    <phoneticPr fontId="8" type="noConversion"/>
  </si>
  <si>
    <t>Mertainen Gruvberget</t>
  </si>
  <si>
    <t>Leveaniemi 75 um</t>
  </si>
  <si>
    <t>Kiruna</t>
  </si>
  <si>
    <t>kg/Mton</t>
  </si>
  <si>
    <t>na</t>
  </si>
  <si>
    <t>NH4-N*</t>
  </si>
  <si>
    <t>Zn</t>
  </si>
  <si>
    <t>nd</t>
  </si>
  <si>
    <t>Hg</t>
  </si>
  <si>
    <t>SVA63</t>
    <phoneticPr fontId="8" type="noConversion"/>
  </si>
  <si>
    <t>Mettresk</t>
    <phoneticPr fontId="8" type="noConversion"/>
  </si>
  <si>
    <t>Från upplag sidoberg till sedimentationsdamm</t>
  </si>
  <si>
    <t>N-tot in till upplag sidoberg [kg/år]</t>
  </si>
  <si>
    <t>3a. Andel totalkväve som blir kvar på lång sikt i upplaget [%]</t>
  </si>
  <si>
    <t>Påvirkning av Mettresket vattenkvalitet</t>
    <phoneticPr fontId="8" type="noConversion"/>
  </si>
  <si>
    <t>2B</t>
    <phoneticPr fontId="8" type="noConversion"/>
  </si>
  <si>
    <t>2B.1</t>
    <phoneticPr fontId="8" type="noConversion"/>
  </si>
  <si>
    <t>2B.1.a</t>
    <phoneticPr fontId="8" type="noConversion"/>
  </si>
  <si>
    <t>2B.1.b</t>
    <phoneticPr fontId="8" type="noConversion"/>
  </si>
  <si>
    <t>Grundvatten</t>
    <phoneticPr fontId="8" type="noConversion"/>
  </si>
  <si>
    <t>2B.2</t>
    <phoneticPr fontId="8" type="noConversion"/>
  </si>
  <si>
    <t>N-tot in till länshållningsvatten [kg/år]</t>
    <phoneticPr fontId="8" type="noConversion"/>
  </si>
  <si>
    <t>N-tot med anrikningsrågods ut ur systemet [%]</t>
    <phoneticPr fontId="8" type="noConversion"/>
  </si>
  <si>
    <t>Mertainen info (Bergab)</t>
  </si>
  <si>
    <t>Sommarflødet m3/år</t>
    <phoneticPr fontId="8" type="noConversion"/>
  </si>
  <si>
    <t>Andel NH4-N av N-tot länshållningsvatten. [%]</t>
    <phoneticPr fontId="8" type="noConversion"/>
  </si>
  <si>
    <t>N-tot lensholdningsvatten [kg/år]</t>
    <phoneticPr fontId="8" type="noConversion"/>
  </si>
  <si>
    <t>NH4-N [kg/år] Lensholdningsvatten</t>
    <phoneticPr fontId="8" type="noConversion"/>
  </si>
  <si>
    <t>Anrikningsavfall och processvatten går ochså til sedimentasjonsdamm</t>
    <phoneticPr fontId="8" type="noConversion"/>
  </si>
  <si>
    <t>Ore processing Mertainen</t>
  </si>
  <si>
    <t>Fine tailings</t>
  </si>
  <si>
    <t>Concentrate (pellets)</t>
  </si>
  <si>
    <t>Coarse waste first separation</t>
  </si>
  <si>
    <t>Kiruna Ore (no coarse separation)</t>
    <phoneticPr fontId="8" type="noConversion"/>
  </si>
  <si>
    <t>Processing plant loss</t>
  </si>
  <si>
    <t>Lensholdningsvatten NH3-N (mg/l)</t>
    <phoneticPr fontId="8" type="noConversion"/>
  </si>
  <si>
    <t>FRA BERGAB</t>
    <phoneticPr fontId="8" type="noConversion"/>
  </si>
  <si>
    <t>pH i Lensholdningsvatten</t>
    <phoneticPr fontId="8" type="noConversion"/>
  </si>
  <si>
    <t>NH3 [mg/l]=</t>
  </si>
  <si>
    <t>Regnvatten</t>
    <phoneticPr fontId="8" type="noConversion"/>
  </si>
  <si>
    <t>As</t>
    <phoneticPr fontId="8" type="noConversion"/>
  </si>
  <si>
    <t>mg/kg</t>
  </si>
  <si>
    <t>Net Rainwater</t>
    <phoneticPr fontId="8" type="noConversion"/>
  </si>
  <si>
    <t>kg/year</t>
    <phoneticPr fontId="8" type="noConversion"/>
  </si>
  <si>
    <t>mg/m2/year</t>
    <phoneticPr fontId="8" type="noConversion"/>
  </si>
  <si>
    <t>&lt;0.0002</t>
    <phoneticPr fontId="8" type="noConversion"/>
  </si>
  <si>
    <t>&lt;0.006</t>
    <phoneticPr fontId="8" type="noConversion"/>
  </si>
  <si>
    <t>Inert Avfall</t>
    <phoneticPr fontId="8" type="noConversion"/>
  </si>
  <si>
    <t>L/S 2</t>
    <phoneticPr fontId="8" type="noConversion"/>
  </si>
  <si>
    <t>L/S10</t>
    <phoneticPr fontId="8" type="noConversion"/>
  </si>
  <si>
    <t>&lt;0.0004</t>
    <phoneticPr fontId="8" type="noConversion"/>
  </si>
  <si>
    <t>&lt;0.02</t>
    <phoneticPr fontId="8" type="noConversion"/>
  </si>
  <si>
    <t>&lt;25</t>
    <phoneticPr fontId="8" type="noConversion"/>
  </si>
  <si>
    <t>&lt;14</t>
    <phoneticPr fontId="8" type="noConversion"/>
  </si>
  <si>
    <t>&lt;10</t>
    <phoneticPr fontId="8" type="noConversion"/>
  </si>
  <si>
    <t>&lt;2</t>
    <phoneticPr fontId="8" type="noConversion"/>
  </si>
  <si>
    <t>Groundwater</t>
    <phoneticPr fontId="8" type="noConversion"/>
  </si>
  <si>
    <t>surface area for leaching</t>
    <phoneticPr fontId="8" type="noConversion"/>
  </si>
  <si>
    <t>Avrenning fra diken</t>
    <phoneticPr fontId="8" type="noConversion"/>
  </si>
  <si>
    <t>GROUNDWATER DISCHARGE</t>
    <phoneticPr fontId="8" type="noConversion"/>
  </si>
  <si>
    <t>m3/y</t>
    <phoneticPr fontId="8" type="noConversion"/>
  </si>
  <si>
    <t>pH</t>
    <phoneticPr fontId="8" type="noConversion"/>
  </si>
  <si>
    <t>Alk</t>
    <phoneticPr fontId="8" type="noConversion"/>
  </si>
  <si>
    <t>Kond.</t>
    <phoneticPr fontId="8" type="noConversion"/>
  </si>
  <si>
    <t>Cl</t>
    <phoneticPr fontId="8" type="noConversion"/>
  </si>
  <si>
    <t>SO4</t>
    <phoneticPr fontId="8" type="noConversion"/>
  </si>
  <si>
    <t>As</t>
    <phoneticPr fontId="8" type="noConversion"/>
  </si>
  <si>
    <t>Ba</t>
    <phoneticPr fontId="8" type="noConversion"/>
  </si>
  <si>
    <t>Cd</t>
    <phoneticPr fontId="8" type="noConversion"/>
  </si>
  <si>
    <t>Cr</t>
    <phoneticPr fontId="8" type="noConversion"/>
  </si>
  <si>
    <t>Grundvannte BergAB20130906</t>
    <phoneticPr fontId="8" type="noConversion"/>
  </si>
  <si>
    <t>UNIT</t>
  </si>
  <si>
    <t>FLOW  dry</t>
  </si>
  <si>
    <t>Mm3/year</t>
  </si>
  <si>
    <t>FLOW  norm</t>
  </si>
  <si>
    <t>FLOW  wet</t>
  </si>
  <si>
    <t>HOLDING Mm3</t>
  </si>
  <si>
    <t>Leveaniemi</t>
  </si>
  <si>
    <t>Ditch, SW to Mettresk</t>
  </si>
  <si>
    <t>Ditch, SE to oil-separation</t>
  </si>
  <si>
    <t>LUUKAJOKI</t>
    <phoneticPr fontId="8" type="noConversion"/>
  </si>
  <si>
    <t>SVA13</t>
    <phoneticPr fontId="8" type="noConversion"/>
  </si>
  <si>
    <t>Vattenföring i recipient uppströms avbördningspunkt från verksamheten [m3/s]</t>
  </si>
  <si>
    <t>Unodata: SVA69-upplagsvatten-länshållningsvatten. Antar övrigt vatten håller bakgrundskoncentrationen i Mertaseno</t>
  </si>
  <si>
    <t>Bakgrundskonc NH4-N i recipient [mg/l]</t>
  </si>
  <si>
    <t>Kvot NH4-N/N-tot ut från sedimentationsdamm [%]</t>
  </si>
  <si>
    <t>Resulterande massflöde NH4-N till recipient [kg/år]</t>
  </si>
  <si>
    <t>Riktvärde laxvatten [mg/l]</t>
  </si>
  <si>
    <t>Gränsvärde laxvatten [mg/l]</t>
  </si>
  <si>
    <t>Björn Winnerstam, 20121127</t>
  </si>
  <si>
    <t>Data från TB 2012-07-06, basert på 15.5 Mton/år malm och 11 Mton/år sidoberg.  Vinterperiode med frost, uten avrenning satt til 5 mnd/år</t>
    <phoneticPr fontId="8" type="noConversion"/>
  </si>
  <si>
    <t>Malm (Mton/år)</t>
    <phoneticPr fontId="8" type="noConversion"/>
  </si>
  <si>
    <t>Sidoberg  (Mton/år)</t>
    <phoneticPr fontId="8" type="noConversion"/>
  </si>
  <si>
    <t>Spillt kväve inn i systemet [kg/år]</t>
    <phoneticPr fontId="8" type="noConversion"/>
  </si>
  <si>
    <t>1860 kg/sommer</t>
    <phoneticPr fontId="8" type="noConversion"/>
  </si>
  <si>
    <t>Year 10</t>
    <phoneticPr fontId="8" type="noConversion"/>
  </si>
  <si>
    <t>Year 11</t>
    <phoneticPr fontId="8" type="noConversion"/>
  </si>
  <si>
    <t>Year 12</t>
    <phoneticPr fontId="8" type="noConversion"/>
  </si>
  <si>
    <t>Year 13</t>
    <phoneticPr fontId="8" type="noConversion"/>
  </si>
  <si>
    <t>Year 14</t>
    <phoneticPr fontId="8" type="noConversion"/>
  </si>
  <si>
    <t>Year 15</t>
    <phoneticPr fontId="8" type="noConversion"/>
  </si>
  <si>
    <t>Cu</t>
    <phoneticPr fontId="8" type="noConversion"/>
  </si>
  <si>
    <t>NH4</t>
    <phoneticPr fontId="8" type="noConversion"/>
  </si>
  <si>
    <t>ug/l</t>
    <phoneticPr fontId="8" type="noConversion"/>
  </si>
  <si>
    <t>mg/l</t>
    <phoneticPr fontId="8" type="noConversion"/>
  </si>
  <si>
    <t>Year</t>
    <phoneticPr fontId="8" type="noConversion"/>
  </si>
  <si>
    <t xml:space="preserve">Ditch, SE </t>
    <phoneticPr fontId="8" type="noConversion"/>
  </si>
  <si>
    <t xml:space="preserve">Loss  pellizing </t>
    <phoneticPr fontId="8" type="noConversion"/>
  </si>
  <si>
    <t xml:space="preserve">dams from Process </t>
    <phoneticPr fontId="8" type="noConversion"/>
  </si>
  <si>
    <t xml:space="preserve">P2 to process </t>
    <phoneticPr fontId="8" type="noConversion"/>
  </si>
  <si>
    <t>2A.1</t>
    <phoneticPr fontId="8" type="noConversion"/>
  </si>
  <si>
    <t>2A.1.a</t>
    <phoneticPr fontId="8" type="noConversion"/>
  </si>
  <si>
    <t>2A.1.b</t>
    <phoneticPr fontId="8" type="noConversion"/>
  </si>
  <si>
    <t>Avrenning fra diken(basert på historiske data)</t>
    <phoneticPr fontId="8" type="noConversion"/>
  </si>
  <si>
    <t>2A</t>
    <phoneticPr fontId="8" type="noConversion"/>
  </si>
  <si>
    <t>&lt;0.01</t>
    <phoneticPr fontId="8" type="noConversion"/>
  </si>
  <si>
    <t>&lt;0.08</t>
    <phoneticPr fontId="8" type="noConversion"/>
  </si>
  <si>
    <t>&lt;0.23</t>
    <phoneticPr fontId="8" type="noConversion"/>
  </si>
  <si>
    <t>&lt;0.1</t>
    <phoneticPr fontId="8" type="noConversion"/>
  </si>
  <si>
    <t>&lt;0.004</t>
    <phoneticPr fontId="8" type="noConversion"/>
  </si>
  <si>
    <t>Co</t>
    <phoneticPr fontId="8" type="noConversion"/>
  </si>
  <si>
    <t xml:space="preserve">Vattenkvalitetsforandring i klarvattenreservoaret </t>
    <phoneticPr fontId="8" type="noConversion"/>
  </si>
  <si>
    <t>Normalår från verket 3.4 MT</t>
    <phoneticPr fontId="8" type="noConversion"/>
  </si>
  <si>
    <t>Grundvatten 2010 - Miljøbyrån 2010</t>
    <phoneticPr fontId="8" type="noConversion"/>
  </si>
  <si>
    <t>Regnvann SWECO 2012</t>
    <phoneticPr fontId="8" type="noConversion"/>
  </si>
  <si>
    <t>Grundvatten - bottom nytt Leveniemi, Bergab2012</t>
    <phoneticPr fontId="8" type="noConversion"/>
  </si>
  <si>
    <t>Se</t>
    <phoneticPr fontId="8" type="noConversion"/>
  </si>
  <si>
    <t>DOC</t>
    <phoneticPr fontId="8" type="noConversion"/>
  </si>
  <si>
    <t>F</t>
    <phoneticPr fontId="8" type="noConversion"/>
  </si>
  <si>
    <t>Alt 2, 4.5Mt Mettresket NH4 conc.</t>
    <phoneticPr fontId="8" type="noConversion"/>
  </si>
  <si>
    <t>Alt 2, 4.5Mt Mettresket , Cu conc.</t>
    <phoneticPr fontId="8" type="noConversion"/>
  </si>
  <si>
    <t>Alt 2, 3.4Mt Mettresket NH4 conc.</t>
    <phoneticPr fontId="8" type="noConversion"/>
  </si>
  <si>
    <t>Alt 2, 3.4MT Mettresket , Cu conc.</t>
    <phoneticPr fontId="8" type="noConversion"/>
  </si>
  <si>
    <t xml:space="preserve">Antar at det brukes like my sprengemne for sidoberg som malm.  Fordeling sidoberg-malm gir sprengmeldel rest til fordeling.   Antar at all sprengmedel går til sideberg opplåg och malmprocesseringen. </t>
    <phoneticPr fontId="8" type="noConversion"/>
  </si>
  <si>
    <t>Total/år</t>
    <phoneticPr fontId="8" type="noConversion"/>
  </si>
  <si>
    <t>Sprängmedelsförbrukning [ton/år]</t>
  </si>
  <si>
    <t>MQ</t>
  </si>
  <si>
    <t>MLQ</t>
  </si>
  <si>
    <t>grunnvatten</t>
    <phoneticPr fontId="8" type="noConversion"/>
  </si>
  <si>
    <t>sommer</t>
    <phoneticPr fontId="8" type="noConversion"/>
  </si>
  <si>
    <t xml:space="preserve"> Summer Mean NH4   conc./year</t>
    <phoneticPr fontId="8" type="noConversion"/>
  </si>
  <si>
    <t>mg/l</t>
    <phoneticPr fontId="8" type="noConversion"/>
  </si>
  <si>
    <t>NO LAKE Lake  con.</t>
    <phoneticPr fontId="8" type="noConversion"/>
  </si>
  <si>
    <t>NO LAKE Lake volume</t>
    <phoneticPr fontId="8" type="noConversion"/>
  </si>
  <si>
    <t xml:space="preserve"> Mean summer Copper  conc./year</t>
    <phoneticPr fontId="8" type="noConversion"/>
  </si>
  <si>
    <t>Cu ug/l recipient</t>
    <phoneticPr fontId="8" type="noConversion"/>
  </si>
  <si>
    <t>mg/l</t>
    <phoneticPr fontId="8" type="noConversion"/>
  </si>
  <si>
    <t>ug/l</t>
    <phoneticPr fontId="8" type="noConversion"/>
  </si>
  <si>
    <t>NH4 mg/l</t>
    <phoneticPr fontId="8" type="noConversion"/>
  </si>
  <si>
    <t>UNITS</t>
  </si>
  <si>
    <t xml:space="preserve">Current </t>
  </si>
  <si>
    <t>3.4 prod.</t>
  </si>
  <si>
    <t>Mton/year</t>
  </si>
  <si>
    <t xml:space="preserve">3.8 prod. </t>
  </si>
  <si>
    <t>planned</t>
  </si>
  <si>
    <t>4.5 prod.</t>
  </si>
  <si>
    <t>Wall rocks from Leveaniemi incl. coarse</t>
  </si>
  <si>
    <t>Wall rocks from Gruvberget incl. coarse</t>
  </si>
  <si>
    <t xml:space="preserve">Ore processing Gruvberget </t>
  </si>
  <si>
    <t>Rågodsmängd</t>
  </si>
  <si>
    <t>Avfall primärseparatorer</t>
  </si>
  <si>
    <t>Avfall sekundärseparatorer</t>
  </si>
  <si>
    <t>Avfall flotation</t>
  </si>
  <si>
    <t>Avfall pelletsverk (i spillvatten)</t>
  </si>
  <si>
    <t>Överkapacitet</t>
  </si>
  <si>
    <t>PRODUKTIONSTAKT</t>
  </si>
  <si>
    <t>SPC från SA (inkl 3,1 % tillsatsmedel</t>
  </si>
  <si>
    <t>Prima Pellets</t>
  </si>
  <si>
    <t>Sekunda Pellets</t>
  </si>
  <si>
    <t>Fra Ola Hansson, 30.09.2013</t>
    <phoneticPr fontId="8" type="noConversion"/>
  </si>
  <si>
    <t>70% ME + 30% GB</t>
    <phoneticPr fontId="8" type="noConversion"/>
  </si>
  <si>
    <t>NIVÅ</t>
    <phoneticPr fontId="8" type="noConversion"/>
  </si>
  <si>
    <t>L/s</t>
    <phoneticPr fontId="8" type="noConversion"/>
  </si>
  <si>
    <t>Avrenning fra gruven (som Alt. 0)</t>
  </si>
  <si>
    <t>Leptite</t>
    <phoneticPr fontId="8" type="noConversion"/>
  </si>
  <si>
    <t>Diabase</t>
    <phoneticPr fontId="8" type="noConversion"/>
  </si>
  <si>
    <t>Biotiteskifer</t>
    <phoneticPr fontId="8" type="noConversion"/>
  </si>
  <si>
    <t>TS efter siktning</t>
    <phoneticPr fontId="8" type="noConversion"/>
  </si>
  <si>
    <t>Invegning</t>
    <phoneticPr fontId="8" type="noConversion"/>
  </si>
  <si>
    <t>Volym tilsatt</t>
    <phoneticPr fontId="8" type="noConversion"/>
  </si>
  <si>
    <t>Volym efter filtr. L/S2</t>
    <phoneticPr fontId="8" type="noConversion"/>
  </si>
  <si>
    <t>Cd</t>
    <phoneticPr fontId="8" type="noConversion"/>
  </si>
  <si>
    <t>Hg</t>
    <phoneticPr fontId="8" type="noConversion"/>
  </si>
  <si>
    <t>Mo</t>
    <phoneticPr fontId="8" type="noConversion"/>
  </si>
  <si>
    <t>Ni</t>
    <phoneticPr fontId="8" type="noConversion"/>
  </si>
  <si>
    <t>Pb</t>
    <phoneticPr fontId="8" type="noConversion"/>
  </si>
  <si>
    <t>Sb</t>
    <phoneticPr fontId="8" type="noConversion"/>
  </si>
  <si>
    <t>Mass Loading</t>
    <phoneticPr fontId="8" type="noConversion"/>
  </si>
  <si>
    <t>Mm3/y</t>
    <phoneticPr fontId="8" type="noConversion"/>
  </si>
  <si>
    <t>YEAR</t>
    <phoneticPr fontId="8" type="noConversion"/>
  </si>
  <si>
    <t>Groundwater contribution</t>
    <phoneticPr fontId="8" type="noConversion"/>
  </si>
  <si>
    <t>Pb</t>
    <phoneticPr fontId="8" type="noConversion"/>
  </si>
  <si>
    <t>Sr</t>
    <phoneticPr fontId="8" type="noConversion"/>
  </si>
  <si>
    <t>V</t>
    <phoneticPr fontId="8" type="noConversion"/>
  </si>
  <si>
    <t>Zn</t>
    <phoneticPr fontId="8" type="noConversion"/>
  </si>
  <si>
    <t>P-tot</t>
    <phoneticPr fontId="8" type="noConversion"/>
  </si>
  <si>
    <t>N-tot</t>
    <phoneticPr fontId="8" type="noConversion"/>
  </si>
  <si>
    <t>mmol/l</t>
    <phoneticPr fontId="8" type="noConversion"/>
  </si>
  <si>
    <t>mS/l</t>
    <phoneticPr fontId="8" type="noConversion"/>
  </si>
  <si>
    <t>ug/l</t>
    <phoneticPr fontId="8" type="noConversion"/>
  </si>
  <si>
    <t>&lt;0.005</t>
    <phoneticPr fontId="8" type="noConversion"/>
  </si>
  <si>
    <t>Cu</t>
    <phoneticPr fontId="8" type="noConversion"/>
  </si>
  <si>
    <t>Hg</t>
    <phoneticPr fontId="8" type="noConversion"/>
  </si>
  <si>
    <t>Mo</t>
    <phoneticPr fontId="8" type="noConversion"/>
  </si>
  <si>
    <t>Ni</t>
    <phoneticPr fontId="8" type="noConversion"/>
  </si>
  <si>
    <t>SVA24</t>
    <phoneticPr fontId="8" type="noConversion"/>
  </si>
  <si>
    <t>SVA49&amp;50</t>
    <phoneticPr fontId="8" type="noConversion"/>
  </si>
  <si>
    <t>LIUKATTIJOKI</t>
    <phoneticPr fontId="8" type="noConversion"/>
  </si>
  <si>
    <t>&lt;0.002</t>
    <phoneticPr fontId="8" type="noConversion"/>
  </si>
  <si>
    <t>&lt;0.01</t>
    <phoneticPr fontId="8" type="noConversion"/>
  </si>
  <si>
    <t>recipient</t>
  </si>
  <si>
    <t>Massflöde N-tot in till sedimentationsdamm [kg/år]</t>
  </si>
  <si>
    <t>Massflöde NH4-N in till sedimentationsdamm [kg/år]</t>
  </si>
  <si>
    <t xml:space="preserve"> Andel NH4-N av N-tot inkommande vatten till sedimentationsdamm. [%]</t>
  </si>
  <si>
    <t>Reduktion av kvot NH4-N/N-tot  i sedimentationsdammar [%]</t>
  </si>
  <si>
    <t>Production Mton</t>
    <phoneticPr fontId="8" type="noConversion"/>
  </si>
  <si>
    <t>Cu/Mton proc</t>
    <phoneticPr fontId="8" type="noConversion"/>
  </si>
  <si>
    <t>Tailings</t>
    <phoneticPr fontId="8" type="noConversion"/>
  </si>
  <si>
    <t>Loss from pellizing plants</t>
    <phoneticPr fontId="8" type="noConversion"/>
  </si>
  <si>
    <t>Losses</t>
    <phoneticPr fontId="8" type="noConversion"/>
  </si>
  <si>
    <t>Gains</t>
    <phoneticPr fontId="8" type="noConversion"/>
  </si>
  <si>
    <t>Year 1</t>
    <phoneticPr fontId="8" type="noConversion"/>
  </si>
  <si>
    <t xml:space="preserve">HOLDING </t>
    <phoneticPr fontId="8" type="noConversion"/>
  </si>
  <si>
    <t>Mm3</t>
  </si>
  <si>
    <t>add/year</t>
    <phoneticPr fontId="8" type="noConversion"/>
  </si>
  <si>
    <t>mg/kg</t>
    <phoneticPr fontId="8" type="noConversion"/>
  </si>
  <si>
    <t>NH4</t>
    <phoneticPr fontId="8" type="noConversion"/>
  </si>
  <si>
    <t>COBALT</t>
    <phoneticPr fontId="8" type="noConversion"/>
  </si>
  <si>
    <t>COBALT</t>
    <phoneticPr fontId="8" type="noConversion"/>
  </si>
  <si>
    <t>NICKEL</t>
    <phoneticPr fontId="8" type="noConversion"/>
  </si>
  <si>
    <t>Mm3/y</t>
    <phoneticPr fontId="8" type="noConversion"/>
  </si>
  <si>
    <t xml:space="preserve">FLOW  N </t>
    <phoneticPr fontId="8" type="noConversion"/>
  </si>
  <si>
    <t>Year 2</t>
    <phoneticPr fontId="8" type="noConversion"/>
  </si>
  <si>
    <t>Year 3</t>
    <phoneticPr fontId="8" type="noConversion"/>
  </si>
  <si>
    <t>Year 4</t>
    <phoneticPr fontId="8" type="noConversion"/>
  </si>
  <si>
    <t>Year 5</t>
    <phoneticPr fontId="8" type="noConversion"/>
  </si>
  <si>
    <t>Year 6</t>
    <phoneticPr fontId="8" type="noConversion"/>
  </si>
  <si>
    <t>Year 7</t>
    <phoneticPr fontId="8" type="noConversion"/>
  </si>
  <si>
    <t>Year 8</t>
    <phoneticPr fontId="8" type="noConversion"/>
  </si>
  <si>
    <t>Year 9</t>
    <phoneticPr fontId="8" type="noConversion"/>
  </si>
  <si>
    <t>Linear surface area for leaching</t>
    <phoneticPr fontId="8" type="noConversion"/>
  </si>
  <si>
    <t>Neg. Expon. surface area for leaching</t>
    <phoneticPr fontId="8" type="noConversion"/>
  </si>
  <si>
    <t>Ratio GW change</t>
    <phoneticPr fontId="8" type="noConversion"/>
  </si>
  <si>
    <t>GW-ratio surface leaching</t>
    <phoneticPr fontId="8" type="noConversion"/>
  </si>
  <si>
    <t>CHLORIDE</t>
    <phoneticPr fontId="8" type="noConversion"/>
  </si>
  <si>
    <t>7 months</t>
    <phoneticPr fontId="8" type="noConversion"/>
  </si>
  <si>
    <t>5 months</t>
    <phoneticPr fontId="8" type="noConversion"/>
  </si>
  <si>
    <t>Sesonly discharge</t>
    <phoneticPr fontId="8" type="noConversion"/>
  </si>
  <si>
    <t>roll leach</t>
    <phoneticPr fontId="8" type="noConversion"/>
  </si>
  <si>
    <t>NO3-N</t>
    <phoneticPr fontId="8" type="noConversion"/>
  </si>
  <si>
    <t>NH4-N</t>
    <phoneticPr fontId="8" type="noConversion"/>
  </si>
  <si>
    <t>NH4/NO3</t>
    <phoneticPr fontId="8" type="noConversion"/>
  </si>
  <si>
    <t>Metresket</t>
    <phoneticPr fontId="8" type="noConversion"/>
  </si>
  <si>
    <t>Metresk/leach</t>
    <phoneticPr fontId="8" type="noConversion"/>
  </si>
  <si>
    <t>grunnvatten</t>
    <phoneticPr fontId="8" type="noConversion"/>
  </si>
  <si>
    <t>Grundvatten</t>
    <phoneticPr fontId="8" type="noConversion"/>
  </si>
  <si>
    <t>2A.2</t>
    <phoneticPr fontId="8" type="noConversion"/>
  </si>
  <si>
    <t xml:space="preserve">Vattenkvalitetsforandring i klarningsbassenget </t>
    <phoneticPr fontId="8" type="noConversion"/>
  </si>
  <si>
    <t>2A.3</t>
    <phoneticPr fontId="8" type="noConversion"/>
  </si>
  <si>
    <t>2A.4</t>
    <phoneticPr fontId="8" type="noConversion"/>
  </si>
  <si>
    <t>ground water</t>
    <phoneticPr fontId="8" type="noConversion"/>
  </si>
  <si>
    <t>Ground water contribution</t>
    <phoneticPr fontId="8" type="noConversion"/>
  </si>
  <si>
    <t>Groundwater</t>
    <phoneticPr fontId="8" type="noConversion"/>
  </si>
  <si>
    <t>Mm3</t>
    <phoneticPr fontId="8" type="noConversion"/>
  </si>
  <si>
    <t>Regnvann Miljøbyrån 2010</t>
    <phoneticPr fontId="8" type="noConversion"/>
  </si>
  <si>
    <t>Grundvatten 1983 - Miljøbyrån 2010</t>
    <phoneticPr fontId="8" type="noConversion"/>
  </si>
  <si>
    <t>Från upplag sidoberg till sedimentationsdamm N-tot [kg /år]</t>
  </si>
  <si>
    <t>Sedimentationsdammar</t>
  </si>
  <si>
    <t>Urtvättning av kväve från upplag anrikningsrågods [% - av med materialet upplagt N-tot]</t>
  </si>
  <si>
    <t>Upplag anrikningsrågods ca en vecka i genomsnitt (plats finns för detta). Upplag för malm bara i genomsnitt max en dag (försummas därför).</t>
  </si>
  <si>
    <t>Från upplag sovringsavfall till sedimentationsdamm N-tot [kg /år]</t>
  </si>
  <si>
    <t>N-tot ut till sed.damm [kg/år]</t>
  </si>
  <si>
    <t>NH4-N [kg/år] ut till sed.damm</t>
  </si>
  <si>
    <t>Från upplag sovringsavfall till sedimentationsdamm</t>
  </si>
  <si>
    <t>N-tot in till upplag sovringsavfall [kg/år]</t>
  </si>
  <si>
    <t>2a. Andel totalkväve som blir kvar på lång sikt i upplaget [%]</t>
  </si>
  <si>
    <t>2b. Andel av lakvatten som transporteras diffust under dike och vidare (gv-bildning till berg samt grundvatten i jord under dikesbotten). [%]</t>
  </si>
  <si>
    <t>2c. Andel NH4-N av N-tot ut till uppsamlingsdike vid upplagsfot. [%]</t>
  </si>
  <si>
    <t>2.4 mg/l NH3</t>
    <phoneticPr fontId="8" type="noConversion"/>
  </si>
  <si>
    <t>Nickle add/year</t>
    <phoneticPr fontId="8" type="noConversion"/>
  </si>
  <si>
    <t>Lake Ni con.</t>
    <phoneticPr fontId="8" type="noConversion"/>
  </si>
  <si>
    <t>Co</t>
    <phoneticPr fontId="8" type="noConversion"/>
  </si>
  <si>
    <t>Ni</t>
    <phoneticPr fontId="8" type="noConversion"/>
  </si>
  <si>
    <t>Årsflødet i Liukattijoki m3/år</t>
    <phoneticPr fontId="8" type="noConversion"/>
  </si>
  <si>
    <t>MOLLY</t>
    <phoneticPr fontId="8" type="noConversion"/>
  </si>
  <si>
    <t>SO4</t>
    <phoneticPr fontId="8" type="noConversion"/>
  </si>
  <si>
    <t>Ca</t>
    <phoneticPr fontId="8" type="noConversion"/>
  </si>
  <si>
    <t>Nitrification mg/l</t>
    <phoneticPr fontId="8" type="noConversion"/>
  </si>
  <si>
    <t>Drifttid</t>
  </si>
  <si>
    <t>h/år</t>
  </si>
  <si>
    <t>Rågodsmix</t>
  </si>
  <si>
    <t>100 % ME</t>
  </si>
  <si>
    <t>Produktionstakt SA (magnetit)</t>
  </si>
  <si>
    <t>MT/år</t>
  </si>
  <si>
    <t>Tillsatsmedel</t>
  </si>
  <si>
    <t xml:space="preserve">          pH =  8.100              log fO2 =   -0.610</t>
  </si>
  <si>
    <t xml:space="preserve">          Eh =   0.7408 volts      pe =  12.5231</t>
  </si>
  <si>
    <t xml:space="preserve">          Ionic strength      =    0.010434</t>
  </si>
  <si>
    <t xml:space="preserve">          Activity of water   =    0.999941</t>
  </si>
  <si>
    <t xml:space="preserve">          Solvent mass        =    1.000000 kg</t>
  </si>
  <si>
    <t xml:space="preserve">          Solution mass       =    1.000514 kg</t>
  </si>
  <si>
    <t xml:space="preserve">          Solution density    =    1.013    g/cm3</t>
  </si>
  <si>
    <t>Avrenning fra gruven</t>
  </si>
  <si>
    <t>m2</t>
    <phoneticPr fontId="8" type="noConversion"/>
  </si>
  <si>
    <t>Leveaniemi pit water drainge prediction</t>
    <phoneticPr fontId="8" type="noConversion"/>
  </si>
  <si>
    <t xml:space="preserve"> Mean Copper  conc./year</t>
    <phoneticPr fontId="8" type="noConversion"/>
  </si>
  <si>
    <t>Yearly discharge</t>
    <phoneticPr fontId="8" type="noConversion"/>
  </si>
  <si>
    <t xml:space="preserve">            </t>
    <phoneticPr fontId="8" type="noConversion"/>
  </si>
  <si>
    <t>Bergyte ved nivå 325</t>
    <phoneticPr fontId="8" type="noConversion"/>
  </si>
  <si>
    <t>Bergyte ved nivå 55</t>
    <phoneticPr fontId="8" type="noConversion"/>
  </si>
  <si>
    <t>Leveaniemi pit lake water quality prediction</t>
    <phoneticPr fontId="8" type="noConversion"/>
  </si>
  <si>
    <t>Bergyte ved nivå 325 over vannspeil 2012</t>
    <phoneticPr fontId="8" type="noConversion"/>
  </si>
  <si>
    <t xml:space="preserve">          Rock mass           =    0.000000 kg</t>
  </si>
  <si>
    <t xml:space="preserve">          Carbonate alkalinity=       97.95 mg/kg sol'n as CaCO3</t>
  </si>
  <si>
    <t xml:space="preserve">          Water type          =    Ca-SO4</t>
  </si>
  <si>
    <t xml:space="preserve">  Minerals in system     moles      log moles      grams        volume (cm3)</t>
  </si>
  <si>
    <t xml:space="preserve"> ----------------------------------------------------------------------------</t>
  </si>
  <si>
    <t xml:space="preserve">   Hydroxyapatite          0.0000   -300.000         0.0000          0.0000</t>
  </si>
  <si>
    <t>mg/l</t>
    <phoneticPr fontId="8" type="noConversion"/>
  </si>
  <si>
    <t>&lt;0.011</t>
    <phoneticPr fontId="8" type="noConversion"/>
  </si>
  <si>
    <t>&lt;0.055</t>
    <phoneticPr fontId="8" type="noConversion"/>
  </si>
  <si>
    <t>&lt;0.002</t>
  </si>
  <si>
    <t xml:space="preserve">         ug/l</t>
    <phoneticPr fontId="8" type="noConversion"/>
  </si>
  <si>
    <t xml:space="preserve">       ug/l</t>
    <phoneticPr fontId="8" type="noConversion"/>
  </si>
  <si>
    <t xml:space="preserve">         ug/l</t>
    <phoneticPr fontId="8" type="noConversion"/>
  </si>
  <si>
    <t xml:space="preserve"> Sesonly conc./year</t>
    <phoneticPr fontId="8" type="noConversion"/>
  </si>
  <si>
    <t>Gruvberget</t>
    <phoneticPr fontId="8" type="noConversion"/>
  </si>
  <si>
    <t>ND</t>
    <phoneticPr fontId="8" type="noConversion"/>
  </si>
  <si>
    <t>Mg</t>
    <phoneticPr fontId="8" type="noConversion"/>
  </si>
  <si>
    <t>Na</t>
    <phoneticPr fontId="8" type="noConversion"/>
  </si>
  <si>
    <t>K</t>
    <phoneticPr fontId="8" type="noConversion"/>
  </si>
  <si>
    <t>Lake  con.</t>
    <phoneticPr fontId="8" type="noConversion"/>
  </si>
  <si>
    <t>NICKEL</t>
    <phoneticPr fontId="8" type="noConversion"/>
  </si>
  <si>
    <t>leaching rate roll bottles</t>
    <phoneticPr fontId="8" type="noConversion"/>
  </si>
  <si>
    <t>Cl</t>
    <phoneticPr fontId="8" type="noConversion"/>
  </si>
  <si>
    <t>ZINC</t>
    <phoneticPr fontId="8" type="noConversion"/>
  </si>
  <si>
    <t>Zn</t>
    <phoneticPr fontId="8" type="noConversion"/>
  </si>
  <si>
    <t>GW</t>
    <phoneticPr fontId="8" type="noConversion"/>
  </si>
  <si>
    <t>Leveaniemi</t>
    <phoneticPr fontId="8" type="noConversion"/>
  </si>
  <si>
    <t>nd</t>
    <phoneticPr fontId="8" type="noConversion"/>
  </si>
  <si>
    <t>PIT WATER  2012</t>
    <phoneticPr fontId="8" type="noConversion"/>
  </si>
  <si>
    <t>Cu</t>
    <phoneticPr fontId="8" type="noConversion"/>
  </si>
  <si>
    <t>Mo</t>
    <phoneticPr fontId="8" type="noConversion"/>
  </si>
  <si>
    <t>leaching rate roll bottles</t>
    <phoneticPr fontId="8" type="noConversion"/>
  </si>
  <si>
    <t>ZINC</t>
    <phoneticPr fontId="8" type="noConversion"/>
  </si>
  <si>
    <t>&lt;0.002</t>
    <phoneticPr fontId="8" type="noConversion"/>
  </si>
  <si>
    <t>Cl</t>
    <phoneticPr fontId="8" type="noConversion"/>
  </si>
  <si>
    <t>mg/l</t>
    <phoneticPr fontId="8" type="noConversion"/>
  </si>
  <si>
    <t>Lake  con.</t>
    <phoneticPr fontId="8" type="noConversion"/>
  </si>
  <si>
    <t>mg/l</t>
    <phoneticPr fontId="8" type="noConversion"/>
  </si>
  <si>
    <t>Mm3/year</t>
    <phoneticPr fontId="8" type="noConversion"/>
  </si>
  <si>
    <t>Volum m3</t>
    <phoneticPr fontId="8" type="noConversion"/>
  </si>
  <si>
    <t>Year</t>
    <phoneticPr fontId="8" type="noConversion"/>
  </si>
  <si>
    <t>Net rainfall runnoff /year</t>
    <phoneticPr fontId="8" type="noConversion"/>
  </si>
  <si>
    <t xml:space="preserve">   Mg++                 0.0007163         17.40      0.6861       -3.3085</t>
  </si>
  <si>
    <t xml:space="preserve">   O2(aq)               0.0003086         9.870      1.0027       -3.5094</t>
  </si>
  <si>
    <t xml:space="preserve">   CaSO4                0.0002029         27.61      1.0000       -3.6926</t>
  </si>
  <si>
    <t xml:space="preserve">   NO3-                 0.0001580         9.794      0.8978       -3.8481</t>
  </si>
  <si>
    <t xml:space="preserve">   MgSO4                8.184e-05         9.845      1.0000       -4.0870</t>
  </si>
  <si>
    <t>Leach rate roll bottles</t>
    <phoneticPr fontId="8" type="noConversion"/>
  </si>
  <si>
    <t xml:space="preserve">          ug/l</t>
    <phoneticPr fontId="8" type="noConversion"/>
  </si>
  <si>
    <t xml:space="preserve">         ug/l</t>
    <phoneticPr fontId="8" type="noConversion"/>
  </si>
  <si>
    <t xml:space="preserve">           ug/l</t>
    <phoneticPr fontId="8" type="noConversion"/>
  </si>
  <si>
    <t xml:space="preserve">      ug/l</t>
    <phoneticPr fontId="8" type="noConversion"/>
  </si>
  <si>
    <t>Total storage</t>
    <phoneticPr fontId="8" type="noConversion"/>
  </si>
  <si>
    <t>Cu           ug/l</t>
    <phoneticPr fontId="8" type="noConversion"/>
  </si>
  <si>
    <t>NH mg/l Mettresket SVA57 gjennomsnitt</t>
    <phoneticPr fontId="8" type="noConversion"/>
  </si>
  <si>
    <t>Leveaniemi Pit  pump</t>
    <phoneticPr fontId="8" type="noConversion"/>
  </si>
  <si>
    <t>3c. Andel NH4-N av N-tot ut till uppsamlingsdike vid upplagsfot. [%]</t>
  </si>
  <si>
    <t xml:space="preserve">   MgHCO3+              9.397e-06        0.8014      0.9007       -5.0724</t>
  </si>
  <si>
    <t xml:space="preserve">   CaCl+                8.179e-06        0.6175      0.9007       -5.1327</t>
  </si>
  <si>
    <t xml:space="preserve">   NaHCO3               4.727e-06        0.3969      1.0000       -5.3254</t>
  </si>
  <si>
    <t xml:space="preserve">   MgCO3                3.898e-06        0.3285      1.0000       -5.4091</t>
  </si>
  <si>
    <t xml:space="preserve">   OH-                  1.443e-06       0.02453      0.8992       -5.8868</t>
  </si>
  <si>
    <t>Urtvättning av kväve från upplag malm/anrikningsrågods [% - av N-tot] --&gt;sedimentationsdamm via uppsamlingsdike</t>
  </si>
  <si>
    <t>MOLYBDENUM</t>
    <phoneticPr fontId="8" type="noConversion"/>
  </si>
  <si>
    <t>FORMER LAKE WATER</t>
    <phoneticPr fontId="8" type="noConversion"/>
  </si>
  <si>
    <t xml:space="preserve"> Mean   conc./year</t>
    <phoneticPr fontId="8" type="noConversion"/>
  </si>
  <si>
    <t>CHLORIDE Lake con.</t>
    <phoneticPr fontId="8" type="noConversion"/>
  </si>
  <si>
    <t>MOLYBDENUM Lake con.</t>
    <phoneticPr fontId="8" type="noConversion"/>
  </si>
  <si>
    <t xml:space="preserve"> Mean  conc./year</t>
    <phoneticPr fontId="8" type="noConversion"/>
  </si>
  <si>
    <t>ug/l</t>
    <phoneticPr fontId="8" type="noConversion"/>
  </si>
  <si>
    <t>COPPER Lake  conc.</t>
    <phoneticPr fontId="8" type="noConversion"/>
  </si>
  <si>
    <t>Bergyte ved nivå 340 over vannspeil 2170</t>
    <phoneticPr fontId="8" type="noConversion"/>
  </si>
  <si>
    <t>Level</t>
  </si>
  <si>
    <t>Groundwater</t>
  </si>
  <si>
    <t>Rainwater (9 l/s)</t>
  </si>
  <si>
    <t>Total</t>
  </si>
  <si>
    <t>Lake volume</t>
  </si>
  <si>
    <t>Filling time</t>
  </si>
  <si>
    <t>l/s</t>
  </si>
  <si>
    <t>m3/year</t>
  </si>
  <si>
    <t>acc. m3</t>
  </si>
  <si>
    <t>difference m3</t>
  </si>
  <si>
    <t>years</t>
  </si>
  <si>
    <t>acc. Years</t>
  </si>
  <si>
    <t>BERGAB</t>
    <phoneticPr fontId="8" type="noConversion"/>
  </si>
  <si>
    <t>CHLORIDE</t>
    <phoneticPr fontId="8" type="noConversion"/>
  </si>
  <si>
    <t>MOLYBDENUM</t>
    <phoneticPr fontId="8" type="noConversion"/>
  </si>
  <si>
    <t>SO4</t>
    <phoneticPr fontId="8" type="noConversion"/>
  </si>
  <si>
    <t>Ca</t>
    <phoneticPr fontId="8" type="noConversion"/>
  </si>
  <si>
    <t>SULFATE</t>
    <phoneticPr fontId="8" type="noConversion"/>
  </si>
  <si>
    <t>CALCIUM</t>
    <phoneticPr fontId="8" type="noConversion"/>
  </si>
  <si>
    <t>NH4</t>
    <phoneticPr fontId="8" type="noConversion"/>
  </si>
  <si>
    <t>Temperature =  25.0 C    Pressure =  1.013 bars</t>
  </si>
  <si>
    <t xml:space="preserve">   NaCl                 7.835e-08      0.004576      1.0000       -7.1060</t>
  </si>
  <si>
    <t xml:space="preserve">   NaCO3-               7.103e-08      0.005893      0.9007       -7.1940</t>
  </si>
  <si>
    <t xml:space="preserve">   CaOH+                2.820e-08      0.001609      0.9007       -7.5953</t>
  </si>
  <si>
    <t xml:space="preserve">   Mg2CO3++             1.006e-08      0.001092      0.6641       -8.1753</t>
  </si>
  <si>
    <t xml:space="preserve">   H+                   8.700e-09     8.764e-06      0.9130       -8.1000</t>
  </si>
  <si>
    <t xml:space="preserve">          Chlorinity          =    0.001671 molal</t>
  </si>
  <si>
    <t xml:space="preserve">          Dissolved solids    =         514 mg/kg sol'n</t>
  </si>
  <si>
    <t xml:space="preserve">          Elect. conductivity =      676.04 uS/cm (or umho/cm)</t>
  </si>
  <si>
    <t xml:space="preserve">          Hardness            =      253.85 mg/kg sol'n as CaCO3</t>
  </si>
  <si>
    <t xml:space="preserve">            carbonate         =       97.95 mg/kg sol'n as CaCO3</t>
  </si>
  <si>
    <t xml:space="preserve">            non-carbonate     =      155.91 mg/kg sol'n as CaCO3</t>
  </si>
  <si>
    <t xml:space="preserve">   MgHPO4               9.358e-11     1.125e-05      1.0000      -10.0288</t>
  </si>
  <si>
    <t xml:space="preserve">   CaPO4-               4.559e-11     6.153e-06      0.9007      -10.3866</t>
  </si>
  <si>
    <t xml:space="preserve">   H2PO4-               3.316e-11     3.214e-06      0.9007      -10.5249</t>
  </si>
  <si>
    <t xml:space="preserve">   MgPO4-               2.274e-11     2.710e-06      0.9007      -10.6887</t>
  </si>
  <si>
    <t xml:space="preserve">   NaHPO4-              7.673e-12     9.124e-07      0.9007      -11.1605</t>
  </si>
  <si>
    <t xml:space="preserve">   CuCl+                5.033e-12     4.980e-07      0.9007      -11.3436</t>
  </si>
  <si>
    <t xml:space="preserve">   Mg2OH+++             3.065e-12     2.010e-07      0.4279      -11.8823</t>
  </si>
  <si>
    <t xml:space="preserve">   MgH2PO4+             5.148e-13     6.241e-08      0.9007      -12.3338</t>
  </si>
  <si>
    <t xml:space="preserve">   PO4---               3.742e-14     3.552e-09      0.3870      -13.8392</t>
  </si>
  <si>
    <t xml:space="preserve">   CuSO4                1.609e-14     2.567e-09      1.0000      -13.7934</t>
  </si>
  <si>
    <t xml:space="preserve">   CuHPO4               8.546e-15     1.363e-09      1.0000      -14.0683</t>
  </si>
  <si>
    <t xml:space="preserve">   Tenorite                0.0000   -300.000         0.0000          0.0000</t>
  </si>
  <si>
    <t xml:space="preserve">                                               _____________   _____________</t>
  </si>
  <si>
    <t xml:space="preserve">          (total)                                    0.0000          0.0000 </t>
  </si>
  <si>
    <t xml:space="preserve"> ---------------------------------------------------------------------------</t>
  </si>
  <si>
    <t xml:space="preserve">   CuH2PO4+             4.396e-18     7.054e-13      0.9007      -17.4024</t>
  </si>
  <si>
    <t xml:space="preserve">   NO2-                 4.368e-18     2.008e-13      0.8978      -17.4066</t>
  </si>
  <si>
    <t xml:space="preserve">   Cu+                  5.135e-19     3.261e-14      0.8963      -18.3370</t>
  </si>
  <si>
    <t xml:space="preserve">   CuCl2-               9.909e-20     1.332e-14      0.9007      -19.0494</t>
  </si>
  <si>
    <t xml:space="preserve">   CuCl3-               5.617e-20     9.538e-15      0.9007      -19.2960</t>
  </si>
  <si>
    <t xml:space="preserve">   CO2(aq)              3.105e-05         1.366      1.0000       -4.5080</t>
  </si>
  <si>
    <t xml:space="preserve">   CaHCO3+              3.057e-05         3.089      0.9039       -4.5585</t>
  </si>
  <si>
    <t xml:space="preserve">   CaCO3                1.554e-05         1.555      1.0000       -4.8085</t>
  </si>
  <si>
    <t xml:space="preserve">   CO3--                1.454e-05        0.8719      0.6602       -5.0179</t>
  </si>
  <si>
    <t xml:space="preserve">   NaSO4-               1.129e-05         1.344      0.9007       -4.9926</t>
  </si>
  <si>
    <t xml:space="preserve">   P2O7----             2.977e-23     5.176e-18      0.1848      -23.2595</t>
  </si>
  <si>
    <t xml:space="preserve">   N2(aq)               1.374e-23     3.848e-19      1.0000      -22.8619</t>
  </si>
  <si>
    <t xml:space="preserve">   H2P2O7--             6.627e-24     1.165e-18      0.6561      -23.3617</t>
  </si>
  <si>
    <t xml:space="preserve">   CuNO2+               1.352e-24     1.480e-19      0.9007      -23.9145</t>
  </si>
  <si>
    <t xml:space="preserve">   CuCl4--              5.766e-25     1.183e-19      0.6561      -24.4222</t>
  </si>
  <si>
    <t xml:space="preserve">   ClO4-                3.093e-26     3.075e-21      0.8992      -25.5557</t>
  </si>
  <si>
    <t xml:space="preserve">   H3P2O7-              6.073e-30     1.074e-24      0.9007      -29.2620</t>
  </si>
  <si>
    <t xml:space="preserve">   H4P2O7               2.739e-37     4.873e-32      1.0000      -36.5623</t>
  </si>
  <si>
    <t xml:space="preserve">   H2(aq)               4.371e-45     8.807e-42      1.0027      -44.3582</t>
  </si>
  <si>
    <t xml:space="preserve">   Cu(NO2)2             1.117e-46     1.736e-41      1.0000      -45.9521</t>
  </si>
  <si>
    <t xml:space="preserve">   NH4+                 1.218e-66     2.196e-62      0.8963      -65.9619</t>
  </si>
  <si>
    <t xml:space="preserve">   CaNO3+               1.237e-06        0.1262      0.9007       -5.9530</t>
  </si>
  <si>
    <t xml:space="preserve">   MgCl+                1.151e-06       0.06873      0.9007       -5.9844</t>
  </si>
  <si>
    <t xml:space="preserve">   MgOH+                1.112e-07      0.004591      0.9007       -6.9994</t>
  </si>
  <si>
    <t xml:space="preserve">   CuOH+                9.079e-08      0.007310      0.9007       -7.0874</t>
  </si>
  <si>
    <t xml:space="preserve">   Cu(NH3)2++          6.968e-136    6.798e-131      0.6641     -135.3346</t>
  </si>
  <si>
    <t xml:space="preserve">   Cu(NH3)2+           1.070e-137    1.044e-132      0.9007     -137.0162</t>
  </si>
  <si>
    <t xml:space="preserve">   HS-                 4.117e-143    1.361e-138      0.8992     -142.4315</t>
  </si>
  <si>
    <t xml:space="preserve">   H2S(aq)             2.621e-144    8.927e-140      1.0000     -143.5815</t>
  </si>
  <si>
    <t xml:space="preserve">   CH4(aq)             1.085e-148    1.740e-144      1.0027     -147.9632</t>
  </si>
  <si>
    <t xml:space="preserve">   Cu++                 4.420e-09     0.0002807      0.6718       -8.5274</t>
  </si>
  <si>
    <t xml:space="preserve">   NaOH                 1.700e-09     6.797e-05      1.0000       -8.7695</t>
  </si>
  <si>
    <t xml:space="preserve">   HSO4-                8.559e-10     8.304e-05      0.9007       -9.1130</t>
  </si>
  <si>
    <t xml:space="preserve">   HPO4--               3.571e-10     3.426e-05      0.6561       -9.6302</t>
  </si>
  <si>
    <t xml:space="preserve">   CaHPO4               1.268e-10     1.725e-05      1.0000       -9.8968</t>
  </si>
  <si>
    <t xml:space="preserve">   CaCH3COO+           3.016e-158    2.988e-153      0.9007     -157.5660</t>
  </si>
  <si>
    <t xml:space="preserve">   Cu(NH3)3++          3.169e-200    3.631e-195      0.6641     -199.6768</t>
  </si>
  <si>
    <t xml:space="preserve">   S2--                5.694e-255    3.649e-250      0.6561     -254.4276</t>
  </si>
  <si>
    <t xml:space="preserve">   S6--                    0.0000        0.0000      0.6561     -300.0000</t>
  </si>
  <si>
    <t xml:space="preserve">   S5--                    0.0000        0.0000      0.6561     -300.0000</t>
  </si>
  <si>
    <t xml:space="preserve">   S4--                    0.0000        0.0000      0.6561     -300.0000</t>
  </si>
  <si>
    <t xml:space="preserve">   S3--                    0.0000        0.0000      0.6561     -300.0000</t>
  </si>
  <si>
    <t xml:space="preserve">   H2(O-phth)              0.0000        0.0000      1.0000     -300.0000</t>
  </si>
  <si>
    <t xml:space="preserve">   Ca(O-phth)              0.0000        0.0000      1.0000     -300.0000</t>
  </si>
  <si>
    <t xml:space="preserve">   Na(O-phth)-             0.0000        0.0000      0.9007     -300.0000</t>
  </si>
  <si>
    <t xml:space="preserve">   H(O-phth)-              0.0000        0.0000      0.9007     -300.0000</t>
  </si>
  <si>
    <t xml:space="preserve">   CuCl2                1.350e-15     1.814e-10      1.0000      -14.8698</t>
  </si>
  <si>
    <t xml:space="preserve">   CuPO4-               1.196e-16     1.896e-11      0.9007      -15.9676</t>
  </si>
  <si>
    <t xml:space="preserve">   H3PO4                3.332e-17     3.264e-12      1.0000      -16.4773</t>
  </si>
  <si>
    <t xml:space="preserve">   HCl                  9.415e-18     3.431e-13      1.0000      -17.0262</t>
  </si>
  <si>
    <t xml:space="preserve">   Dolomite-ord       1.8163s/sat   Portlandite       -9.3840     </t>
  </si>
  <si>
    <t xml:space="preserve">   Calcite            0.6065s/sat   Hydromagnesite   -10.5990     </t>
  </si>
  <si>
    <t xml:space="preserve">   Aragonite          0.4416s/sat   Mg2Cl(OH)3^4H2O  -11.2524     </t>
  </si>
  <si>
    <t xml:space="preserve">   Dolomite-dis       0.2719s/sat   MgSO4(c)         -11.3362     </t>
  </si>
  <si>
    <t xml:space="preserve">   Hydroxyapatite     0.0000 sat    Bloedite         -12.4180     </t>
  </si>
  <si>
    <t xml:space="preserve">   Mg4(OH)4++++         1.328e-20     2.194e-15      0.2469      -20.4843</t>
  </si>
  <si>
    <t xml:space="preserve">   H2SO4                6.051e-21     5.931e-16      1.0000      -20.2182</t>
  </si>
  <si>
    <t xml:space="preserve">   CuCl3--              3.217e-22     5.462e-17      0.6561      -21.6756</t>
  </si>
  <si>
    <t xml:space="preserve">   HP2O7---             2.831e-22     4.950e-17      0.3870      -21.9604</t>
  </si>
  <si>
    <t xml:space="preserve">   HNO2                 5.178e-23     2.433e-18      1.0000      -22.2859</t>
  </si>
  <si>
    <t xml:space="preserve">   Whitlockite       -2.1795        CaCl2^2H2O       -16.7552     </t>
  </si>
  <si>
    <t xml:space="preserve">   Bassanite         -2.3762        CaCl2^H2O        -16.8899     </t>
  </si>
  <si>
    <t xml:space="preserve">   Huntite           -2.3832        Cu3(PO4)2^3H2O   -18.1631     </t>
  </si>
  <si>
    <t xml:space="preserve">   CaSO4^1/2H2O(bet  -2.5448        Cuprite          -18.5699     </t>
  </si>
  <si>
    <t xml:space="preserve">   Nesquehonite      -3.1178        Lime             -19.5006     </t>
  </si>
  <si>
    <t xml:space="preserve">   Brucite           -3.5474        Hydrophilite     -20.4776     </t>
  </si>
  <si>
    <t xml:space="preserve">   Epsomite          -4.5021        Na3H(SO4)2       -21.3616     </t>
  </si>
  <si>
    <t xml:space="preserve">   Hexahydrite       -4.7388        Ca2Cl2(OH)2^H2O  -21.8038     </t>
  </si>
  <si>
    <t xml:space="preserve">   Artinite          -5.0262        MgCl2^2H2O       -21.8557     </t>
  </si>
  <si>
    <t xml:space="preserve">   Pentahydrite      -5.0796        Copper           -22.1007     </t>
  </si>
  <si>
    <t xml:space="preserve">   Leonhardtite      -5.4680        MgCl2^H2O        -25.2083     </t>
  </si>
  <si>
    <t xml:space="preserve">   CaHPO4^2H2O       -6.0795        Burkeite         -26.4217     </t>
  </si>
  <si>
    <t xml:space="preserve">   NH3                  7.256e-68     1.235e-63      1.0000      -67.1393</t>
  </si>
  <si>
    <t xml:space="preserve">   NH4SO4-              1.041e-68     1.187e-63      0.9007      -68.0282</t>
  </si>
  <si>
    <t xml:space="preserve">   CuNH3++              3.529e-72     2.842e-67      0.6641      -71.6300</t>
  </si>
  <si>
    <t xml:space="preserve">   CuNH3+               3.155e-80     2.541e-75      0.9007      -79.5464</t>
  </si>
  <si>
    <t xml:space="preserve">   Gaylussite        -8.9440        Covellite       -120.0309     </t>
  </si>
  <si>
    <t xml:space="preserve">   MHSH(Mg1.5)       -9.0348        Chalcocite      -136.2567     </t>
  </si>
  <si>
    <t xml:space="preserve">   Pirssonite        -9.1066        O-phth acid(c)  -593.6964     </t>
  </si>
  <si>
    <t xml:space="preserve">  Gases                fugacity      log fug.</t>
  </si>
  <si>
    <t xml:space="preserve"> -----------------------------------------------</t>
  </si>
  <si>
    <t xml:space="preserve">   O2(g)                   0.2452      -0.610</t>
  </si>
  <si>
    <t xml:space="preserve">   S--                 8.771e-149    2.811e-144      0.6641     -148.2347</t>
  </si>
  <si>
    <t xml:space="preserve">   CH3COO-             4.644e-154    2.741e-149      0.9021     -153.3779</t>
  </si>
  <si>
    <t xml:space="preserve">   MgCH3COO+           4.259e-156    3.548e-151      0.9007     -155.4161</t>
  </si>
  <si>
    <t xml:space="preserve">   NaCH3COO            5.744e-157    4.710e-152      1.0000     -156.2408</t>
  </si>
  <si>
    <t xml:space="preserve">   HCH3COO             1.899e-157    1.140e-152      1.0000     -156.7216</t>
  </si>
  <si>
    <t xml:space="preserve">  Original basis total moles   moles     mg/kg      moles     mg/kg      L/kg</t>
  </si>
  <si>
    <t xml:space="preserve"> -------------------------------------------------------------------------------</t>
  </si>
  <si>
    <t xml:space="preserve">   Ca++             0.00172    0.00172      69.1</t>
  </si>
  <si>
    <t xml:space="preserve">   Cl-              0.00167    0.00167      59.2</t>
  </si>
  <si>
    <t xml:space="preserve">   Cu+             9.52e-08   9.52e-08   0.00605</t>
  </si>
  <si>
    <t xml:space="preserve">   H+             -4.58e-06  -4.58e-06  -0.00461</t>
  </si>
  <si>
    <t xml:space="preserve">   H2O                 55.5       55.5  9.99e+05</t>
  </si>
  <si>
    <t xml:space="preserve">   HCO3-            0.00198    0.00198      120.</t>
  </si>
  <si>
    <t xml:space="preserve">   HPO4--          6.87e-10   6.87e-10  6.59e-05</t>
  </si>
  <si>
    <t xml:space="preserve">   Mg++            0.000813   0.000813      19.7</t>
  </si>
  <si>
    <t xml:space="preserve">   NO3-            0.000159   0.000159      9.87</t>
  </si>
  <si>
    <t xml:space="preserve">   Na+              0.00233    0.00233      53.6</t>
  </si>
  <si>
    <t xml:space="preserve">   O2(aq)          0.000309   0.000309      9.87</t>
  </si>
  <si>
    <t xml:space="preserve">   SO4--            0.00180    0.00180      173.</t>
  </si>
  <si>
    <t xml:space="preserve">   (O-phth)--              0.0000        0.0000      0.6561     -300.0000</t>
  </si>
  <si>
    <t xml:space="preserve">  Mineral saturation states</t>
  </si>
  <si>
    <t xml:space="preserve">                     log Q/K                          log Q/K</t>
  </si>
  <si>
    <t xml:space="preserve"> ----------------------------------------------------------------</t>
  </si>
  <si>
    <t xml:space="preserve">   Dolomite           1.8163s/sat   Ca(OH)2(c)        -9.3840     </t>
  </si>
  <si>
    <t xml:space="preserve">   Mg2OH+++</t>
    <phoneticPr fontId="8" type="noConversion"/>
  </si>
  <si>
    <t xml:space="preserve">   MgH2PO4+</t>
    <phoneticPr fontId="8" type="noConversion"/>
  </si>
  <si>
    <t xml:space="preserve">   PO4--- </t>
    <phoneticPr fontId="8" type="noConversion"/>
  </si>
  <si>
    <t xml:space="preserve">   CuSO4   </t>
    <phoneticPr fontId="8" type="noConversion"/>
  </si>
  <si>
    <t xml:space="preserve">   CuHPO4   </t>
    <phoneticPr fontId="8" type="noConversion"/>
  </si>
  <si>
    <t xml:space="preserve">   CuCl2     </t>
    <phoneticPr fontId="8" type="noConversion"/>
  </si>
  <si>
    <t xml:space="preserve">   CuPO4-  </t>
    <phoneticPr fontId="8" type="noConversion"/>
  </si>
  <si>
    <t xml:space="preserve">   H3PO4    </t>
    <phoneticPr fontId="8" type="noConversion"/>
  </si>
  <si>
    <t xml:space="preserve">   HCl      </t>
    <phoneticPr fontId="8" type="noConversion"/>
  </si>
  <si>
    <t xml:space="preserve">   CuH2PO4+ </t>
    <phoneticPr fontId="8" type="noConversion"/>
  </si>
  <si>
    <t xml:space="preserve">  Elemental composition               In fluid                  Sorbed</t>
  </si>
  <si>
    <t xml:space="preserve">                  total moles     moles       mg/kg        moles       mg/kg</t>
  </si>
  <si>
    <t xml:space="preserve">   Tenorite           0.0000 sat    Antarcticite     -12.7719     </t>
  </si>
  <si>
    <t xml:space="preserve">   Monohydrocalcite  -0.3874        Bischofite       -13.4902     </t>
  </si>
  <si>
    <t xml:space="preserve">   Magnesite         -0.4190        CaCl2^4H2O       -13.5510     </t>
  </si>
  <si>
    <t xml:space="preserve">   Malachite         -1.5017        MgOHCl           -14.0822     </t>
  </si>
  <si>
    <t xml:space="preserve">   Gypsum            -1.5693        MgCl2^4H2O       -16.4184     </t>
  </si>
  <si>
    <t xml:space="preserve">   Anhydrite         -1.7473        Cu3(PO4)2(c)     -16.4947     </t>
  </si>
  <si>
    <t xml:space="preserve">   Phosphorus       6.873e-10    6.873e-10   2.128e-05</t>
  </si>
  <si>
    <t xml:space="preserve">   Sodium            0.002334     0.002334       53.63</t>
  </si>
  <si>
    <t xml:space="preserve">   Sulfur            0.001799     0.001799       57.65</t>
  </si>
  <si>
    <t xml:space="preserve">   Na+                   0.002318         53.26      0.9007       -2.6804</t>
    <phoneticPr fontId="8" type="noConversion"/>
  </si>
  <si>
    <t xml:space="preserve"> Na+ </t>
  </si>
  <si>
    <t xml:space="preserve">   HCO3-                 0.001865         113.8      0.9021       -2.7740</t>
    <phoneticPr fontId="8" type="noConversion"/>
  </si>
  <si>
    <t xml:space="preserve">   Cl-                   0.001662         58.89      0.8978       -2.8262</t>
    <phoneticPr fontId="8" type="noConversion"/>
  </si>
  <si>
    <t xml:space="preserve">Cl- </t>
  </si>
  <si>
    <t xml:space="preserve">   SO4--                 0.001503         144.3      0.6561       -3.0060</t>
    <phoneticPr fontId="8" type="noConversion"/>
  </si>
  <si>
    <t xml:space="preserve">SO4-- </t>
  </si>
  <si>
    <t xml:space="preserve">   Ca++       </t>
    <phoneticPr fontId="8" type="noConversion"/>
  </si>
  <si>
    <t xml:space="preserve">   Mg++       </t>
    <phoneticPr fontId="8" type="noConversion"/>
  </si>
  <si>
    <t xml:space="preserve">   O2(aq)     </t>
    <phoneticPr fontId="8" type="noConversion"/>
  </si>
  <si>
    <t xml:space="preserve">   CaSO4    </t>
    <phoneticPr fontId="8" type="noConversion"/>
  </si>
  <si>
    <t xml:space="preserve">   Kieserite         -6.2047        Chloromagnesite  -30.9651     </t>
  </si>
  <si>
    <t xml:space="preserve">   Halite            -7.0994        Ca4Cl2(OH)6^13H2 -37.4855     </t>
  </si>
  <si>
    <t xml:space="preserve">   Mirabilite        -7.2756        Tachyhydrite     -44.0255     </t>
  </si>
  <si>
    <t xml:space="preserve">   Azurite           -7.9414        Graphite         -75.1804     </t>
  </si>
  <si>
    <t xml:space="preserve">   Thenardite        -8.1308        Sulfur-Rhmb     -107.1758     </t>
  </si>
  <si>
    <t xml:space="preserve">  Aqueous species       molality    mg/kg sol'n    act. coef.     log act.</t>
    <phoneticPr fontId="8" type="noConversion"/>
  </si>
  <si>
    <t>Aqueous species</t>
  </si>
  <si>
    <t xml:space="preserve">   molality</t>
  </si>
  <si>
    <t xml:space="preserve">mg/kg sol'n </t>
  </si>
  <si>
    <r>
      <t xml:space="preserve">   Cu(OH)</t>
    </r>
    <r>
      <rPr>
        <vertAlign val="superscript"/>
        <sz val="10"/>
        <rFont val="Verdana"/>
        <family val="2"/>
      </rPr>
      <t>+</t>
    </r>
    <r>
      <rPr>
        <sz val="10"/>
        <rFont val="Verdana"/>
        <family val="2"/>
      </rPr>
      <t xml:space="preserve">    </t>
    </r>
    <phoneticPr fontId="8" type="noConversion"/>
  </si>
  <si>
    <r>
      <t xml:space="preserve">   Cu</t>
    </r>
    <r>
      <rPr>
        <vertAlign val="superscript"/>
        <sz val="10"/>
        <rFont val="Verdana"/>
        <family val="2"/>
      </rPr>
      <t>2+</t>
    </r>
    <r>
      <rPr>
        <sz val="10"/>
        <rFont val="Verdana"/>
        <family val="2"/>
      </rPr>
      <t xml:space="preserve">    </t>
    </r>
    <phoneticPr fontId="8" type="noConversion"/>
  </si>
  <si>
    <r>
      <t xml:space="preserve">   CuCl</t>
    </r>
    <r>
      <rPr>
        <vertAlign val="superscript"/>
        <sz val="10"/>
        <rFont val="Verdana"/>
        <family val="2"/>
      </rPr>
      <t>+</t>
    </r>
    <r>
      <rPr>
        <sz val="10"/>
        <rFont val="Verdana"/>
        <family val="2"/>
      </rPr>
      <t xml:space="preserve">    </t>
    </r>
    <phoneticPr fontId="8" type="noConversion"/>
  </si>
  <si>
    <t xml:space="preserve">   Cu(HPO4)   </t>
    <phoneticPr fontId="8" type="noConversion"/>
  </si>
  <si>
    <t xml:space="preserve">   Cu(PO4)-  </t>
    <phoneticPr fontId="8" type="noConversion"/>
  </si>
  <si>
    <t xml:space="preserve">   Cu(H2PO4)+ </t>
    <phoneticPr fontId="8" type="noConversion"/>
  </si>
  <si>
    <r>
      <t xml:space="preserve">   Cu(SO</t>
    </r>
    <r>
      <rPr>
        <vertAlign val="subscript"/>
        <sz val="10"/>
        <rFont val="Verdana"/>
        <family val="2"/>
      </rPr>
      <t>4</t>
    </r>
    <r>
      <rPr>
        <sz val="10"/>
        <rFont val="Verdana"/>
        <family val="2"/>
      </rPr>
      <t>)</t>
    </r>
    <r>
      <rPr>
        <sz val="10"/>
        <rFont val="Verdana"/>
        <family val="2"/>
      </rPr>
      <t xml:space="preserve">   </t>
    </r>
    <phoneticPr fontId="8" type="noConversion"/>
  </si>
  <si>
    <t>Process leaching GM</t>
    <phoneticPr fontId="8" type="noConversion"/>
  </si>
  <si>
    <t>Process leaching GK</t>
    <phoneticPr fontId="8" type="noConversion"/>
  </si>
  <si>
    <t>Process leaching GL</t>
    <phoneticPr fontId="8" type="noConversion"/>
  </si>
  <si>
    <t>F</t>
    <phoneticPr fontId="8" type="noConversion"/>
  </si>
  <si>
    <t xml:space="preserve">   Steam                  0.03131      -1.504</t>
  </si>
  <si>
    <t xml:space="preserve">   CO2(g)               0.0008799      -3.056</t>
  </si>
  <si>
    <t xml:space="preserve">   N2(g)                2.103e-20     -19.677</t>
  </si>
  <si>
    <t xml:space="preserve">   H2(g)                5.673e-42     -41.246</t>
  </si>
  <si>
    <t xml:space="preserve">   H2S(g)              2.803e-143    -142.552</t>
  </si>
  <si>
    <t xml:space="preserve">   CH4(g)              7.194e-146    -145.143</t>
  </si>
  <si>
    <t xml:space="preserve">   S2(g)               5.645e-229    -228.248</t>
  </si>
  <si>
    <t xml:space="preserve">                                  In fluid              Sorbed            Kd</t>
  </si>
  <si>
    <t>Process leaching GK</t>
    <phoneticPr fontId="8" type="noConversion"/>
  </si>
  <si>
    <t>Process leaching GM</t>
    <phoneticPr fontId="8" type="noConversion"/>
  </si>
  <si>
    <t>GM      ug/l</t>
    <phoneticPr fontId="8" type="noConversion"/>
  </si>
  <si>
    <t>GK     ug/l</t>
    <phoneticPr fontId="8" type="noConversion"/>
  </si>
  <si>
    <t>GL     ug/l</t>
    <phoneticPr fontId="8" type="noConversion"/>
  </si>
  <si>
    <t>Gruv.-Mert.</t>
    <phoneticPr fontId="8" type="noConversion"/>
  </si>
  <si>
    <t>Gruv.-Kir.</t>
    <phoneticPr fontId="8" type="noConversion"/>
  </si>
  <si>
    <t>Gruv.-Lev.</t>
    <phoneticPr fontId="8" type="noConversion"/>
  </si>
  <si>
    <t xml:space="preserve">   ug/l</t>
    <phoneticPr fontId="8" type="noConversion"/>
  </si>
  <si>
    <t xml:space="preserve">    ug/l</t>
    <phoneticPr fontId="8" type="noConversion"/>
  </si>
  <si>
    <t>Gruv-Mert /w Nitrif.</t>
    <phoneticPr fontId="8" type="noConversion"/>
  </si>
  <si>
    <t>Gruv-Mert /w.out Nitrif.</t>
    <phoneticPr fontId="8" type="noConversion"/>
  </si>
  <si>
    <t>Gruv.-Kir./w Nitrif.</t>
    <phoneticPr fontId="8" type="noConversion"/>
  </si>
  <si>
    <t>Gruv.-Kir./w. out Nitrif.</t>
    <phoneticPr fontId="8" type="noConversion"/>
  </si>
  <si>
    <t xml:space="preserve">    mg/l</t>
    <phoneticPr fontId="8" type="noConversion"/>
  </si>
  <si>
    <t xml:space="preserve">   mg/l</t>
    <phoneticPr fontId="8" type="noConversion"/>
  </si>
  <si>
    <t xml:space="preserve">  mg/l</t>
    <phoneticPr fontId="8" type="noConversion"/>
  </si>
  <si>
    <t>mg/l</t>
    <phoneticPr fontId="8" type="noConversion"/>
  </si>
  <si>
    <t>Kiruna</t>
    <phoneticPr fontId="8" type="noConversion"/>
  </si>
  <si>
    <t xml:space="preserve">   NO2-    </t>
    <phoneticPr fontId="8" type="noConversion"/>
  </si>
  <si>
    <t xml:space="preserve">   Cu+   </t>
    <phoneticPr fontId="8" type="noConversion"/>
  </si>
  <si>
    <t xml:space="preserve">   Ca++                        0.6718       -3.0065</t>
    <phoneticPr fontId="8" type="noConversion"/>
  </si>
  <si>
    <t xml:space="preserve">   NO3-           </t>
    <phoneticPr fontId="8" type="noConversion"/>
  </si>
  <si>
    <t xml:space="preserve">   MgSO4              </t>
    <phoneticPr fontId="8" type="noConversion"/>
  </si>
  <si>
    <t xml:space="preserve">   CO2(aq)    </t>
    <phoneticPr fontId="8" type="noConversion"/>
  </si>
  <si>
    <t xml:space="preserve">   CaHCO3+    </t>
    <phoneticPr fontId="8" type="noConversion"/>
  </si>
  <si>
    <t xml:space="preserve">   CaCO3      </t>
    <phoneticPr fontId="8" type="noConversion"/>
  </si>
  <si>
    <t xml:space="preserve">   CO3--       </t>
    <phoneticPr fontId="8" type="noConversion"/>
  </si>
  <si>
    <t xml:space="preserve">   NaSO4-   </t>
    <phoneticPr fontId="8" type="noConversion"/>
  </si>
  <si>
    <t xml:space="preserve">   MgHCO3+  </t>
    <phoneticPr fontId="8" type="noConversion"/>
  </si>
  <si>
    <t xml:space="preserve">   CaCl+    </t>
    <phoneticPr fontId="8" type="noConversion"/>
  </si>
  <si>
    <t xml:space="preserve">   NaHCO3       </t>
    <phoneticPr fontId="8" type="noConversion"/>
  </si>
  <si>
    <t xml:space="preserve">   MgCO3  </t>
    <phoneticPr fontId="8" type="noConversion"/>
  </si>
  <si>
    <t xml:space="preserve">   OH-       </t>
    <phoneticPr fontId="8" type="noConversion"/>
  </si>
  <si>
    <t xml:space="preserve">   CaNO3+    </t>
    <phoneticPr fontId="8" type="noConversion"/>
  </si>
  <si>
    <t xml:space="preserve">   MgCl+    </t>
    <phoneticPr fontId="8" type="noConversion"/>
  </si>
  <si>
    <t xml:space="preserve">   MgOH+           </t>
    <phoneticPr fontId="8" type="noConversion"/>
  </si>
  <si>
    <t xml:space="preserve">   CuOH+    </t>
    <phoneticPr fontId="8" type="noConversion"/>
  </si>
  <si>
    <t xml:space="preserve">   NaCl        </t>
    <phoneticPr fontId="8" type="noConversion"/>
  </si>
  <si>
    <t xml:space="preserve">   NaCO3-   </t>
    <phoneticPr fontId="8" type="noConversion"/>
  </si>
  <si>
    <t xml:space="preserve">   CaOH+     </t>
    <phoneticPr fontId="8" type="noConversion"/>
  </si>
  <si>
    <t xml:space="preserve">   Mg2CO3++ </t>
    <phoneticPr fontId="8" type="noConversion"/>
  </si>
  <si>
    <t xml:space="preserve">   H+              </t>
    <phoneticPr fontId="8" type="noConversion"/>
  </si>
  <si>
    <t xml:space="preserve">   Cu++    </t>
    <phoneticPr fontId="8" type="noConversion"/>
  </si>
  <si>
    <t xml:space="preserve">   NaOH   </t>
    <phoneticPr fontId="8" type="noConversion"/>
  </si>
  <si>
    <t xml:space="preserve">   HSO4-   </t>
    <phoneticPr fontId="8" type="noConversion"/>
  </si>
  <si>
    <t xml:space="preserve">   HPO4--   </t>
    <phoneticPr fontId="8" type="noConversion"/>
  </si>
  <si>
    <t xml:space="preserve">   CaHPO4  </t>
    <phoneticPr fontId="8" type="noConversion"/>
  </si>
  <si>
    <t xml:space="preserve">   MgHPO4  </t>
    <phoneticPr fontId="8" type="noConversion"/>
  </si>
  <si>
    <t xml:space="preserve">   CaPO4-  </t>
    <phoneticPr fontId="8" type="noConversion"/>
  </si>
  <si>
    <t xml:space="preserve">   H2PO4-  </t>
    <phoneticPr fontId="8" type="noConversion"/>
  </si>
  <si>
    <t xml:space="preserve">   MgPO4-  </t>
    <phoneticPr fontId="8" type="noConversion"/>
  </si>
  <si>
    <t xml:space="preserve">   NaHPO4-   </t>
    <phoneticPr fontId="8" type="noConversion"/>
  </si>
  <si>
    <t xml:space="preserve">   CuCl+    </t>
    <phoneticPr fontId="8" type="noConversion"/>
  </si>
  <si>
    <t xml:space="preserve">   Calcium           0.001725     0.001725       69.10</t>
  </si>
  <si>
    <t xml:space="preserve">   Carbon            0.001975     0.001975       23.71</t>
  </si>
  <si>
    <t xml:space="preserve">   Chlorine          0.001671     0.001671       59.23</t>
  </si>
  <si>
    <t xml:space="preserve">   Copper           9.521e-08    9.521e-08    0.006047</t>
  </si>
  <si>
    <t xml:space="preserve">   Hydrogen             111.0        111.0   1.118e+05</t>
  </si>
  <si>
    <t xml:space="preserve">   Magnesium        0.0008127    0.0008127       19.74</t>
  </si>
  <si>
    <t xml:space="preserve">   Nitrogen         0.0001593    0.0001593       2.230</t>
  </si>
  <si>
    <t xml:space="preserve">   Oxygen               55.52        55.52   8.879e+05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</si>
</sst>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"/>
    <numFmt numFmtId="165" formatCode="0.0"/>
    <numFmt numFmtId="166" formatCode="0.0%"/>
    <numFmt numFmtId="167" formatCode="0.0000"/>
    <numFmt numFmtId="168" formatCode="0.000"/>
    <numFmt numFmtId="169" formatCode="#,##0.00000"/>
    <numFmt numFmtId="170" formatCode="0.000000"/>
    <numFmt numFmtId="171" formatCode="0.00000"/>
    <numFmt numFmtId="172" formatCode="#,##0.000"/>
  </numFmts>
  <fonts count="37" x14ac:knownFonts="1">
    <font>
      <sz val="10"/>
      <name val="Verdana"/>
    </font>
    <font>
      <b/>
      <sz val="10"/>
      <name val="Verdana"/>
      <family val="2"/>
    </font>
    <font>
      <b/>
      <i/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name val="Verdana"/>
      <family val="2"/>
    </font>
    <font>
      <sz val="12"/>
      <name val="Arial"/>
      <family val="2"/>
    </font>
    <font>
      <b/>
      <i/>
      <sz val="12"/>
      <name val="Arial"/>
      <family val="2"/>
    </font>
    <font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9"/>
      <color indexed="81"/>
      <name val="Verdana"/>
      <family val="2"/>
    </font>
    <font>
      <b/>
      <sz val="9"/>
      <color indexed="81"/>
      <name val="Verdana"/>
      <family val="2"/>
    </font>
    <font>
      <b/>
      <sz val="12"/>
      <name val="Verdana"/>
      <family val="2"/>
    </font>
    <font>
      <sz val="10"/>
      <color indexed="10"/>
      <name val="Verdana"/>
      <family val="2"/>
    </font>
    <font>
      <sz val="10"/>
      <color indexed="8"/>
      <name val="Verdana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8"/>
      <color indexed="54"/>
      <name val="Tahoma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sz val="9"/>
      <color indexed="10"/>
      <name val="Arial"/>
      <family val="2"/>
    </font>
    <font>
      <b/>
      <sz val="10"/>
      <color indexed="9"/>
      <name val="Arial"/>
      <family val="2"/>
    </font>
    <font>
      <sz val="10"/>
      <color indexed="10"/>
      <name val="Arial"/>
      <family val="2"/>
    </font>
    <font>
      <sz val="10"/>
      <name val="Verdana"/>
      <family val="2"/>
    </font>
    <font>
      <b/>
      <sz val="10"/>
      <color indexed="10"/>
      <name val="Verdana"/>
      <family val="2"/>
    </font>
    <font>
      <b/>
      <sz val="11"/>
      <color indexed="8"/>
      <name val="Calibri"/>
      <family val="2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9"/>
      <color rgb="FF000000"/>
      <name val="Calibri"/>
      <family val="2"/>
      <charset val="238"/>
    </font>
    <font>
      <sz val="9"/>
      <color rgb="FF000000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medium">
        <color indexed="22"/>
      </left>
      <right style="medium">
        <color indexed="22"/>
      </right>
      <top/>
      <bottom/>
      <diagonal/>
    </border>
    <border>
      <left style="medium">
        <color indexed="22"/>
      </left>
      <right/>
      <top style="medium">
        <color indexed="22"/>
      </top>
      <bottom style="medium">
        <color indexed="22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98">
    <xf numFmtId="0" fontId="0" fillId="0" borderId="0" xfId="0"/>
    <xf numFmtId="0" fontId="7" fillId="0" borderId="0" xfId="0" applyFont="1"/>
    <xf numFmtId="0" fontId="9" fillId="0" borderId="0" xfId="0" applyFont="1" applyAlignment="1">
      <alignment horizontal="left"/>
    </xf>
    <xf numFmtId="0" fontId="10" fillId="0" borderId="0" xfId="0" applyFont="1"/>
    <xf numFmtId="0" fontId="9" fillId="0" borderId="0" xfId="0" applyFont="1"/>
    <xf numFmtId="0" fontId="11" fillId="0" borderId="0" xfId="0" applyFont="1" applyAlignment="1">
      <alignment horizontal="left" indent="6"/>
    </xf>
    <xf numFmtId="0" fontId="12" fillId="0" borderId="0" xfId="0" applyFont="1"/>
    <xf numFmtId="1" fontId="0" fillId="0" borderId="0" xfId="0" applyNumberFormat="1"/>
    <xf numFmtId="0" fontId="15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16" fillId="0" borderId="0" xfId="0" applyNumberFormat="1" applyFont="1"/>
    <xf numFmtId="3" fontId="16" fillId="0" borderId="0" xfId="0" applyNumberFormat="1" applyFont="1"/>
    <xf numFmtId="165" fontId="16" fillId="0" borderId="0" xfId="0" applyNumberFormat="1" applyFont="1"/>
    <xf numFmtId="165" fontId="17" fillId="0" borderId="0" xfId="0" applyNumberFormat="1" applyFont="1"/>
    <xf numFmtId="1" fontId="17" fillId="0" borderId="0" xfId="0" applyNumberFormat="1" applyFont="1"/>
    <xf numFmtId="3" fontId="17" fillId="0" borderId="0" xfId="0" applyNumberFormat="1" applyFont="1"/>
    <xf numFmtId="0" fontId="18" fillId="0" borderId="0" xfId="0" applyFont="1"/>
    <xf numFmtId="0" fontId="18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wrapText="1"/>
    </xf>
    <xf numFmtId="0" fontId="19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4" xfId="0" applyBorder="1"/>
    <xf numFmtId="0" fontId="0" fillId="0" borderId="0" xfId="0" applyAlignment="1">
      <alignment wrapText="1"/>
    </xf>
    <xf numFmtId="1" fontId="0" fillId="0" borderId="1" xfId="0" applyNumberFormat="1" applyBorder="1"/>
    <xf numFmtId="0" fontId="0" fillId="0" borderId="1" xfId="0" applyBorder="1"/>
    <xf numFmtId="9" fontId="0" fillId="0" borderId="1" xfId="1" applyFont="1" applyBorder="1"/>
    <xf numFmtId="9" fontId="0" fillId="0" borderId="1" xfId="1" applyFont="1" applyFill="1" applyBorder="1"/>
    <xf numFmtId="165" fontId="0" fillId="0" borderId="1" xfId="0" applyNumberFormat="1" applyBorder="1"/>
    <xf numFmtId="9" fontId="0" fillId="0" borderId="1" xfId="0" applyNumberFormat="1" applyBorder="1"/>
    <xf numFmtId="9" fontId="0" fillId="0" borderId="0" xfId="0" applyNumberFormat="1"/>
    <xf numFmtId="9" fontId="0" fillId="0" borderId="2" xfId="0" applyNumberFormat="1" applyBorder="1"/>
    <xf numFmtId="0" fontId="0" fillId="0" borderId="3" xfId="0" applyBorder="1"/>
    <xf numFmtId="9" fontId="0" fillId="0" borderId="2" xfId="1" applyFont="1" applyFill="1" applyBorder="1"/>
    <xf numFmtId="166" fontId="0" fillId="0" borderId="1" xfId="1" applyNumberFormat="1" applyFont="1" applyBorder="1"/>
    <xf numFmtId="166" fontId="0" fillId="0" borderId="2" xfId="1" applyNumberFormat="1" applyFont="1" applyFill="1" applyBorder="1"/>
    <xf numFmtId="2" fontId="0" fillId="0" borderId="1" xfId="1" applyNumberFormat="1" applyFont="1" applyBorder="1"/>
    <xf numFmtId="2" fontId="0" fillId="0" borderId="2" xfId="1" applyNumberFormat="1" applyFont="1" applyFill="1" applyBorder="1"/>
    <xf numFmtId="0" fontId="0" fillId="2" borderId="1" xfId="0" applyFill="1" applyBorder="1"/>
    <xf numFmtId="0" fontId="0" fillId="2" borderId="2" xfId="0" applyFill="1" applyBorder="1"/>
    <xf numFmtId="9" fontId="0" fillId="0" borderId="0" xfId="1" applyFont="1" applyBorder="1"/>
    <xf numFmtId="2" fontId="0" fillId="0" borderId="1" xfId="1" applyNumberFormat="1" applyFont="1" applyFill="1" applyBorder="1"/>
    <xf numFmtId="0" fontId="0" fillId="0" borderId="0" xfId="0" applyAlignment="1">
      <alignment horizontal="center" vertical="center" wrapText="1"/>
    </xf>
    <xf numFmtId="0" fontId="19" fillId="0" borderId="0" xfId="0" applyFont="1" applyAlignment="1">
      <alignment wrapText="1"/>
    </xf>
    <xf numFmtId="168" fontId="0" fillId="3" borderId="1" xfId="0" applyNumberFormat="1" applyFill="1" applyBorder="1"/>
    <xf numFmtId="0" fontId="0" fillId="0" borderId="5" xfId="0" applyBorder="1"/>
    <xf numFmtId="0" fontId="0" fillId="3" borderId="0" xfId="0" applyFill="1" applyAlignment="1">
      <alignment wrapText="1"/>
    </xf>
    <xf numFmtId="167" fontId="0" fillId="3" borderId="8" xfId="0" applyNumberFormat="1" applyFill="1" applyBorder="1"/>
    <xf numFmtId="167" fontId="0" fillId="3" borderId="0" xfId="0" applyNumberFormat="1" applyFill="1"/>
    <xf numFmtId="0" fontId="0" fillId="0" borderId="8" xfId="0" applyBorder="1"/>
    <xf numFmtId="0" fontId="0" fillId="0" borderId="6" xfId="0" applyBorder="1"/>
    <xf numFmtId="0" fontId="0" fillId="0" borderId="7" xfId="0" applyBorder="1"/>
    <xf numFmtId="0" fontId="5" fillId="0" borderId="0" xfId="0" applyFont="1"/>
    <xf numFmtId="1" fontId="0" fillId="0" borderId="1" xfId="1" applyNumberFormat="1" applyFont="1" applyFill="1" applyBorder="1"/>
    <xf numFmtId="1" fontId="0" fillId="2" borderId="1" xfId="0" applyNumberFormat="1" applyFill="1" applyBorder="1"/>
    <xf numFmtId="169" fontId="0" fillId="0" borderId="0" xfId="0" applyNumberFormat="1"/>
    <xf numFmtId="9" fontId="0" fillId="0" borderId="3" xfId="0" applyNumberFormat="1" applyBorder="1"/>
    <xf numFmtId="0" fontId="0" fillId="0" borderId="9" xfId="0" applyBorder="1" applyAlignment="1">
      <alignment wrapText="1"/>
    </xf>
    <xf numFmtId="0" fontId="17" fillId="0" borderId="1" xfId="0" applyFont="1" applyBorder="1" applyAlignment="1">
      <alignment wrapText="1"/>
    </xf>
    <xf numFmtId="0" fontId="17" fillId="2" borderId="1" xfId="0" applyFont="1" applyFill="1" applyBorder="1" applyAlignment="1">
      <alignment wrapText="1"/>
    </xf>
    <xf numFmtId="1" fontId="0" fillId="0" borderId="1" xfId="1" applyNumberFormat="1" applyFont="1" applyBorder="1"/>
    <xf numFmtId="168" fontId="0" fillId="0" borderId="1" xfId="0" applyNumberFormat="1" applyBorder="1"/>
    <xf numFmtId="9" fontId="16" fillId="0" borderId="1" xfId="1" applyFont="1" applyFill="1" applyBorder="1"/>
    <xf numFmtId="9" fontId="16" fillId="4" borderId="1" xfId="1" applyFont="1" applyFill="1" applyBorder="1"/>
    <xf numFmtId="1" fontId="17" fillId="0" borderId="1" xfId="0" applyNumberFormat="1" applyFont="1" applyBorder="1"/>
    <xf numFmtId="2" fontId="0" fillId="0" borderId="1" xfId="0" applyNumberFormat="1" applyBorder="1"/>
    <xf numFmtId="2" fontId="0" fillId="3" borderId="1" xfId="0" applyNumberFormat="1" applyFill="1" applyBorder="1"/>
    <xf numFmtId="0" fontId="0" fillId="5" borderId="1" xfId="0" applyFill="1" applyBorder="1" applyAlignment="1">
      <alignment wrapText="1"/>
    </xf>
    <xf numFmtId="168" fontId="0" fillId="5" borderId="1" xfId="0" applyNumberFormat="1" applyFill="1" applyBorder="1"/>
    <xf numFmtId="0" fontId="20" fillId="0" borderId="0" xfId="0" applyFont="1" applyAlignment="1">
      <alignment wrapText="1"/>
    </xf>
    <xf numFmtId="165" fontId="4" fillId="0" borderId="0" xfId="0" applyNumberFormat="1" applyFont="1" applyAlignment="1">
      <alignment wrapText="1"/>
    </xf>
    <xf numFmtId="1" fontId="4" fillId="0" borderId="0" xfId="0" applyNumberFormat="1" applyFont="1" applyAlignment="1">
      <alignment wrapText="1"/>
    </xf>
    <xf numFmtId="2" fontId="0" fillId="0" borderId="0" xfId="0" applyNumberFormat="1"/>
    <xf numFmtId="3" fontId="3" fillId="0" borderId="0" xfId="0" applyNumberFormat="1" applyFont="1"/>
    <xf numFmtId="4" fontId="0" fillId="0" borderId="0" xfId="0" applyNumberFormat="1"/>
    <xf numFmtId="0" fontId="21" fillId="0" borderId="0" xfId="0" applyFont="1" applyAlignment="1">
      <alignment horizontal="justify" vertical="top" wrapText="1"/>
    </xf>
    <xf numFmtId="0" fontId="22" fillId="0" borderId="0" xfId="0" applyFont="1" applyAlignment="1">
      <alignment horizontal="justify" vertical="top" wrapText="1"/>
    </xf>
    <xf numFmtId="0" fontId="21" fillId="0" borderId="11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2" fillId="0" borderId="14" xfId="0" applyFont="1" applyBorder="1" applyAlignment="1">
      <alignment horizontal="justify" vertical="top" wrapText="1"/>
    </xf>
    <xf numFmtId="0" fontId="22" fillId="0" borderId="15" xfId="0" applyFont="1" applyBorder="1" applyAlignment="1">
      <alignment horizontal="center" vertical="top" wrapText="1"/>
    </xf>
    <xf numFmtId="0" fontId="22" fillId="0" borderId="15" xfId="0" applyFont="1" applyBorder="1" applyAlignment="1">
      <alignment horizontal="right" vertical="top" wrapText="1"/>
    </xf>
    <xf numFmtId="0" fontId="21" fillId="0" borderId="0" xfId="0" applyFont="1" applyAlignment="1">
      <alignment horizontal="right" vertical="top" wrapText="1"/>
    </xf>
    <xf numFmtId="0" fontId="22" fillId="0" borderId="0" xfId="0" applyFont="1" applyAlignment="1">
      <alignment horizontal="right" vertical="top" wrapText="1"/>
    </xf>
    <xf numFmtId="2" fontId="22" fillId="0" borderId="0" xfId="0" applyNumberFormat="1" applyFont="1" applyAlignment="1">
      <alignment horizontal="right" vertical="top" wrapText="1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 wrapText="1"/>
    </xf>
    <xf numFmtId="165" fontId="22" fillId="0" borderId="0" xfId="0" applyNumberFormat="1" applyFont="1" applyAlignment="1">
      <alignment horizontal="right" vertical="top" wrapText="1"/>
    </xf>
    <xf numFmtId="168" fontId="0" fillId="0" borderId="0" xfId="0" applyNumberFormat="1"/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0" fontId="23" fillId="0" borderId="16" xfId="0" applyFont="1" applyBorder="1" applyAlignment="1">
      <alignment horizontal="right" vertical="top" wrapText="1"/>
    </xf>
    <xf numFmtId="0" fontId="24" fillId="0" borderId="0" xfId="0" applyFont="1" applyAlignment="1">
      <alignment vertical="top" wrapText="1"/>
    </xf>
    <xf numFmtId="0" fontId="26" fillId="6" borderId="16" xfId="0" applyFont="1" applyFill="1" applyBorder="1" applyAlignment="1">
      <alignment horizontal="right" vertical="top" wrapText="1"/>
    </xf>
    <xf numFmtId="0" fontId="27" fillId="0" borderId="16" xfId="0" applyFont="1" applyBorder="1" applyAlignment="1">
      <alignment horizontal="right" vertical="top" wrapText="1"/>
    </xf>
    <xf numFmtId="0" fontId="25" fillId="0" borderId="0" xfId="0" applyFont="1" applyAlignment="1">
      <alignment vertical="top" wrapText="1"/>
    </xf>
    <xf numFmtId="0" fontId="28" fillId="6" borderId="16" xfId="0" applyFont="1" applyFill="1" applyBorder="1" applyAlignment="1">
      <alignment horizontal="right" vertical="top" wrapText="1"/>
    </xf>
    <xf numFmtId="0" fontId="25" fillId="0" borderId="16" xfId="0" applyFont="1" applyBorder="1" applyAlignment="1">
      <alignment horizontal="right" vertical="top" wrapText="1"/>
    </xf>
    <xf numFmtId="0" fontId="29" fillId="0" borderId="16" xfId="0" applyFont="1" applyBorder="1" applyAlignment="1">
      <alignment horizontal="right" vertical="top" wrapText="1"/>
    </xf>
    <xf numFmtId="0" fontId="30" fillId="0" borderId="0" xfId="0" applyFont="1"/>
    <xf numFmtId="14" fontId="28" fillId="6" borderId="16" xfId="0" applyNumberFormat="1" applyFont="1" applyFill="1" applyBorder="1" applyAlignment="1">
      <alignment horizontal="right" vertical="top" wrapText="1"/>
    </xf>
    <xf numFmtId="0" fontId="26" fillId="6" borderId="18" xfId="0" applyFont="1" applyFill="1" applyBorder="1" applyAlignment="1">
      <alignment horizontal="right" vertical="top" wrapText="1"/>
    </xf>
    <xf numFmtId="0" fontId="26" fillId="0" borderId="0" xfId="0" applyFont="1" applyAlignment="1">
      <alignment horizontal="right" vertical="top" wrapText="1"/>
    </xf>
    <xf numFmtId="0" fontId="23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0" fillId="0" borderId="13" xfId="0" applyBorder="1" applyAlignment="1">
      <alignment horizontal="right" vertical="top" wrapText="1"/>
    </xf>
    <xf numFmtId="0" fontId="0" fillId="0" borderId="0" xfId="0" applyAlignment="1">
      <alignment horizontal="left"/>
    </xf>
    <xf numFmtId="0" fontId="31" fillId="0" borderId="0" xfId="0" applyFont="1" applyAlignment="1">
      <alignment wrapText="1"/>
    </xf>
    <xf numFmtId="165" fontId="23" fillId="0" borderId="16" xfId="0" applyNumberFormat="1" applyFont="1" applyBorder="1" applyAlignment="1">
      <alignment horizontal="right" vertical="top" wrapText="1"/>
    </xf>
    <xf numFmtId="1" fontId="22" fillId="0" borderId="0" xfId="0" applyNumberFormat="1" applyFont="1" applyAlignment="1">
      <alignment horizontal="right" vertical="top" wrapText="1"/>
    </xf>
    <xf numFmtId="1" fontId="0" fillId="0" borderId="0" xfId="0" applyNumberFormat="1" applyAlignment="1">
      <alignment horizontal="right"/>
    </xf>
    <xf numFmtId="0" fontId="22" fillId="0" borderId="0" xfId="0" applyFont="1" applyAlignment="1">
      <alignment horizontal="center" vertical="top" wrapText="1"/>
    </xf>
    <xf numFmtId="0" fontId="0" fillId="0" borderId="21" xfId="0" applyBorder="1"/>
    <xf numFmtId="0" fontId="0" fillId="0" borderId="22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9" xfId="0" applyBorder="1"/>
    <xf numFmtId="0" fontId="0" fillId="0" borderId="1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20" xfId="0" applyNumberFormat="1" applyBorder="1" applyAlignment="1">
      <alignment horizontal="center"/>
    </xf>
    <xf numFmtId="0" fontId="32" fillId="0" borderId="19" xfId="0" applyFont="1" applyBorder="1"/>
    <xf numFmtId="0" fontId="32" fillId="0" borderId="1" xfId="0" applyFont="1" applyBorder="1"/>
    <xf numFmtId="2" fontId="32" fillId="0" borderId="1" xfId="0" applyNumberFormat="1" applyFont="1" applyBorder="1" applyAlignment="1">
      <alignment horizontal="center"/>
    </xf>
    <xf numFmtId="2" fontId="32" fillId="0" borderId="20" xfId="0" applyNumberFormat="1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2" fontId="0" fillId="0" borderId="25" xfId="0" applyNumberForma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21" fillId="0" borderId="27" xfId="0" applyFont="1" applyBorder="1"/>
    <xf numFmtId="0" fontId="21" fillId="0" borderId="28" xfId="0" applyFont="1" applyBorder="1"/>
    <xf numFmtId="0" fontId="21" fillId="0" borderId="29" xfId="0" applyFont="1" applyBorder="1"/>
    <xf numFmtId="0" fontId="21" fillId="0" borderId="0" xfId="0" applyFont="1"/>
    <xf numFmtId="0" fontId="22" fillId="0" borderId="30" xfId="0" applyFont="1" applyBorder="1"/>
    <xf numFmtId="0" fontId="22" fillId="0" borderId="29" xfId="0" applyFont="1" applyBorder="1"/>
    <xf numFmtId="0" fontId="0" fillId="0" borderId="31" xfId="0" applyBorder="1"/>
    <xf numFmtId="0" fontId="22" fillId="0" borderId="1" xfId="0" applyFont="1" applyBorder="1"/>
    <xf numFmtId="0" fontId="22" fillId="0" borderId="2" xfId="0" applyFont="1" applyBorder="1"/>
    <xf numFmtId="0" fontId="22" fillId="0" borderId="27" xfId="0" applyFont="1" applyBorder="1"/>
    <xf numFmtId="0" fontId="22" fillId="0" borderId="28" xfId="0" applyFont="1" applyBorder="1"/>
    <xf numFmtId="0" fontId="22" fillId="0" borderId="27" xfId="0" applyFont="1" applyBorder="1" applyAlignment="1">
      <alignment vertical="center" wrapText="1"/>
    </xf>
    <xf numFmtId="0" fontId="22" fillId="0" borderId="32" xfId="0" applyFont="1" applyBorder="1" applyAlignment="1">
      <alignment vertical="center" wrapText="1"/>
    </xf>
    <xf numFmtId="3" fontId="22" fillId="0" borderId="32" xfId="0" applyNumberFormat="1" applyFont="1" applyBorder="1"/>
    <xf numFmtId="3" fontId="22" fillId="0" borderId="3" xfId="0" applyNumberFormat="1" applyFont="1" applyBorder="1"/>
    <xf numFmtId="3" fontId="22" fillId="0" borderId="27" xfId="0" applyNumberFormat="1" applyFont="1" applyBorder="1" applyAlignment="1">
      <alignment horizontal="right" vertical="center"/>
    </xf>
    <xf numFmtId="165" fontId="22" fillId="0" borderId="32" xfId="0" applyNumberFormat="1" applyFont="1" applyBorder="1"/>
    <xf numFmtId="3" fontId="22" fillId="0" borderId="32" xfId="0" applyNumberFormat="1" applyFont="1" applyBorder="1" applyAlignment="1">
      <alignment horizontal="right" vertical="center"/>
    </xf>
    <xf numFmtId="0" fontId="22" fillId="0" borderId="31" xfId="0" applyFont="1" applyBorder="1" applyAlignment="1">
      <alignment vertical="center" wrapText="1"/>
    </xf>
    <xf numFmtId="3" fontId="22" fillId="0" borderId="31" xfId="0" applyNumberFormat="1" applyFont="1" applyBorder="1"/>
    <xf numFmtId="3" fontId="22" fillId="0" borderId="33" xfId="0" applyNumberFormat="1" applyFont="1" applyBorder="1"/>
    <xf numFmtId="0" fontId="22" fillId="0" borderId="31" xfId="0" applyFont="1" applyBorder="1" applyAlignment="1">
      <alignment horizontal="right" vertical="center"/>
    </xf>
    <xf numFmtId="165" fontId="22" fillId="0" borderId="31" xfId="0" applyNumberFormat="1" applyFont="1" applyBorder="1"/>
    <xf numFmtId="1" fontId="0" fillId="0" borderId="0" xfId="0" applyNumberFormat="1" applyAlignment="1">
      <alignment wrapText="1"/>
    </xf>
    <xf numFmtId="11" fontId="0" fillId="0" borderId="0" xfId="0" applyNumberFormat="1"/>
    <xf numFmtId="0" fontId="17" fillId="0" borderId="0" xfId="0" applyFont="1" applyAlignment="1">
      <alignment horizontal="right"/>
    </xf>
    <xf numFmtId="168" fontId="0" fillId="0" borderId="0" xfId="0" applyNumberFormat="1" applyAlignment="1">
      <alignment horizontal="right"/>
    </xf>
    <xf numFmtId="0" fontId="29" fillId="0" borderId="0" xfId="0" applyFont="1" applyAlignment="1">
      <alignment horizontal="justify" vertical="top" wrapText="1"/>
    </xf>
    <xf numFmtId="0" fontId="1" fillId="0" borderId="0" xfId="0" applyFont="1"/>
    <xf numFmtId="172" fontId="0" fillId="0" borderId="0" xfId="0" applyNumberFormat="1"/>
    <xf numFmtId="168" fontId="22" fillId="0" borderId="0" xfId="0" applyNumberFormat="1" applyFont="1" applyAlignment="1">
      <alignment horizontal="right" vertical="top" wrapText="1"/>
    </xf>
    <xf numFmtId="0" fontId="23" fillId="0" borderId="0" xfId="0" applyFont="1" applyAlignment="1">
      <alignment horizontal="right" vertical="top" wrapText="1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3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4" fontId="22" fillId="0" borderId="0" xfId="0" applyNumberFormat="1" applyFont="1" applyAlignment="1">
      <alignment horizontal="right"/>
    </xf>
    <xf numFmtId="4" fontId="22" fillId="0" borderId="0" xfId="0" applyNumberFormat="1" applyFont="1" applyAlignment="1">
      <alignment horizontal="right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1" fillId="0" borderId="10" xfId="0" applyFont="1" applyBorder="1" applyAlignment="1">
      <alignment horizontal="justify" vertical="top" wrapText="1"/>
    </xf>
    <xf numFmtId="0" fontId="21" fillId="0" borderId="12" xfId="0" applyFont="1" applyBorder="1" applyAlignment="1">
      <alignment horizontal="justify" vertical="top" wrapText="1"/>
    </xf>
    <xf numFmtId="0" fontId="21" fillId="0" borderId="14" xfId="0" applyFont="1" applyBorder="1" applyAlignment="1">
      <alignment horizontal="justify" vertical="top" wrapText="1"/>
    </xf>
    <xf numFmtId="0" fontId="21" fillId="0" borderId="10" xfId="0" applyFont="1" applyBorder="1" applyAlignment="1">
      <alignment horizontal="center" vertical="top" wrapText="1"/>
    </xf>
    <xf numFmtId="0" fontId="21" fillId="0" borderId="14" xfId="0" applyFont="1" applyBorder="1" applyAlignment="1">
      <alignment horizontal="center" vertical="top" wrapText="1"/>
    </xf>
    <xf numFmtId="0" fontId="26" fillId="6" borderId="16" xfId="0" applyFont="1" applyFill="1" applyBorder="1" applyAlignment="1">
      <alignment horizontal="right" vertical="top" wrapText="1"/>
    </xf>
    <xf numFmtId="0" fontId="28" fillId="6" borderId="16" xfId="0" applyFont="1" applyFill="1" applyBorder="1" applyAlignment="1">
      <alignment horizontal="right"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</cellXfs>
  <cellStyles count="2">
    <cellStyle name="Normal" xfId="0" builtinId="0"/>
    <cellStyle name="Per 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Kopper </a:t>
            </a:r>
          </a:p>
          <a:p>
            <a:pPr>
              <a:defRPr/>
            </a:pPr>
            <a:r>
              <a:rPr lang="nb-NO" sz="14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Lake'!$C$46:$E$46</c:f>
              <c:numCache>
                <c:formatCode>General</c:formatCode>
                <c:ptCount val="3"/>
                <c:pt idx="0">
                  <c:v>0</c:v>
                </c:pt>
                <c:pt idx="1">
                  <c:v>2.3E-2</c:v>
                </c:pt>
                <c:pt idx="2">
                  <c:v>4.3900000000000002E-2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3F-C745-A65E-7180CC6CA83D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Lake'!$F$46:$H$46</c:f>
              <c:numCache>
                <c:formatCode>General</c:formatCode>
                <c:ptCount val="3"/>
                <c:pt idx="0">
                  <c:v>0</c:v>
                </c:pt>
                <c:pt idx="1">
                  <c:v>3.8800000000000001E-2</c:v>
                </c:pt>
                <c:pt idx="2">
                  <c:v>7.3200000000000001E-2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3F-C745-A65E-7180CC6CA83D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Lake'!$I$46:$K$46</c:f>
              <c:numCache>
                <c:formatCode>General</c:formatCode>
                <c:ptCount val="3"/>
                <c:pt idx="0">
                  <c:v>0</c:v>
                </c:pt>
                <c:pt idx="1">
                  <c:v>3.5000000000000003E-2</c:v>
                </c:pt>
                <c:pt idx="2">
                  <c:v>8.3400000000000002E-2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43F-C745-A65E-7180CC6CA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049992"/>
        <c:axId val="527657320"/>
      </c:scatterChart>
      <c:valAx>
        <c:axId val="285049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657320"/>
        <c:crosses val="autoZero"/>
        <c:crossBetween val="midCat"/>
      </c:valAx>
      <c:valAx>
        <c:axId val="5276573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049992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Nikkel  </a:t>
            </a:r>
          </a:p>
          <a:p>
            <a:pPr>
              <a:defRPr/>
            </a:pPr>
            <a:r>
              <a:rPr lang="nb-NO" sz="16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Lake'!$C$49:$E$49</c:f>
              <c:numCache>
                <c:formatCode>General</c:formatCode>
                <c:ptCount val="3"/>
                <c:pt idx="0">
                  <c:v>0</c:v>
                </c:pt>
                <c:pt idx="1">
                  <c:v>9.8600000000000007E-3</c:v>
                </c:pt>
                <c:pt idx="2">
                  <c:v>1.6899999999999998E-2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B5-154A-B759-E31F8083FD55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Lake'!$F$49:$H$49</c:f>
              <c:numCache>
                <c:formatCode>General</c:formatCode>
                <c:ptCount val="3"/>
                <c:pt idx="0">
                  <c:v>0</c:v>
                </c:pt>
                <c:pt idx="1">
                  <c:v>4.0800000000000003E-3</c:v>
                </c:pt>
                <c:pt idx="2">
                  <c:v>9.6900000000000007E-3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B5-154A-B759-E31F8083FD55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Lake'!$I$49:$K$49</c:f>
              <c:numCache>
                <c:formatCode>General</c:formatCode>
                <c:ptCount val="3"/>
                <c:pt idx="0">
                  <c:v>0</c:v>
                </c:pt>
                <c:pt idx="1">
                  <c:v>1.8699999999999999E-3</c:v>
                </c:pt>
                <c:pt idx="2">
                  <c:v>6.8599999999999998E-3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B5-154A-B759-E31F8083F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394104"/>
        <c:axId val="285030904"/>
      </c:scatterChart>
      <c:valAx>
        <c:axId val="528394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5030904"/>
        <c:crosses val="autoZero"/>
        <c:crossBetween val="midCat"/>
      </c:valAx>
      <c:valAx>
        <c:axId val="285030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8394104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Sulfate  </a:t>
            </a:r>
          </a:p>
          <a:p>
            <a:pPr>
              <a:defRPr/>
            </a:pPr>
            <a:r>
              <a:rPr lang="nb-NO" sz="16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Lake'!$C$59:$E$59</c:f>
              <c:numCache>
                <c:formatCode>General</c:formatCode>
                <c:ptCount val="3"/>
                <c:pt idx="0">
                  <c:v>0</c:v>
                </c:pt>
                <c:pt idx="1">
                  <c:v>10.4</c:v>
                </c:pt>
                <c:pt idx="2">
                  <c:v>17.100000000000001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6-2D46-8E18-A5ECDAC83199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Lake'!$F$59:$H$59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20.3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66-2D46-8E18-A5ECDAC83199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Lake'!$I$59:$K$59</c:f>
              <c:numCache>
                <c:formatCode>General</c:formatCode>
                <c:ptCount val="3"/>
                <c:pt idx="0">
                  <c:v>0</c:v>
                </c:pt>
                <c:pt idx="1">
                  <c:v>14.8</c:v>
                </c:pt>
                <c:pt idx="2">
                  <c:v>21.7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6-2D46-8E18-A5ECDAC83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48008"/>
        <c:axId val="525588648"/>
      </c:scatterChart>
      <c:valAx>
        <c:axId val="284948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5588648"/>
        <c:crosses val="autoZero"/>
        <c:crossBetween val="midCat"/>
      </c:valAx>
      <c:valAx>
        <c:axId val="525588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948008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Barium  </a:t>
            </a:r>
          </a:p>
          <a:p>
            <a:pPr>
              <a:defRPr/>
            </a:pPr>
            <a:r>
              <a:rPr lang="nb-NO" sz="1600"/>
              <a:t>Leaching</a:t>
            </a:r>
          </a:p>
        </c:rich>
      </c:tx>
      <c:layout>
        <c:manualLayout>
          <c:xMode val="edge"/>
          <c:yMode val="edge"/>
          <c:x val="0.4110988626421699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65507436570401"/>
          <c:y val="0.20555555555555599"/>
          <c:w val="0.58988670166229196"/>
          <c:h val="0.603352653834936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'Back Data Lenvean Pit Lake'!$D$36</c:f>
              <c:strCache>
                <c:ptCount val="1"/>
                <c:pt idx="0">
                  <c:v>Leptite</c:v>
                </c:pt>
              </c:strCache>
            </c:strRef>
          </c:tx>
          <c:trendline>
            <c:trendlineType val="log"/>
            <c:dispRSqr val="0"/>
            <c:dispEq val="0"/>
          </c:trendline>
          <c:xVal>
            <c:numRef>
              <c:f>'Back Data Lenvean Pit Lake'!$C$37:$E$37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Lake'!$C$43:$E$43</c:f>
              <c:numCache>
                <c:formatCode>General</c:formatCode>
                <c:ptCount val="3"/>
                <c:pt idx="0">
                  <c:v>0</c:v>
                </c:pt>
                <c:pt idx="1">
                  <c:v>0.111</c:v>
                </c:pt>
                <c:pt idx="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010-6443-BBD3-A7E1921ADB78}"/>
            </c:ext>
          </c:extLst>
        </c:ser>
        <c:ser>
          <c:idx val="1"/>
          <c:order val="1"/>
          <c:tx>
            <c:strRef>
              <c:f>'Back Data Lenvean Pit Lake'!$G$36</c:f>
              <c:strCache>
                <c:ptCount val="1"/>
                <c:pt idx="0">
                  <c:v>Diabase</c:v>
                </c:pt>
              </c:strCache>
            </c:strRef>
          </c:tx>
          <c:xVal>
            <c:numRef>
              <c:f>'Back Data Lenvean Pit Lake'!$F$37:$H$37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Lake'!$F$43:$H$43</c:f>
              <c:numCache>
                <c:formatCode>General</c:formatCode>
                <c:ptCount val="3"/>
                <c:pt idx="0">
                  <c:v>0</c:v>
                </c:pt>
                <c:pt idx="1">
                  <c:v>4.7399999999999998E-2</c:v>
                </c:pt>
                <c:pt idx="2">
                  <c:v>0.16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010-6443-BBD3-A7E1921ADB78}"/>
            </c:ext>
          </c:extLst>
        </c:ser>
        <c:ser>
          <c:idx val="2"/>
          <c:order val="2"/>
          <c:tx>
            <c:strRef>
              <c:f>'Back Data Lenvean Pit Lake'!$J$36</c:f>
              <c:strCache>
                <c:ptCount val="1"/>
                <c:pt idx="0">
                  <c:v>Biotiteskifer</c:v>
                </c:pt>
              </c:strCache>
            </c:strRef>
          </c:tx>
          <c:xVal>
            <c:numRef>
              <c:f>'Back Data Lenvean Pit Lake'!$I$37:$K$37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10</c:v>
                </c:pt>
              </c:numCache>
            </c:numRef>
          </c:xVal>
          <c:yVal>
            <c:numRef>
              <c:f>'Back Data Lenvean Pit Lake'!$I$43:$K$43</c:f>
              <c:numCache>
                <c:formatCode>General</c:formatCode>
                <c:ptCount val="3"/>
                <c:pt idx="0">
                  <c:v>0</c:v>
                </c:pt>
                <c:pt idx="1">
                  <c:v>3.2599999999999997E-2</c:v>
                </c:pt>
                <c:pt idx="2">
                  <c:v>0.121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010-6443-BBD3-A7E1921AD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24280"/>
        <c:axId val="526979544"/>
      </c:scatterChart>
      <c:valAx>
        <c:axId val="284924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L/S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979544"/>
        <c:crosses val="autoZero"/>
        <c:crossBetween val="midCat"/>
      </c:valAx>
      <c:valAx>
        <c:axId val="526979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mg/kg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4924280"/>
        <c:crosses val="autoZero"/>
        <c:crossBetween val="midCat"/>
      </c:valAx>
    </c:plotArea>
    <c:legend>
      <c:legendPos val="r"/>
      <c:legendEntry>
        <c:idx val="3"/>
        <c:delete val="1"/>
      </c:legendEntry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modellering'!$C$4:$C$33</c:f>
              <c:numCache>
                <c:formatCode>0.0</c:formatCode>
                <c:ptCount val="30"/>
                <c:pt idx="0">
                  <c:v>7.8780933834721107</c:v>
                </c:pt>
                <c:pt idx="1">
                  <c:v>8.3069667171750279</c:v>
                </c:pt>
                <c:pt idx="2">
                  <c:v>8.7152337391071661</c:v>
                </c:pt>
                <c:pt idx="3">
                  <c:v>9.1043411712269524</c:v>
                </c:pt>
                <c:pt idx="4">
                  <c:v>9.4756028847848555</c:v>
                </c:pt>
                <c:pt idx="5">
                  <c:v>9.8302147079112441</c:v>
                </c:pt>
                <c:pt idx="6">
                  <c:v>10.169267272085852</c:v>
                </c:pt>
                <c:pt idx="7">
                  <c:v>10.493757187012193</c:v>
                </c:pt>
                <c:pt idx="8">
                  <c:v>10.804596783175203</c:v>
                </c:pt>
                <c:pt idx="9">
                  <c:v>11.102622619713506</c:v>
                </c:pt>
                <c:pt idx="10">
                  <c:v>11.38860292011713</c:v>
                </c:pt>
                <c:pt idx="11">
                  <c:v>11.663244067853336</c:v>
                </c:pt>
                <c:pt idx="12">
                  <c:v>11.927196266583318</c:v>
                </c:pt>
                <c:pt idx="13">
                  <c:v>12.181058443254093</c:v>
                </c:pt>
                <c:pt idx="14">
                  <c:v>12.425382444609802</c:v>
                </c:pt>
                <c:pt idx="15">
                  <c:v>12.660676545027536</c:v>
                </c:pt>
                <c:pt idx="16">
                  <c:v>12.887408240285124</c:v>
                </c:pt>
                <c:pt idx="17">
                  <c:v>13.106006237750805</c:v>
                </c:pt>
                <c:pt idx="18">
                  <c:v>13.316861449477978</c:v>
                </c:pt>
                <c:pt idx="19">
                  <c:v>13.520326613004139</c:v>
                </c:pt>
                <c:pt idx="20">
                  <c:v>13.71671382624746</c:v>
                </c:pt>
                <c:pt idx="21">
                  <c:v>13.906288612386659</c:v>
                </c:pt>
                <c:pt idx="22">
                  <c:v>14.089257711723473</c:v>
                </c:pt>
                <c:pt idx="23">
                  <c:v>14.265744560065112</c:v>
                </c:pt>
                <c:pt idx="24">
                  <c:v>14.435738325122163</c:v>
                </c:pt>
                <c:pt idx="25">
                  <c:v>14.598979731593488</c:v>
                </c:pt>
                <c:pt idx="26">
                  <c:v>14.754673328965779</c:v>
                </c:pt>
                <c:pt idx="27">
                  <c:v>14.900621556316601</c:v>
                </c:pt>
                <c:pt idx="28">
                  <c:v>15.029757318588523</c:v>
                </c:pt>
                <c:pt idx="29">
                  <c:v>15.105865405522939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3-E347-A30A-0621593BB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4840"/>
        <c:axId val="529320456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modellering'!$K$4:$K$33</c:f>
              <c:numCache>
                <c:formatCode>#,##0</c:formatCode>
                <c:ptCount val="30"/>
                <c:pt idx="0">
                  <c:v>5.0618879999999997</c:v>
                </c:pt>
                <c:pt idx="1">
                  <c:v>5.5381195862068964</c:v>
                </c:pt>
                <c:pt idx="2">
                  <c:v>6.014351172413793</c:v>
                </c:pt>
                <c:pt idx="3">
                  <c:v>6.4905827586206906</c:v>
                </c:pt>
                <c:pt idx="4">
                  <c:v>6.9668143448275872</c:v>
                </c:pt>
                <c:pt idx="5">
                  <c:v>7.443045931034483</c:v>
                </c:pt>
                <c:pt idx="6">
                  <c:v>7.9192775172413805</c:v>
                </c:pt>
                <c:pt idx="7">
                  <c:v>8.3955091034482781</c:v>
                </c:pt>
                <c:pt idx="8">
                  <c:v>8.8717406896551729</c:v>
                </c:pt>
                <c:pt idx="9">
                  <c:v>9.3479722758620696</c:v>
                </c:pt>
                <c:pt idx="10">
                  <c:v>9.8242038620689662</c:v>
                </c:pt>
                <c:pt idx="11">
                  <c:v>10.300435448275865</c:v>
                </c:pt>
                <c:pt idx="12">
                  <c:v>10.77666703448276</c:v>
                </c:pt>
                <c:pt idx="13">
                  <c:v>11.252898620689656</c:v>
                </c:pt>
                <c:pt idx="14">
                  <c:v>11.729130206896555</c:v>
                </c:pt>
                <c:pt idx="15">
                  <c:v>12.205361793103451</c:v>
                </c:pt>
                <c:pt idx="16">
                  <c:v>12.681593379310348</c:v>
                </c:pt>
                <c:pt idx="17">
                  <c:v>13.157824965517243</c:v>
                </c:pt>
                <c:pt idx="18">
                  <c:v>13.634056551724139</c:v>
                </c:pt>
                <c:pt idx="19">
                  <c:v>14.110288137931038</c:v>
                </c:pt>
                <c:pt idx="20">
                  <c:v>14.586519724137935</c:v>
                </c:pt>
                <c:pt idx="21">
                  <c:v>15.062751310344829</c:v>
                </c:pt>
                <c:pt idx="22">
                  <c:v>15.538982896551728</c:v>
                </c:pt>
                <c:pt idx="23">
                  <c:v>16.015214482758626</c:v>
                </c:pt>
                <c:pt idx="24">
                  <c:v>16.491446068965519</c:v>
                </c:pt>
                <c:pt idx="25">
                  <c:v>16.96767765517242</c:v>
                </c:pt>
                <c:pt idx="26">
                  <c:v>17.443909241379313</c:v>
                </c:pt>
                <c:pt idx="27">
                  <c:v>17.920140827586213</c:v>
                </c:pt>
                <c:pt idx="28">
                  <c:v>18.39637241379311</c:v>
                </c:pt>
                <c:pt idx="29">
                  <c:v>18.872603999999999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53-E347-A30A-0621593BB46D}"/>
            </c:ext>
          </c:extLst>
        </c:ser>
        <c:ser>
          <c:idx val="2"/>
          <c:order val="2"/>
          <c:tx>
            <c:v>Goundwater influx</c:v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modellering'!$I$4:$I$33</c:f>
              <c:numCache>
                <c:formatCode>#\ ##0.0</c:formatCode>
                <c:ptCount val="30"/>
                <c:pt idx="0">
                  <c:v>0.56764800000000004</c:v>
                </c:pt>
                <c:pt idx="1">
                  <c:v>0.58722206896551721</c:v>
                </c:pt>
                <c:pt idx="2">
                  <c:v>0.60679613793103448</c:v>
                </c:pt>
                <c:pt idx="3">
                  <c:v>0.62637020689655165</c:v>
                </c:pt>
                <c:pt idx="4">
                  <c:v>0.64594427586206893</c:v>
                </c:pt>
                <c:pt idx="5">
                  <c:v>0.66551834482758609</c:v>
                </c:pt>
                <c:pt idx="6">
                  <c:v>0.68509241379310337</c:v>
                </c:pt>
                <c:pt idx="7">
                  <c:v>0.70466648275862054</c:v>
                </c:pt>
                <c:pt idx="8">
                  <c:v>0.72424055172413782</c:v>
                </c:pt>
                <c:pt idx="9">
                  <c:v>0.74381462068965498</c:v>
                </c:pt>
                <c:pt idx="10">
                  <c:v>0.76338868965517226</c:v>
                </c:pt>
                <c:pt idx="11">
                  <c:v>0.78296275862068943</c:v>
                </c:pt>
                <c:pt idx="12">
                  <c:v>0.80253682758620659</c:v>
                </c:pt>
                <c:pt idx="13">
                  <c:v>0.82211089655172387</c:v>
                </c:pt>
                <c:pt idx="14">
                  <c:v>0.84168496551724103</c:v>
                </c:pt>
                <c:pt idx="15">
                  <c:v>0.86125903448275831</c:v>
                </c:pt>
                <c:pt idx="16">
                  <c:v>0.88083310344827548</c:v>
                </c:pt>
                <c:pt idx="17">
                  <c:v>0.90040717241379276</c:v>
                </c:pt>
                <c:pt idx="18">
                  <c:v>0.91998124137930992</c:v>
                </c:pt>
                <c:pt idx="19">
                  <c:v>0.9395553103448272</c:v>
                </c:pt>
                <c:pt idx="20">
                  <c:v>0.95912937931034437</c:v>
                </c:pt>
                <c:pt idx="21">
                  <c:v>0.97870344827586164</c:v>
                </c:pt>
                <c:pt idx="22">
                  <c:v>0.99827751724137881</c:v>
                </c:pt>
                <c:pt idx="23">
                  <c:v>1.017851586206896</c:v>
                </c:pt>
                <c:pt idx="24">
                  <c:v>1.0374256551724133</c:v>
                </c:pt>
                <c:pt idx="25">
                  <c:v>1.0569997241379303</c:v>
                </c:pt>
                <c:pt idx="26">
                  <c:v>1.0765737931034476</c:v>
                </c:pt>
                <c:pt idx="27">
                  <c:v>1.0961478620689649</c:v>
                </c:pt>
                <c:pt idx="28">
                  <c:v>1.1157219310344819</c:v>
                </c:pt>
                <c:pt idx="29">
                  <c:v>1.1352960000000001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53-E347-A30A-0621593BB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388120"/>
        <c:axId val="284383160"/>
      </c:scatterChart>
      <c:valAx>
        <c:axId val="28428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9320456"/>
        <c:crosses val="autoZero"/>
        <c:crossBetween val="midCat"/>
      </c:valAx>
      <c:valAx>
        <c:axId val="529320456"/>
        <c:scaling>
          <c:orientation val="minMax"/>
          <c:max val="3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284840"/>
        <c:crosses val="autoZero"/>
        <c:crossBetween val="midCat"/>
        <c:majorUnit val="5"/>
      </c:valAx>
      <c:valAx>
        <c:axId val="28438316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388120"/>
        <c:crosses val="max"/>
        <c:crossBetween val="midCat"/>
      </c:valAx>
      <c:valAx>
        <c:axId val="284388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383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WATER INFLUX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89989578509"/>
          <c:y val="0.12226148409894"/>
          <c:w val="0.66259060907827705"/>
          <c:h val="0.6371881695000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'Hist modellering'!$J$2</c:f>
              <c:strCache>
                <c:ptCount val="1"/>
                <c:pt idx="0">
                  <c:v>Groundwater</c:v>
                </c:pt>
              </c:strCache>
            </c:strRef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modellering'!$J$4:$J$33</c:f>
              <c:numCache>
                <c:formatCode>#,##0</c:formatCode>
                <c:ptCount val="30"/>
                <c:pt idx="0">
                  <c:v>567648</c:v>
                </c:pt>
                <c:pt idx="1">
                  <c:v>587222.06896551722</c:v>
                </c:pt>
                <c:pt idx="2">
                  <c:v>606796.13793103443</c:v>
                </c:pt>
                <c:pt idx="3">
                  <c:v>626370.20689655165</c:v>
                </c:pt>
                <c:pt idx="4">
                  <c:v>645944.27586206887</c:v>
                </c:pt>
                <c:pt idx="5">
                  <c:v>665518.34482758609</c:v>
                </c:pt>
                <c:pt idx="6">
                  <c:v>685092.4137931033</c:v>
                </c:pt>
                <c:pt idx="7">
                  <c:v>704666.48275862052</c:v>
                </c:pt>
                <c:pt idx="8">
                  <c:v>724240.55172413774</c:v>
                </c:pt>
                <c:pt idx="9">
                  <c:v>743814.62068965496</c:v>
                </c:pt>
                <c:pt idx="10">
                  <c:v>763388.68965517217</c:v>
                </c:pt>
                <c:pt idx="11">
                  <c:v>782962.75862068939</c:v>
                </c:pt>
                <c:pt idx="12">
                  <c:v>802536.82758620661</c:v>
                </c:pt>
                <c:pt idx="13">
                  <c:v>822110.89655172382</c:v>
                </c:pt>
                <c:pt idx="14">
                  <c:v>841684.96551724104</c:v>
                </c:pt>
                <c:pt idx="15">
                  <c:v>861259.03448275826</c:v>
                </c:pt>
                <c:pt idx="16">
                  <c:v>880833.10344827548</c:v>
                </c:pt>
                <c:pt idx="17">
                  <c:v>900407.17241379269</c:v>
                </c:pt>
                <c:pt idx="18">
                  <c:v>919981.24137930991</c:v>
                </c:pt>
                <c:pt idx="19">
                  <c:v>939555.31034482713</c:v>
                </c:pt>
                <c:pt idx="20">
                  <c:v>959129.37931034435</c:v>
                </c:pt>
                <c:pt idx="21">
                  <c:v>978703.44827586156</c:v>
                </c:pt>
                <c:pt idx="22">
                  <c:v>998277.51724137878</c:v>
                </c:pt>
                <c:pt idx="23">
                  <c:v>1017851.586206896</c:v>
                </c:pt>
                <c:pt idx="24">
                  <c:v>1037425.6551724132</c:v>
                </c:pt>
                <c:pt idx="25">
                  <c:v>1056999.7241379304</c:v>
                </c:pt>
                <c:pt idx="26">
                  <c:v>1076573.7931034476</c:v>
                </c:pt>
                <c:pt idx="27">
                  <c:v>1096147.8620689649</c:v>
                </c:pt>
                <c:pt idx="28">
                  <c:v>1115721.9310344821</c:v>
                </c:pt>
                <c:pt idx="29">
                  <c:v>1135296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E8-AC46-B825-0CB15DD07F95}"/>
            </c:ext>
          </c:extLst>
        </c:ser>
        <c:ser>
          <c:idx val="1"/>
          <c:order val="1"/>
          <c:tx>
            <c:strRef>
              <c:f>'Hist modellering'!$G$2</c:f>
              <c:strCache>
                <c:ptCount val="1"/>
                <c:pt idx="0">
                  <c:v>Yearly addition</c:v>
                </c:pt>
              </c:strCache>
            </c:strRef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modellering'!$G$4:$G$33</c:f>
              <c:numCache>
                <c:formatCode>#,##0</c:formatCode>
                <c:ptCount val="30"/>
                <c:pt idx="0">
                  <c:v>756864</c:v>
                </c:pt>
                <c:pt idx="1">
                  <c:v>776438.06896551722</c:v>
                </c:pt>
                <c:pt idx="2">
                  <c:v>796012.13793103443</c:v>
                </c:pt>
                <c:pt idx="3">
                  <c:v>815586.20689655165</c:v>
                </c:pt>
                <c:pt idx="4">
                  <c:v>835160.27586206887</c:v>
                </c:pt>
                <c:pt idx="5">
                  <c:v>854734.34482758609</c:v>
                </c:pt>
                <c:pt idx="6">
                  <c:v>874308.4137931033</c:v>
                </c:pt>
                <c:pt idx="7">
                  <c:v>893882.48275862052</c:v>
                </c:pt>
                <c:pt idx="8">
                  <c:v>913456.55172413774</c:v>
                </c:pt>
                <c:pt idx="9">
                  <c:v>933030.62068965496</c:v>
                </c:pt>
                <c:pt idx="10">
                  <c:v>952604.68965517217</c:v>
                </c:pt>
                <c:pt idx="11">
                  <c:v>972178.75862068939</c:v>
                </c:pt>
                <c:pt idx="12">
                  <c:v>991752.82758620661</c:v>
                </c:pt>
                <c:pt idx="13">
                  <c:v>1011326.8965517238</c:v>
                </c:pt>
                <c:pt idx="14">
                  <c:v>1030900.965517241</c:v>
                </c:pt>
                <c:pt idx="15">
                  <c:v>1050475.0344827583</c:v>
                </c:pt>
                <c:pt idx="16">
                  <c:v>1070049.1034482755</c:v>
                </c:pt>
                <c:pt idx="17">
                  <c:v>1089623.1724137927</c:v>
                </c:pt>
                <c:pt idx="18">
                  <c:v>1109197.2413793099</c:v>
                </c:pt>
                <c:pt idx="19">
                  <c:v>1128771.3103448271</c:v>
                </c:pt>
                <c:pt idx="20">
                  <c:v>1148345.3793103443</c:v>
                </c:pt>
                <c:pt idx="21">
                  <c:v>1167919.4482758616</c:v>
                </c:pt>
                <c:pt idx="22">
                  <c:v>1187493.5172413788</c:v>
                </c:pt>
                <c:pt idx="23">
                  <c:v>1207067.586206896</c:v>
                </c:pt>
                <c:pt idx="24">
                  <c:v>1226641.6551724132</c:v>
                </c:pt>
                <c:pt idx="25">
                  <c:v>1246215.7241379304</c:v>
                </c:pt>
                <c:pt idx="26">
                  <c:v>1265789.7931034476</c:v>
                </c:pt>
                <c:pt idx="27">
                  <c:v>1285363.8620689649</c:v>
                </c:pt>
                <c:pt idx="28">
                  <c:v>1304937.9310344821</c:v>
                </c:pt>
                <c:pt idx="29">
                  <c:v>1324512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E8-AC46-B825-0CB15DD0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76920"/>
        <c:axId val="284243528"/>
      </c:scatterChart>
      <c:scatterChart>
        <c:scatterStyle val="smoothMarker"/>
        <c:varyColors val="0"/>
        <c:ser>
          <c:idx val="2"/>
          <c:order val="2"/>
          <c:tx>
            <c:strRef>
              <c:f>'Hist modellering'!$F$2</c:f>
              <c:strCache>
                <c:ptCount val="1"/>
                <c:pt idx="0">
                  <c:v>Lake volume</c:v>
                </c:pt>
              </c:strCache>
            </c:strRef>
          </c:tx>
          <c:xVal>
            <c:numRef>
              <c:f>'Hist modellering'!$B$4:$B$33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modellering'!$E$4:$E$33</c:f>
              <c:numCache>
                <c:formatCode>0</c:formatCode>
                <c:ptCount val="30"/>
                <c:pt idx="0">
                  <c:v>31.220639999999992</c:v>
                </c:pt>
                <c:pt idx="1">
                  <c:v>30.463775999999992</c:v>
                </c:pt>
                <c:pt idx="2">
                  <c:v>29.687337931034474</c:v>
                </c:pt>
                <c:pt idx="3">
                  <c:v>28.891325793103441</c:v>
                </c:pt>
                <c:pt idx="4">
                  <c:v>28.07573958620689</c:v>
                </c:pt>
                <c:pt idx="5">
                  <c:v>27.240579310344824</c:v>
                </c:pt>
                <c:pt idx="6">
                  <c:v>26.385844965517236</c:v>
                </c:pt>
                <c:pt idx="7">
                  <c:v>25.511536551724134</c:v>
                </c:pt>
                <c:pt idx="8">
                  <c:v>24.617654068965518</c:v>
                </c:pt>
                <c:pt idx="9">
                  <c:v>23.704197517241376</c:v>
                </c:pt>
                <c:pt idx="10">
                  <c:v>22.771166896551719</c:v>
                </c:pt>
                <c:pt idx="11">
                  <c:v>21.818562206896548</c:v>
                </c:pt>
                <c:pt idx="12">
                  <c:v>20.846383448275855</c:v>
                </c:pt>
                <c:pt idx="13">
                  <c:v>19.854630620689647</c:v>
                </c:pt>
                <c:pt idx="14">
                  <c:v>18.843303724137925</c:v>
                </c:pt>
                <c:pt idx="15">
                  <c:v>17.812402758620681</c:v>
                </c:pt>
                <c:pt idx="16">
                  <c:v>16.761927724137923</c:v>
                </c:pt>
                <c:pt idx="17">
                  <c:v>15.69187862068965</c:v>
                </c:pt>
                <c:pt idx="18">
                  <c:v>14.602255448275857</c:v>
                </c:pt>
                <c:pt idx="19">
                  <c:v>13.493058206896547</c:v>
                </c:pt>
                <c:pt idx="20">
                  <c:v>12.364286896551722</c:v>
                </c:pt>
                <c:pt idx="21">
                  <c:v>11.215941517241376</c:v>
                </c:pt>
                <c:pt idx="22">
                  <c:v>10.048022068965514</c:v>
                </c:pt>
                <c:pt idx="23">
                  <c:v>8.8605285517241335</c:v>
                </c:pt>
                <c:pt idx="24">
                  <c:v>7.6534609655172376</c:v>
                </c:pt>
                <c:pt idx="25">
                  <c:v>6.4268193103448246</c:v>
                </c:pt>
                <c:pt idx="26">
                  <c:v>5.1806035862068942</c:v>
                </c:pt>
                <c:pt idx="27">
                  <c:v>3.914813793103447</c:v>
                </c:pt>
                <c:pt idx="28">
                  <c:v>2.6294499310344821</c:v>
                </c:pt>
                <c:pt idx="29">
                  <c:v>1.3245119999999999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E8-AC46-B825-0CB15DD0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658136"/>
        <c:axId val="284248728"/>
      </c:scatterChart>
      <c:valAx>
        <c:axId val="527376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84243528"/>
        <c:crosses val="autoZero"/>
        <c:crossBetween val="midCat"/>
      </c:valAx>
      <c:valAx>
        <c:axId val="2842435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Influx (m3/year)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7376920"/>
        <c:crosses val="autoZero"/>
        <c:crossBetween val="midCat"/>
      </c:valAx>
      <c:valAx>
        <c:axId val="28424872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Lake volume (Mm3)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8658136"/>
        <c:crosses val="max"/>
        <c:crossBetween val="midCat"/>
      </c:valAx>
      <c:valAx>
        <c:axId val="5286581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2487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 baseline="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NICKEL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'Hist modellering'!$B$85:$B$114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modellering'!$C$85:$C$114</c:f>
              <c:numCache>
                <c:formatCode>0.0000</c:formatCode>
                <c:ptCount val="30"/>
                <c:pt idx="0">
                  <c:v>0.83845492325891191</c:v>
                </c:pt>
                <c:pt idx="1">
                  <c:v>0.88785093321391528</c:v>
                </c:pt>
                <c:pt idx="2">
                  <c:v>0.93487358604601933</c:v>
                </c:pt>
                <c:pt idx="3">
                  <c:v>0.97968950972354163</c:v>
                </c:pt>
                <c:pt idx="4">
                  <c:v>1.0224500309722733</c:v>
                </c:pt>
                <c:pt idx="5">
                  <c:v>1.0632928807574884</c:v>
                </c:pt>
                <c:pt idx="6">
                  <c:v>1.1023436738917607</c:v>
                </c:pt>
                <c:pt idx="7">
                  <c:v>1.1397171961147641</c:v>
                </c:pt>
                <c:pt idx="8">
                  <c:v>1.1755185262042522</c:v>
                </c:pt>
                <c:pt idx="9">
                  <c:v>1.2098440158806325</c:v>
                </c:pt>
                <c:pt idx="10">
                  <c:v>1.242782146222533</c:v>
                </c:pt>
                <c:pt idx="11">
                  <c:v>1.2744142758084411</c:v>
                </c:pt>
                <c:pt idx="12">
                  <c:v>1.3048152926390721</c:v>
                </c:pt>
                <c:pt idx="13">
                  <c:v>1.334054178856966</c:v>
                </c:pt>
                <c:pt idx="14">
                  <c:v>1.362194494084801</c:v>
                </c:pt>
                <c:pt idx="15">
                  <c:v>1.3892947794446717</c:v>
                </c:pt>
                <c:pt idx="16">
                  <c:v>1.4154088793337001</c:v>
                </c:pt>
                <c:pt idx="17">
                  <c:v>1.4405861706465664</c:v>
                </c:pt>
                <c:pt idx="18">
                  <c:v>1.4648716771564074</c:v>
                </c:pt>
                <c:pt idx="19">
                  <c:v>1.4883060258398741</c:v>
                </c:pt>
                <c:pt idx="20">
                  <c:v>1.5109251629558276</c:v>
                </c:pt>
                <c:pt idx="21">
                  <c:v>1.5327596704606385</c:v>
                </c:pt>
                <c:pt idx="22">
                  <c:v>1.5538333599210321</c:v>
                </c:pt>
                <c:pt idx="23">
                  <c:v>1.5741604482068465</c:v>
                </c:pt>
                <c:pt idx="24">
                  <c:v>1.5937396876959193</c:v>
                </c:pt>
                <c:pt idx="25">
                  <c:v>1.6125412160388124</c:v>
                </c:pt>
                <c:pt idx="26">
                  <c:v>1.6304734162512398</c:v>
                </c:pt>
                <c:pt idx="27">
                  <c:v>1.6472831815702702</c:v>
                </c:pt>
                <c:pt idx="28">
                  <c:v>1.662156550692234</c:v>
                </c:pt>
                <c:pt idx="29">
                  <c:v>1.670922392549105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54-B144-B017-539232AF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1736"/>
        <c:axId val="509984280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'Hist modellering'!$B$85:$B$114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modellering'!$K$85:$K$114</c:f>
              <c:numCache>
                <c:formatCode>#\ ##0.0</c:formatCode>
                <c:ptCount val="30"/>
                <c:pt idx="0">
                  <c:v>0.59055360000000001</c:v>
                </c:pt>
                <c:pt idx="1">
                  <c:v>0.64611395172413799</c:v>
                </c:pt>
                <c:pt idx="2">
                  <c:v>0.70167430344827586</c:v>
                </c:pt>
                <c:pt idx="3">
                  <c:v>0.75723465517241395</c:v>
                </c:pt>
                <c:pt idx="4">
                  <c:v>0.81279500689655182</c:v>
                </c:pt>
                <c:pt idx="5">
                  <c:v>0.8683553586206898</c:v>
                </c:pt>
                <c:pt idx="6">
                  <c:v>0.92391571034482778</c:v>
                </c:pt>
                <c:pt idx="7">
                  <c:v>0.97947606206896565</c:v>
                </c:pt>
                <c:pt idx="8">
                  <c:v>1.0350364137931036</c:v>
                </c:pt>
                <c:pt idx="9">
                  <c:v>1.0905967655172415</c:v>
                </c:pt>
                <c:pt idx="10">
                  <c:v>1.1461571172413796</c:v>
                </c:pt>
                <c:pt idx="11">
                  <c:v>1.2017174689655177</c:v>
                </c:pt>
                <c:pt idx="12">
                  <c:v>1.2572778206896553</c:v>
                </c:pt>
                <c:pt idx="13">
                  <c:v>1.3128381724137934</c:v>
                </c:pt>
                <c:pt idx="14">
                  <c:v>1.3683985241379315</c:v>
                </c:pt>
                <c:pt idx="15">
                  <c:v>1.4239588758620692</c:v>
                </c:pt>
                <c:pt idx="16">
                  <c:v>1.4795192275862072</c:v>
                </c:pt>
                <c:pt idx="17">
                  <c:v>1.5350795793103453</c:v>
                </c:pt>
                <c:pt idx="18">
                  <c:v>1.590639931034483</c:v>
                </c:pt>
                <c:pt idx="19">
                  <c:v>1.6462002827586211</c:v>
                </c:pt>
                <c:pt idx="20">
                  <c:v>1.7017606344827592</c:v>
                </c:pt>
                <c:pt idx="21">
                  <c:v>1.757320986206897</c:v>
                </c:pt>
                <c:pt idx="22">
                  <c:v>1.8128813379310349</c:v>
                </c:pt>
                <c:pt idx="23">
                  <c:v>1.8684416896551728</c:v>
                </c:pt>
                <c:pt idx="24">
                  <c:v>1.9240020413793109</c:v>
                </c:pt>
                <c:pt idx="25">
                  <c:v>1.9795623931034487</c:v>
                </c:pt>
                <c:pt idx="26">
                  <c:v>2.0351227448275866</c:v>
                </c:pt>
                <c:pt idx="27">
                  <c:v>2.0906830965517247</c:v>
                </c:pt>
                <c:pt idx="28">
                  <c:v>2.1462434482758628</c:v>
                </c:pt>
                <c:pt idx="29">
                  <c:v>2.2018038000000004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54-B144-B017-539232AF3CBC}"/>
            </c:ext>
          </c:extLst>
        </c:ser>
        <c:ser>
          <c:idx val="2"/>
          <c:order val="2"/>
          <c:tx>
            <c:v>Goundwater influx</c:v>
          </c:tx>
          <c:xVal>
            <c:numRef>
              <c:f>'Hist modellering'!$B$85:$B$114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modellering'!$I$85:$I$114</c:f>
              <c:numCache>
                <c:formatCode>#\ ##0.0</c:formatCode>
                <c:ptCount val="30"/>
                <c:pt idx="0">
                  <c:v>5.6764800000000002E-3</c:v>
                </c:pt>
                <c:pt idx="1">
                  <c:v>5.8722206896551716E-3</c:v>
                </c:pt>
                <c:pt idx="2">
                  <c:v>6.0679613793103446E-3</c:v>
                </c:pt>
                <c:pt idx="3">
                  <c:v>6.2637020689655159E-3</c:v>
                </c:pt>
                <c:pt idx="4">
                  <c:v>6.459442758620689E-3</c:v>
                </c:pt>
                <c:pt idx="5">
                  <c:v>6.6551834482758603E-3</c:v>
                </c:pt>
                <c:pt idx="6">
                  <c:v>6.8509241379310342E-3</c:v>
                </c:pt>
                <c:pt idx="7">
                  <c:v>7.0466648275862047E-3</c:v>
                </c:pt>
                <c:pt idx="8">
                  <c:v>7.2424055172413786E-3</c:v>
                </c:pt>
                <c:pt idx="9">
                  <c:v>7.4381462068965499E-3</c:v>
                </c:pt>
                <c:pt idx="10">
                  <c:v>7.6338868965517229E-3</c:v>
                </c:pt>
                <c:pt idx="11">
                  <c:v>7.8296275862068943E-3</c:v>
                </c:pt>
                <c:pt idx="12">
                  <c:v>8.0253682758620656E-3</c:v>
                </c:pt>
                <c:pt idx="13">
                  <c:v>8.2211089655172386E-3</c:v>
                </c:pt>
                <c:pt idx="14">
                  <c:v>8.4168496551724099E-3</c:v>
                </c:pt>
                <c:pt idx="15">
                  <c:v>8.612590344827583E-3</c:v>
                </c:pt>
                <c:pt idx="16">
                  <c:v>8.8083310344827543E-3</c:v>
                </c:pt>
                <c:pt idx="17">
                  <c:v>9.0040717241379291E-3</c:v>
                </c:pt>
                <c:pt idx="18">
                  <c:v>9.1998124137931004E-3</c:v>
                </c:pt>
                <c:pt idx="19">
                  <c:v>9.3955531034482717E-3</c:v>
                </c:pt>
                <c:pt idx="20">
                  <c:v>9.591293793103443E-3</c:v>
                </c:pt>
                <c:pt idx="21">
                  <c:v>9.7870344827586178E-3</c:v>
                </c:pt>
                <c:pt idx="22">
                  <c:v>9.9827751724137891E-3</c:v>
                </c:pt>
                <c:pt idx="23">
                  <c:v>1.017851586206896E-2</c:v>
                </c:pt>
                <c:pt idx="24">
                  <c:v>1.0374256551724132E-2</c:v>
                </c:pt>
                <c:pt idx="25">
                  <c:v>1.0569997241379303E-2</c:v>
                </c:pt>
                <c:pt idx="26">
                  <c:v>1.0765737931034478E-2</c:v>
                </c:pt>
                <c:pt idx="27">
                  <c:v>1.0961478620689649E-2</c:v>
                </c:pt>
                <c:pt idx="28">
                  <c:v>1.115721931034482E-2</c:v>
                </c:pt>
                <c:pt idx="29">
                  <c:v>1.135296E-2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54-B144-B017-539232AF3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2441391"/>
        <c:axId val="983166624"/>
      </c:scatterChart>
      <c:valAx>
        <c:axId val="28428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09984280"/>
        <c:crosses val="autoZero"/>
        <c:crossBetween val="midCat"/>
      </c:valAx>
      <c:valAx>
        <c:axId val="50998428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281736"/>
        <c:crosses val="autoZero"/>
        <c:crossBetween val="midCat"/>
      </c:valAx>
      <c:valAx>
        <c:axId val="98316662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100"/>
                </a:pPr>
                <a:r>
                  <a:rPr lang="nb-NO" sz="1100" b="1" i="0" u="none" strike="noStrike" kern="1200" baseline="0">
                    <a:solidFill>
                      <a:sysClr val="windowText" lastClr="000000"/>
                    </a:solidFill>
                  </a:rPr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crossAx val="1962441391"/>
        <c:crosses val="max"/>
        <c:crossBetween val="midCat"/>
      </c:valAx>
      <c:valAx>
        <c:axId val="19624413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831666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'Hist modellering'!$B$126:$B$155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modellering'!$C$126:$C$155</c:f>
              <c:numCache>
                <c:formatCode>0.00</c:formatCode>
                <c:ptCount val="30"/>
                <c:pt idx="0">
                  <c:v>12.104476973603889</c:v>
                </c:pt>
                <c:pt idx="1">
                  <c:v>12.750064168013838</c:v>
                </c:pt>
                <c:pt idx="2">
                  <c:v>13.36463248118822</c:v>
                </c:pt>
                <c:pt idx="3">
                  <c:v>13.950359677741508</c:v>
                </c:pt>
                <c:pt idx="4">
                  <c:v>14.509223540827268</c:v>
                </c:pt>
                <c:pt idx="5">
                  <c:v>15.043024162143924</c:v>
                </c:pt>
                <c:pt idx="6">
                  <c:v>15.553403279850061</c:v>
                </c:pt>
                <c:pt idx="7">
                  <c:v>16.041861100211381</c:v>
                </c:pt>
                <c:pt idx="8">
                  <c:v>16.509770963167352</c:v>
                </c:pt>
                <c:pt idx="9">
                  <c:v>16.95839214931393</c:v>
                </c:pt>
                <c:pt idx="10">
                  <c:v>17.388881072931603</c:v>
                </c:pt>
                <c:pt idx="11">
                  <c:v>17.802301059913979</c:v>
                </c:pt>
                <c:pt idx="12">
                  <c:v>18.199630868146979</c:v>
                </c:pt>
                <c:pt idx="13">
                  <c:v>18.58177206818068</c:v>
                </c:pt>
                <c:pt idx="14">
                  <c:v>18.949555360278548</c:v>
                </c:pt>
                <c:pt idx="15">
                  <c:v>19.30374585479673</c:v>
                </c:pt>
                <c:pt idx="16">
                  <c:v>19.645047277669882</c:v>
                </c:pt>
                <c:pt idx="17">
                  <c:v>19.974104966263003</c:v>
                </c:pt>
                <c:pt idx="18">
                  <c:v>20.291507364286545</c:v>
                </c:pt>
                <c:pt idx="19">
                  <c:v>20.597785450981505</c:v>
                </c:pt>
                <c:pt idx="20">
                  <c:v>20.893409030375157</c:v>
                </c:pt>
                <c:pt idx="21">
                  <c:v>21.178777797087175</c:v>
                </c:pt>
                <c:pt idx="22">
                  <c:v>21.4542029593016</c:v>
                </c:pt>
                <c:pt idx="23">
                  <c:v>21.719870326137841</c:v>
                </c:pt>
                <c:pt idx="24">
                  <c:v>21.975763591645428</c:v>
                </c:pt>
                <c:pt idx="25">
                  <c:v>22.22149246619551</c:v>
                </c:pt>
                <c:pt idx="26">
                  <c:v>22.45585955040503</c:v>
                </c:pt>
                <c:pt idx="27">
                  <c:v>22.675556834474897</c:v>
                </c:pt>
                <c:pt idx="28">
                  <c:v>22.869946151580049</c:v>
                </c:pt>
                <c:pt idx="29">
                  <c:v>22.984512393998692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F4-CF46-9159-998A03FB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281736"/>
        <c:axId val="509984280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'Hist modellering'!$B$126:$B$155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modellering'!$K$126:$K$155</c:f>
              <c:numCache>
                <c:formatCode>#,##0</c:formatCode>
                <c:ptCount val="30"/>
                <c:pt idx="0">
                  <c:v>7592.8320000000003</c:v>
                </c:pt>
                <c:pt idx="1">
                  <c:v>8307.1793793103461</c:v>
                </c:pt>
                <c:pt idx="2">
                  <c:v>9021.5267586206901</c:v>
                </c:pt>
                <c:pt idx="3">
                  <c:v>9735.8741379310359</c:v>
                </c:pt>
                <c:pt idx="4">
                  <c:v>10450.221517241382</c:v>
                </c:pt>
                <c:pt idx="5">
                  <c:v>11164.568896551724</c:v>
                </c:pt>
                <c:pt idx="6">
                  <c:v>11878.91627586207</c:v>
                </c:pt>
                <c:pt idx="7">
                  <c:v>12593.263655172415</c:v>
                </c:pt>
                <c:pt idx="8">
                  <c:v>13307.611034482761</c:v>
                </c:pt>
                <c:pt idx="9">
                  <c:v>14021.958413793105</c:v>
                </c:pt>
                <c:pt idx="10">
                  <c:v>14736.305793103451</c:v>
                </c:pt>
                <c:pt idx="11">
                  <c:v>15450.653172413797</c:v>
                </c:pt>
                <c:pt idx="12">
                  <c:v>16165.000551724139</c:v>
                </c:pt>
                <c:pt idx="13">
                  <c:v>16879.347931034488</c:v>
                </c:pt>
                <c:pt idx="14">
                  <c:v>17593.695310344829</c:v>
                </c:pt>
                <c:pt idx="15">
                  <c:v>18308.042689655176</c:v>
                </c:pt>
                <c:pt idx="16">
                  <c:v>19022.39006896552</c:v>
                </c:pt>
                <c:pt idx="17">
                  <c:v>19736.737448275864</c:v>
                </c:pt>
                <c:pt idx="18">
                  <c:v>20451.084827586212</c:v>
                </c:pt>
                <c:pt idx="19">
                  <c:v>21165.432206896556</c:v>
                </c:pt>
                <c:pt idx="20">
                  <c:v>21879.779586206903</c:v>
                </c:pt>
                <c:pt idx="21">
                  <c:v>22594.126965517244</c:v>
                </c:pt>
                <c:pt idx="22">
                  <c:v>23308.474344827591</c:v>
                </c:pt>
                <c:pt idx="23">
                  <c:v>24022.821724137935</c:v>
                </c:pt>
                <c:pt idx="24">
                  <c:v>24737.169103448279</c:v>
                </c:pt>
                <c:pt idx="25">
                  <c:v>25451.516482758627</c:v>
                </c:pt>
                <c:pt idx="26">
                  <c:v>26165.863862068971</c:v>
                </c:pt>
                <c:pt idx="27">
                  <c:v>26880.211241379318</c:v>
                </c:pt>
                <c:pt idx="28">
                  <c:v>27594.558620689659</c:v>
                </c:pt>
                <c:pt idx="29">
                  <c:v>28308.905999999999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F4-CF46-9159-998A03FB3CD4}"/>
            </c:ext>
          </c:extLst>
        </c:ser>
        <c:ser>
          <c:idx val="2"/>
          <c:order val="2"/>
          <c:tx>
            <c:v>Goundwater influx</c:v>
          </c:tx>
          <c:xVal>
            <c:numRef>
              <c:f>'Hist modellering'!$B$126:$B$155</c:f>
              <c:numCache>
                <c:formatCode>General</c:formatCode>
                <c:ptCount val="30"/>
                <c:pt idx="0">
                  <c:v>2012</c:v>
                </c:pt>
                <c:pt idx="1">
                  <c:v>2011</c:v>
                </c:pt>
                <c:pt idx="2">
                  <c:v>2010</c:v>
                </c:pt>
                <c:pt idx="3">
                  <c:v>2009</c:v>
                </c:pt>
                <c:pt idx="4">
                  <c:v>2008</c:v>
                </c:pt>
                <c:pt idx="5">
                  <c:v>2007</c:v>
                </c:pt>
                <c:pt idx="6">
                  <c:v>2006</c:v>
                </c:pt>
                <c:pt idx="7">
                  <c:v>2005</c:v>
                </c:pt>
                <c:pt idx="8">
                  <c:v>2004</c:v>
                </c:pt>
                <c:pt idx="9">
                  <c:v>2003</c:v>
                </c:pt>
                <c:pt idx="10">
                  <c:v>2002</c:v>
                </c:pt>
                <c:pt idx="11">
                  <c:v>2001</c:v>
                </c:pt>
                <c:pt idx="12">
                  <c:v>2000</c:v>
                </c:pt>
                <c:pt idx="13">
                  <c:v>1999</c:v>
                </c:pt>
                <c:pt idx="14">
                  <c:v>1998</c:v>
                </c:pt>
                <c:pt idx="15">
                  <c:v>1997</c:v>
                </c:pt>
                <c:pt idx="16">
                  <c:v>1996</c:v>
                </c:pt>
                <c:pt idx="17">
                  <c:v>1995</c:v>
                </c:pt>
                <c:pt idx="18">
                  <c:v>1994</c:v>
                </c:pt>
                <c:pt idx="19">
                  <c:v>1993</c:v>
                </c:pt>
                <c:pt idx="20">
                  <c:v>1992</c:v>
                </c:pt>
                <c:pt idx="21">
                  <c:v>1991</c:v>
                </c:pt>
                <c:pt idx="22">
                  <c:v>1990</c:v>
                </c:pt>
                <c:pt idx="23">
                  <c:v>1989</c:v>
                </c:pt>
                <c:pt idx="24">
                  <c:v>1988</c:v>
                </c:pt>
                <c:pt idx="25">
                  <c:v>1987</c:v>
                </c:pt>
                <c:pt idx="26">
                  <c:v>1986</c:v>
                </c:pt>
                <c:pt idx="27">
                  <c:v>1985</c:v>
                </c:pt>
                <c:pt idx="28">
                  <c:v>1984</c:v>
                </c:pt>
                <c:pt idx="29">
                  <c:v>1983</c:v>
                </c:pt>
              </c:numCache>
            </c:numRef>
          </c:xVal>
          <c:yVal>
            <c:numRef>
              <c:f>'Hist modellering'!$I$126:$I$155</c:f>
              <c:numCache>
                <c:formatCode>#\ ##0.0</c:formatCode>
                <c:ptCount val="30"/>
                <c:pt idx="0">
                  <c:v>1067.17824</c:v>
                </c:pt>
                <c:pt idx="1">
                  <c:v>1103.9774896551721</c:v>
                </c:pt>
                <c:pt idx="2">
                  <c:v>1140.7767393103447</c:v>
                </c:pt>
                <c:pt idx="3">
                  <c:v>1177.5759889655171</c:v>
                </c:pt>
                <c:pt idx="4">
                  <c:v>1214.3752386206893</c:v>
                </c:pt>
                <c:pt idx="5">
                  <c:v>1251.1744882758617</c:v>
                </c:pt>
                <c:pt idx="6">
                  <c:v>1287.9737379310341</c:v>
                </c:pt>
                <c:pt idx="7">
                  <c:v>1324.7729875862065</c:v>
                </c:pt>
                <c:pt idx="8">
                  <c:v>1361.5722372413791</c:v>
                </c:pt>
                <c:pt idx="9">
                  <c:v>1398.3714868965512</c:v>
                </c:pt>
                <c:pt idx="10">
                  <c:v>1435.1707365517236</c:v>
                </c:pt>
                <c:pt idx="11">
                  <c:v>1471.969986206896</c:v>
                </c:pt>
                <c:pt idx="12">
                  <c:v>1508.7692358620682</c:v>
                </c:pt>
                <c:pt idx="13">
                  <c:v>1545.5684855172408</c:v>
                </c:pt>
                <c:pt idx="14">
                  <c:v>1582.3677351724132</c:v>
                </c:pt>
                <c:pt idx="15">
                  <c:v>1619.1669848275856</c:v>
                </c:pt>
                <c:pt idx="16">
                  <c:v>1655.9662344827577</c:v>
                </c:pt>
                <c:pt idx="17">
                  <c:v>1692.7654841379301</c:v>
                </c:pt>
                <c:pt idx="18">
                  <c:v>1729.5647337931025</c:v>
                </c:pt>
                <c:pt idx="19">
                  <c:v>1766.3639834482751</c:v>
                </c:pt>
                <c:pt idx="20">
                  <c:v>1803.1632331034473</c:v>
                </c:pt>
                <c:pt idx="21">
                  <c:v>1839.9624827586199</c:v>
                </c:pt>
                <c:pt idx="22">
                  <c:v>1876.7617324137918</c:v>
                </c:pt>
                <c:pt idx="23">
                  <c:v>1913.5609820689642</c:v>
                </c:pt>
                <c:pt idx="24">
                  <c:v>1950.3602317241368</c:v>
                </c:pt>
                <c:pt idx="25">
                  <c:v>1987.159481379309</c:v>
                </c:pt>
                <c:pt idx="26">
                  <c:v>2023.9587310344816</c:v>
                </c:pt>
                <c:pt idx="27">
                  <c:v>2060.7579806896542</c:v>
                </c:pt>
                <c:pt idx="28">
                  <c:v>2097.5572303448262</c:v>
                </c:pt>
                <c:pt idx="29">
                  <c:v>2134.3564799999999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F4-CF46-9159-998A03FB3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8552848"/>
        <c:axId val="878155440"/>
      </c:scatterChart>
      <c:valAx>
        <c:axId val="284281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09984280"/>
        <c:crosses val="autoZero"/>
        <c:crossBetween val="midCat"/>
      </c:valAx>
      <c:valAx>
        <c:axId val="509984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(mg/l)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281736"/>
        <c:crosses val="autoZero"/>
        <c:crossBetween val="midCat"/>
      </c:valAx>
      <c:valAx>
        <c:axId val="8781554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crossAx val="878552848"/>
        <c:crosses val="max"/>
        <c:crossBetween val="midCat"/>
      </c:valAx>
      <c:valAx>
        <c:axId val="878552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815544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 - SUMMER TIME -PIT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v>Concentration</c:v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mining'!$C$4:$C$19</c:f>
              <c:numCache>
                <c:formatCode>0.0</c:formatCode>
                <c:ptCount val="16"/>
                <c:pt idx="0">
                  <c:v>21.57845148529892</c:v>
                </c:pt>
                <c:pt idx="1">
                  <c:v>19.285353145381173</c:v>
                </c:pt>
                <c:pt idx="2">
                  <c:v>17.450571413592151</c:v>
                </c:pt>
                <c:pt idx="3">
                  <c:v>15.949394316059616</c:v>
                </c:pt>
                <c:pt idx="4">
                  <c:v>14.698649072471881</c:v>
                </c:pt>
                <c:pt idx="5">
                  <c:v>13.640758412639792</c:v>
                </c:pt>
                <c:pt idx="6">
                  <c:v>12.734628002722912</c:v>
                </c:pt>
                <c:pt idx="7">
                  <c:v>11.950185552290307</c:v>
                </c:pt>
                <c:pt idx="8">
                  <c:v>11.264984618474257</c:v>
                </c:pt>
                <c:pt idx="9">
                  <c:v>10.662041752840494</c:v>
                </c:pt>
                <c:pt idx="10">
                  <c:v>10.128467377903933</c:v>
                </c:pt>
                <c:pt idx="11">
                  <c:v>9.6546956793024474</c:v>
                </c:pt>
                <c:pt idx="12">
                  <c:v>9.2343817755092452</c:v>
                </c:pt>
                <c:pt idx="13">
                  <c:v>8.865713835227286</c:v>
                </c:pt>
                <c:pt idx="14">
                  <c:v>8.558319589496767</c:v>
                </c:pt>
                <c:pt idx="15">
                  <c:v>8.3839195078976392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CF-4642-9FD7-D306FA24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908408"/>
        <c:axId val="284829544"/>
      </c:scatterChart>
      <c:scatterChart>
        <c:scatterStyle val="smoothMarker"/>
        <c:varyColors val="0"/>
        <c:ser>
          <c:idx val="0"/>
          <c:order val="0"/>
          <c:tx>
            <c:v>Leached amount</c:v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mining'!$K$4:$K$19</c:f>
              <c:numCache>
                <c:formatCode>#\ ##0.0</c:formatCode>
                <c:ptCount val="16"/>
                <c:pt idx="0">
                  <c:v>18.872603999999999</c:v>
                </c:pt>
                <c:pt idx="1">
                  <c:v>18.969286799999995</c:v>
                </c:pt>
                <c:pt idx="2">
                  <c:v>19.065969599999999</c:v>
                </c:pt>
                <c:pt idx="3">
                  <c:v>19.162652399999999</c:v>
                </c:pt>
                <c:pt idx="4">
                  <c:v>19.259335199999995</c:v>
                </c:pt>
                <c:pt idx="5">
                  <c:v>19.356017999999992</c:v>
                </c:pt>
                <c:pt idx="6">
                  <c:v>19.452700799999992</c:v>
                </c:pt>
                <c:pt idx="7">
                  <c:v>19.549383599999995</c:v>
                </c:pt>
                <c:pt idx="8">
                  <c:v>19.646066399999992</c:v>
                </c:pt>
                <c:pt idx="9">
                  <c:v>19.742749199999988</c:v>
                </c:pt>
                <c:pt idx="10">
                  <c:v>19.839431999999988</c:v>
                </c:pt>
                <c:pt idx="11">
                  <c:v>19.936114799999988</c:v>
                </c:pt>
                <c:pt idx="12">
                  <c:v>20.032797599999988</c:v>
                </c:pt>
                <c:pt idx="13">
                  <c:v>20.129480399999984</c:v>
                </c:pt>
                <c:pt idx="14">
                  <c:v>20.226163199999984</c:v>
                </c:pt>
                <c:pt idx="15">
                  <c:v>20.322845999999998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CF-4642-9FD7-D306FA24FE30}"/>
            </c:ext>
          </c:extLst>
        </c:ser>
        <c:ser>
          <c:idx val="2"/>
          <c:order val="2"/>
          <c:tx>
            <c:v>Goundwater influx</c:v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mining'!$I$4:$I$19</c:f>
              <c:numCache>
                <c:formatCode>#\ ##0.0</c:formatCode>
                <c:ptCount val="16"/>
                <c:pt idx="0">
                  <c:v>1.1352960000000001</c:v>
                </c:pt>
                <c:pt idx="1">
                  <c:v>1.3177376000000001</c:v>
                </c:pt>
                <c:pt idx="2">
                  <c:v>1.5001792000000003</c:v>
                </c:pt>
                <c:pt idx="3">
                  <c:v>1.6826208000000002</c:v>
                </c:pt>
                <c:pt idx="4">
                  <c:v>1.8650624000000005</c:v>
                </c:pt>
                <c:pt idx="5">
                  <c:v>2.0475040000000004</c:v>
                </c:pt>
                <c:pt idx="6">
                  <c:v>2.2299456000000006</c:v>
                </c:pt>
                <c:pt idx="7">
                  <c:v>2.4123872000000004</c:v>
                </c:pt>
                <c:pt idx="8">
                  <c:v>2.594828800000001</c:v>
                </c:pt>
                <c:pt idx="9">
                  <c:v>2.7772704000000008</c:v>
                </c:pt>
                <c:pt idx="10">
                  <c:v>2.959712000000001</c:v>
                </c:pt>
                <c:pt idx="11">
                  <c:v>3.1421536000000008</c:v>
                </c:pt>
                <c:pt idx="12">
                  <c:v>3.324595200000001</c:v>
                </c:pt>
                <c:pt idx="13">
                  <c:v>3.5070368000000016</c:v>
                </c:pt>
                <c:pt idx="14">
                  <c:v>3.6894784000000014</c:v>
                </c:pt>
                <c:pt idx="15">
                  <c:v>3.8719199999999998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CF-4642-9FD7-D306FA24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4758376"/>
        <c:axId val="284975288"/>
      </c:scatterChart>
      <c:valAx>
        <c:axId val="284908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829544"/>
        <c:crosses val="autoZero"/>
        <c:crossBetween val="midCat"/>
      </c:valAx>
      <c:valAx>
        <c:axId val="284829544"/>
        <c:scaling>
          <c:orientation val="minMax"/>
          <c:max val="3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908408"/>
        <c:crosses val="autoZero"/>
        <c:crossBetween val="midCat"/>
        <c:majorUnit val="5"/>
      </c:valAx>
      <c:valAx>
        <c:axId val="28497528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284758376"/>
        <c:crosses val="max"/>
        <c:crossBetween val="midCat"/>
      </c:valAx>
      <c:valAx>
        <c:axId val="284758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849752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WATER INFLUX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89989578509"/>
          <c:y val="0.12226148409894"/>
          <c:w val="0.76118221137850695"/>
          <c:h val="0.6371881695000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'Hist modellering'!$J$2</c:f>
              <c:strCache>
                <c:ptCount val="1"/>
                <c:pt idx="0">
                  <c:v>Groundwater</c:v>
                </c:pt>
              </c:strCache>
            </c:strRef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mining'!$J$4:$J$19</c:f>
              <c:numCache>
                <c:formatCode>#,##0</c:formatCode>
                <c:ptCount val="16"/>
                <c:pt idx="0">
                  <c:v>1135296</c:v>
                </c:pt>
                <c:pt idx="1">
                  <c:v>1317737.6000000001</c:v>
                </c:pt>
                <c:pt idx="2">
                  <c:v>1500179.2000000002</c:v>
                </c:pt>
                <c:pt idx="3">
                  <c:v>1682620.8000000003</c:v>
                </c:pt>
                <c:pt idx="4">
                  <c:v>1865062.4000000004</c:v>
                </c:pt>
                <c:pt idx="5">
                  <c:v>2047504.0000000005</c:v>
                </c:pt>
                <c:pt idx="6">
                  <c:v>2229945.6000000006</c:v>
                </c:pt>
                <c:pt idx="7">
                  <c:v>2412387.2000000007</c:v>
                </c:pt>
                <c:pt idx="8">
                  <c:v>2594828.8000000007</c:v>
                </c:pt>
                <c:pt idx="9">
                  <c:v>2777270.4000000008</c:v>
                </c:pt>
                <c:pt idx="10">
                  <c:v>2959712.0000000009</c:v>
                </c:pt>
                <c:pt idx="11">
                  <c:v>3142153.600000001</c:v>
                </c:pt>
                <c:pt idx="12">
                  <c:v>3324595.2000000011</c:v>
                </c:pt>
                <c:pt idx="13">
                  <c:v>3507036.8000000012</c:v>
                </c:pt>
                <c:pt idx="14">
                  <c:v>3689478.4000000013</c:v>
                </c:pt>
                <c:pt idx="15">
                  <c:v>3871920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21-7940-B290-731A1FCFB600}"/>
            </c:ext>
          </c:extLst>
        </c:ser>
        <c:ser>
          <c:idx val="1"/>
          <c:order val="1"/>
          <c:tx>
            <c:strRef>
              <c:f>'Modell During mining'!$H$2</c:f>
              <c:strCache>
                <c:ptCount val="1"/>
                <c:pt idx="0">
                  <c:v>Net Rainwater</c:v>
                </c:pt>
              </c:strCache>
            </c:strRef>
          </c:tx>
          <c:xVal>
            <c:numRef>
              <c:f>'Modell During mining'!$B$4:$B$19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mining'!$H$4:$H$19</c:f>
              <c:numCache>
                <c:formatCode>#,##0</c:formatCode>
                <c:ptCount val="16"/>
                <c:pt idx="0">
                  <c:v>189216</c:v>
                </c:pt>
                <c:pt idx="1">
                  <c:v>195523.20000000001</c:v>
                </c:pt>
                <c:pt idx="2">
                  <c:v>201830.40000000002</c:v>
                </c:pt>
                <c:pt idx="3">
                  <c:v>208137.60000000003</c:v>
                </c:pt>
                <c:pt idx="4">
                  <c:v>214444.80000000005</c:v>
                </c:pt>
                <c:pt idx="5">
                  <c:v>220752.00000000006</c:v>
                </c:pt>
                <c:pt idx="6">
                  <c:v>227059.20000000007</c:v>
                </c:pt>
                <c:pt idx="7">
                  <c:v>233366.40000000008</c:v>
                </c:pt>
                <c:pt idx="8">
                  <c:v>239673.60000000009</c:v>
                </c:pt>
                <c:pt idx="9">
                  <c:v>245980.8000000001</c:v>
                </c:pt>
                <c:pt idx="10">
                  <c:v>252288.00000000012</c:v>
                </c:pt>
                <c:pt idx="11">
                  <c:v>258595.20000000013</c:v>
                </c:pt>
                <c:pt idx="12">
                  <c:v>264902.40000000014</c:v>
                </c:pt>
                <c:pt idx="13">
                  <c:v>271209.60000000015</c:v>
                </c:pt>
                <c:pt idx="14">
                  <c:v>277516.80000000016</c:v>
                </c:pt>
                <c:pt idx="15">
                  <c:v>283824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21-7940-B290-731A1FCFB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621896"/>
        <c:axId val="527873176"/>
      </c:scatterChart>
      <c:valAx>
        <c:axId val="512621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873176"/>
        <c:crosses val="autoZero"/>
        <c:crossBetween val="midCat"/>
      </c:valAx>
      <c:valAx>
        <c:axId val="5278731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Influx (m3/year)</a:t>
                </a:r>
              </a:p>
            </c:rich>
          </c:tx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2621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400" baseline="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NH4 - Summer - Pit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0"/>
          <c:tx>
            <c:v>Concentration</c:v>
          </c:tx>
          <c:xVal>
            <c:numRef>
              <c:f>'Modell During mining'!$B$34:$B$49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mining'!$D$34:$D$49</c:f>
              <c:numCache>
                <c:formatCode>0.0</c:formatCode>
                <c:ptCount val="16"/>
                <c:pt idx="0">
                  <c:v>4.130047192660931</c:v>
                </c:pt>
                <c:pt idx="1">
                  <c:v>3.6149082112361026</c:v>
                </c:pt>
                <c:pt idx="2">
                  <c:v>3.2140245954415967</c:v>
                </c:pt>
                <c:pt idx="3">
                  <c:v>2.8931790230278569</c:v>
                </c:pt>
                <c:pt idx="4">
                  <c:v>2.6305772660511653</c:v>
                </c:pt>
                <c:pt idx="5">
                  <c:v>2.4116793648184833</c:v>
                </c:pt>
                <c:pt idx="6">
                  <c:v>2.2264132384852129</c:v>
                </c:pt>
                <c:pt idx="7">
                  <c:v>2.0675809864371777</c:v>
                </c:pt>
                <c:pt idx="8">
                  <c:v>1.9299019336070107</c:v>
                </c:pt>
                <c:pt idx="9">
                  <c:v>1.8094141456024935</c:v>
                </c:pt>
                <c:pt idx="10">
                  <c:v>1.7030869587190884</c:v>
                </c:pt>
                <c:pt idx="11">
                  <c:v>1.6085625424088108</c:v>
                </c:pt>
                <c:pt idx="12">
                  <c:v>1.5239789992442709</c:v>
                </c:pt>
                <c:pt idx="13">
                  <c:v>1.4478464889568112</c:v>
                </c:pt>
                <c:pt idx="14">
                  <c:v>1.3789587164284223</c:v>
                </c:pt>
                <c:pt idx="15">
                  <c:v>1.3163285403253218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34-4742-AE36-0D4455FA8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904440"/>
        <c:axId val="496781720"/>
      </c:scatterChart>
      <c:valAx>
        <c:axId val="511904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6781720"/>
        <c:crosses val="autoZero"/>
        <c:crossBetween val="midCat"/>
      </c:valAx>
      <c:valAx>
        <c:axId val="496781720"/>
        <c:scaling>
          <c:orientation val="minMax"/>
          <c:max val="1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(mg/l)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1904440"/>
        <c:crosses val="autoZero"/>
        <c:crossBetween val="midCat"/>
        <c:majorUnit val="5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Cu-NH4  i Recipient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'Modell During mining'!$C$51</c:f>
              <c:strCache>
                <c:ptCount val="1"/>
                <c:pt idx="0">
                  <c:v>Alt 0 Resipient , Cu conc.</c:v>
                </c:pt>
              </c:strCache>
            </c:strRef>
          </c:tx>
          <c:xVal>
            <c:numRef>
              <c:f>'Modell During mining'!$B$53:$B$68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mining'!$C$53:$C$68</c:f>
              <c:numCache>
                <c:formatCode>0.00</c:formatCode>
                <c:ptCount val="16"/>
                <c:pt idx="0">
                  <c:v>1.4072021906058154</c:v>
                </c:pt>
                <c:pt idx="1">
                  <c:v>1.4202915593097745</c:v>
                </c:pt>
                <c:pt idx="2">
                  <c:v>1.4333809280137337</c:v>
                </c:pt>
                <c:pt idx="3">
                  <c:v>1.4464702967176928</c:v>
                </c:pt>
                <c:pt idx="4">
                  <c:v>1.4595596654216516</c:v>
                </c:pt>
                <c:pt idx="5">
                  <c:v>1.4726490341256107</c:v>
                </c:pt>
                <c:pt idx="6">
                  <c:v>1.4857384028295697</c:v>
                </c:pt>
                <c:pt idx="7">
                  <c:v>1.498827771533529</c:v>
                </c:pt>
                <c:pt idx="8">
                  <c:v>1.5119171402374878</c:v>
                </c:pt>
                <c:pt idx="9">
                  <c:v>1.5250065089414468</c:v>
                </c:pt>
                <c:pt idx="10">
                  <c:v>1.5380958776454059</c:v>
                </c:pt>
                <c:pt idx="11">
                  <c:v>1.5511852463493649</c:v>
                </c:pt>
                <c:pt idx="12">
                  <c:v>1.564274615053324</c:v>
                </c:pt>
                <c:pt idx="13">
                  <c:v>1.5773639837572828</c:v>
                </c:pt>
                <c:pt idx="14">
                  <c:v>1.5904533524612421</c:v>
                </c:pt>
                <c:pt idx="15">
                  <c:v>1.6035427211652018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4D-CC4F-9097-11E174665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095896"/>
        <c:axId val="498388664"/>
      </c:scatterChart>
      <c:scatterChart>
        <c:scatterStyle val="smoothMarker"/>
        <c:varyColors val="0"/>
        <c:ser>
          <c:idx val="0"/>
          <c:order val="0"/>
          <c:tx>
            <c:strRef>
              <c:f>'Modell During mining'!$D$51</c:f>
              <c:strCache>
                <c:ptCount val="1"/>
                <c:pt idx="0">
                  <c:v>Alt 0 Resipient NH4 conc.</c:v>
                </c:pt>
              </c:strCache>
            </c:strRef>
          </c:tx>
          <c:xVal>
            <c:numRef>
              <c:f>'Modell During mining'!$B$53:$B$68</c:f>
              <c:numCache>
                <c:formatCode>General</c:formatCode>
                <c:ptCount val="1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  <c:pt idx="11">
                  <c:v>2025</c:v>
                </c:pt>
                <c:pt idx="12">
                  <c:v>2026</c:v>
                </c:pt>
                <c:pt idx="13">
                  <c:v>2027</c:v>
                </c:pt>
                <c:pt idx="14">
                  <c:v>2028</c:v>
                </c:pt>
                <c:pt idx="15">
                  <c:v>2029</c:v>
                </c:pt>
              </c:numCache>
            </c:numRef>
          </c:xVal>
          <c:yVal>
            <c:numRef>
              <c:f>'Modell During mining'!$D$53:$D$68</c:f>
              <c:numCache>
                <c:formatCode>0.00</c:formatCode>
                <c:ptCount val="16"/>
                <c:pt idx="0">
                  <c:v>0.15955126944991754</c:v>
                </c:pt>
                <c:pt idx="1">
                  <c:v>0.15963682432685916</c:v>
                </c:pt>
                <c:pt idx="2">
                  <c:v>0.15972237920380078</c:v>
                </c:pt>
                <c:pt idx="3">
                  <c:v>0.1598079340807424</c:v>
                </c:pt>
                <c:pt idx="4">
                  <c:v>0.15989348895768402</c:v>
                </c:pt>
                <c:pt idx="5">
                  <c:v>0.15997904383462561</c:v>
                </c:pt>
                <c:pt idx="6">
                  <c:v>0.16006459871156722</c:v>
                </c:pt>
                <c:pt idx="7">
                  <c:v>0.16015015358850884</c:v>
                </c:pt>
                <c:pt idx="8">
                  <c:v>0.16023570846545046</c:v>
                </c:pt>
                <c:pt idx="9">
                  <c:v>0.16032126334239208</c:v>
                </c:pt>
                <c:pt idx="10">
                  <c:v>0.1604068182193337</c:v>
                </c:pt>
                <c:pt idx="11">
                  <c:v>0.16049237309627531</c:v>
                </c:pt>
                <c:pt idx="12">
                  <c:v>0.16057792797321693</c:v>
                </c:pt>
                <c:pt idx="13">
                  <c:v>0.16066348285015855</c:v>
                </c:pt>
                <c:pt idx="14">
                  <c:v>0.16074903772710017</c:v>
                </c:pt>
                <c:pt idx="15">
                  <c:v>0.16083459260404176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4D-CC4F-9097-11E174665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392440"/>
        <c:axId val="450095128"/>
      </c:scatterChart>
      <c:valAx>
        <c:axId val="493095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8388664"/>
        <c:crosses val="autoZero"/>
        <c:crossBetween val="midCat"/>
      </c:valAx>
      <c:valAx>
        <c:axId val="498388664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Cu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3095896"/>
        <c:crosses val="autoZero"/>
        <c:crossBetween val="midCat"/>
      </c:valAx>
      <c:valAx>
        <c:axId val="450095128"/>
        <c:scaling>
          <c:orientation val="minMax"/>
          <c:max val="2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NH4 (mg/l)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7392440"/>
        <c:crosses val="max"/>
        <c:crossBetween val="midCat"/>
      </c:valAx>
      <c:valAx>
        <c:axId val="497392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00951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 after closure'!$C$2</c:f>
              <c:strCache>
                <c:ptCount val="1"/>
                <c:pt idx="0">
                  <c:v>COPPER Lake  conc.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closure'!$C$4:$C$154</c:f>
              <c:numCache>
                <c:formatCode>0.0</c:formatCode>
                <c:ptCount val="151"/>
                <c:pt idx="0">
                  <c:v>5.7424185630161926</c:v>
                </c:pt>
                <c:pt idx="1">
                  <c:v>10.976658492137148</c:v>
                </c:pt>
                <c:pt idx="2">
                  <c:v>5.826551123761079</c:v>
                </c:pt>
                <c:pt idx="3">
                  <c:v>6.0652505223910653</c:v>
                </c:pt>
                <c:pt idx="4">
                  <c:v>6.4091885126047892</c:v>
                </c:pt>
                <c:pt idx="5">
                  <c:v>6.880215133252177</c:v>
                </c:pt>
                <c:pt idx="6">
                  <c:v>7.0721489806725657</c:v>
                </c:pt>
                <c:pt idx="7">
                  <c:v>7.2869742604747714</c:v>
                </c:pt>
                <c:pt idx="8">
                  <c:v>6.7261733403274411</c:v>
                </c:pt>
                <c:pt idx="9">
                  <c:v>6.8530538048680931</c:v>
                </c:pt>
                <c:pt idx="10">
                  <c:v>7.8463206663129288</c:v>
                </c:pt>
                <c:pt idx="11">
                  <c:v>8.035798521190312</c:v>
                </c:pt>
                <c:pt idx="12">
                  <c:v>8.2354492476600676</c:v>
                </c:pt>
                <c:pt idx="13">
                  <c:v>8.3920192828015203</c:v>
                </c:pt>
                <c:pt idx="14">
                  <c:v>9.0850974672760803</c:v>
                </c:pt>
                <c:pt idx="15">
                  <c:v>9.2855414151242055</c:v>
                </c:pt>
                <c:pt idx="16">
                  <c:v>8.9135382737920139</c:v>
                </c:pt>
                <c:pt idx="17">
                  <c:v>9.1107532602364287</c:v>
                </c:pt>
                <c:pt idx="18">
                  <c:v>9.3237191066931064</c:v>
                </c:pt>
                <c:pt idx="19">
                  <c:v>9.4711589885539507</c:v>
                </c:pt>
                <c:pt idx="20">
                  <c:v>9.6253822277296592</c:v>
                </c:pt>
                <c:pt idx="21">
                  <c:v>9.7868675054494183</c:v>
                </c:pt>
                <c:pt idx="22">
                  <c:v>9.9561385597755212</c:v>
                </c:pt>
                <c:pt idx="23">
                  <c:v>10.133769660132772</c:v>
                </c:pt>
                <c:pt idx="24">
                  <c:v>10.32039185337101</c:v>
                </c:pt>
                <c:pt idx="25">
                  <c:v>10.518184339881037</c:v>
                </c:pt>
                <c:pt idx="26">
                  <c:v>10.732737885553741</c:v>
                </c:pt>
                <c:pt idx="27">
                  <c:v>10.906527185880451</c:v>
                </c:pt>
                <c:pt idx="28">
                  <c:v>11.088555224545518</c:v>
                </c:pt>
                <c:pt idx="29">
                  <c:v>11.27941599775084</c:v>
                </c:pt>
                <c:pt idx="30">
                  <c:v>11.479760877445912</c:v>
                </c:pt>
                <c:pt idx="31">
                  <c:v>11.690305554820906</c:v>
                </c:pt>
                <c:pt idx="32">
                  <c:v>11.911837972821187</c:v>
                </c:pt>
                <c:pt idx="33">
                  <c:v>12.145227405424826</c:v>
                </c:pt>
                <c:pt idx="34">
                  <c:v>12.382953073449801</c:v>
                </c:pt>
                <c:pt idx="35">
                  <c:v>12.554373759989446</c:v>
                </c:pt>
                <c:pt idx="36">
                  <c:v>13.33084192242238</c:v>
                </c:pt>
                <c:pt idx="37">
                  <c:v>13.588923449363827</c:v>
                </c:pt>
                <c:pt idx="38">
                  <c:v>13.861072363294589</c:v>
                </c:pt>
                <c:pt idx="39">
                  <c:v>14.148437922633073</c:v>
                </c:pt>
                <c:pt idx="40">
                  <c:v>14.452291897178156</c:v>
                </c:pt>
                <c:pt idx="41">
                  <c:v>14.774043838468467</c:v>
                </c:pt>
                <c:pt idx="42">
                  <c:v>15.115258203913799</c:v>
                </c:pt>
                <c:pt idx="43">
                  <c:v>15.477673390043092</c:v>
                </c:pt>
                <c:pt idx="44">
                  <c:v>15.863222592142467</c:v>
                </c:pt>
                <c:pt idx="45">
                  <c:v>16.274056151961339</c:v>
                </c:pt>
                <c:pt idx="46">
                  <c:v>16.712564597884455</c:v>
                </c:pt>
                <c:pt idx="47">
                  <c:v>17.181400777114863</c:v>
                </c:pt>
                <c:pt idx="48">
                  <c:v>17.68349807036703</c:v>
                </c:pt>
                <c:pt idx="49">
                  <c:v>18.222079206933195</c:v>
                </c:pt>
                <c:pt idx="50">
                  <c:v>18.800645822107633</c:v>
                </c:pt>
                <c:pt idx="51">
                  <c:v>19.422931047591035</c:v>
                </c:pt>
                <c:pt idx="52">
                  <c:v>20.092783070733027</c:v>
                </c:pt>
                <c:pt idx="53">
                  <c:v>20.813920715667518</c:v>
                </c:pt>
                <c:pt idx="54">
                  <c:v>21.589450237753081</c:v>
                </c:pt>
                <c:pt idx="55">
                  <c:v>22.422646725108432</c:v>
                </c:pt>
                <c:pt idx="56">
                  <c:v>23.601739923069442</c:v>
                </c:pt>
                <c:pt idx="57">
                  <c:v>24.936423342777797</c:v>
                </c:pt>
                <c:pt idx="58">
                  <c:v>26.459669871422925</c:v>
                </c:pt>
                <c:pt idx="59">
                  <c:v>28.21447740093253</c:v>
                </c:pt>
                <c:pt idx="60">
                  <c:v>30.257992223894263</c:v>
                </c:pt>
                <c:pt idx="61">
                  <c:v>32.667850054119796</c:v>
                </c:pt>
                <c:pt idx="62">
                  <c:v>35.552263126996969</c:v>
                </c:pt>
                <c:pt idx="63">
                  <c:v>39.066717276812945</c:v>
                </c:pt>
                <c:pt idx="64">
                  <c:v>43.443014730575953</c:v>
                </c:pt>
                <c:pt idx="65">
                  <c:v>43.051384282880136</c:v>
                </c:pt>
                <c:pt idx="66">
                  <c:v>42.659753817281079</c:v>
                </c:pt>
                <c:pt idx="67">
                  <c:v>42.268123333930305</c:v>
                </c:pt>
                <c:pt idx="68">
                  <c:v>41.876492832977689</c:v>
                </c:pt>
                <c:pt idx="69">
                  <c:v>41.484862314571409</c:v>
                </c:pt>
                <c:pt idx="70">
                  <c:v>41.093231778857977</c:v>
                </c:pt>
                <c:pt idx="71">
                  <c:v>40.701601225982301</c:v>
                </c:pt>
                <c:pt idx="72">
                  <c:v>40.309970656087621</c:v>
                </c:pt>
                <c:pt idx="73">
                  <c:v>39.91834006931564</c:v>
                </c:pt>
                <c:pt idx="74">
                  <c:v>39.526709465806469</c:v>
                </c:pt>
                <c:pt idx="75">
                  <c:v>39.135078845698665</c:v>
                </c:pt>
                <c:pt idx="76">
                  <c:v>38.743448209129262</c:v>
                </c:pt>
                <c:pt idx="77">
                  <c:v>38.351817556233819</c:v>
                </c:pt>
                <c:pt idx="78">
                  <c:v>37.960186887146371</c:v>
                </c:pt>
                <c:pt idx="79">
                  <c:v>37.568556201999506</c:v>
                </c:pt>
                <c:pt idx="80">
                  <c:v>37.176925500924398</c:v>
                </c:pt>
                <c:pt idx="81">
                  <c:v>36.785294784050727</c:v>
                </c:pt>
                <c:pt idx="82">
                  <c:v>36.393664051506825</c:v>
                </c:pt>
                <c:pt idx="83">
                  <c:v>36.002033303419623</c:v>
                </c:pt>
                <c:pt idx="84">
                  <c:v>35.610402539914681</c:v>
                </c:pt>
                <c:pt idx="85">
                  <c:v>35.218771761116237</c:v>
                </c:pt>
                <c:pt idx="86">
                  <c:v>34.827140967147152</c:v>
                </c:pt>
                <c:pt idx="87">
                  <c:v>34.435510158128977</c:v>
                </c:pt>
                <c:pt idx="88">
                  <c:v>34.043879334182037</c:v>
                </c:pt>
                <c:pt idx="89">
                  <c:v>33.652248495425297</c:v>
                </c:pt>
                <c:pt idx="90">
                  <c:v>33.260617641976481</c:v>
                </c:pt>
                <c:pt idx="91">
                  <c:v>32.868986773952116</c:v>
                </c:pt>
                <c:pt idx="92">
                  <c:v>32.477355891467433</c:v>
                </c:pt>
                <c:pt idx="93">
                  <c:v>32.085724994636507</c:v>
                </c:pt>
                <c:pt idx="94">
                  <c:v>31.694094083572175</c:v>
                </c:pt>
                <c:pt idx="95">
                  <c:v>31.302463158386111</c:v>
                </c:pt>
                <c:pt idx="96">
                  <c:v>30.910832219188833</c:v>
                </c:pt>
                <c:pt idx="97">
                  <c:v>30.519201266089695</c:v>
                </c:pt>
                <c:pt idx="98">
                  <c:v>30.127570299196918</c:v>
                </c:pt>
                <c:pt idx="99">
                  <c:v>29.735939318617618</c:v>
                </c:pt>
                <c:pt idx="100">
                  <c:v>29.344308324457771</c:v>
                </c:pt>
                <c:pt idx="101">
                  <c:v>28.952677316822296</c:v>
                </c:pt>
                <c:pt idx="102">
                  <c:v>28.561046295815025</c:v>
                </c:pt>
                <c:pt idx="103">
                  <c:v>28.16941526153871</c:v>
                </c:pt>
                <c:pt idx="104">
                  <c:v>27.777784214095067</c:v>
                </c:pt>
                <c:pt idx="105">
                  <c:v>27.386153153584775</c:v>
                </c:pt>
                <c:pt idx="106">
                  <c:v>26.994522080107483</c:v>
                </c:pt>
                <c:pt idx="107">
                  <c:v>26.602890993761836</c:v>
                </c:pt>
                <c:pt idx="108">
                  <c:v>26.21125989464548</c:v>
                </c:pt>
                <c:pt idx="109">
                  <c:v>25.819628782855073</c:v>
                </c:pt>
                <c:pt idx="110">
                  <c:v>25.427997658486298</c:v>
                </c:pt>
                <c:pt idx="111">
                  <c:v>25.036366521633873</c:v>
                </c:pt>
                <c:pt idx="112">
                  <c:v>24.644735372391583</c:v>
                </c:pt>
                <c:pt idx="113">
                  <c:v>24.253104210852271</c:v>
                </c:pt>
                <c:pt idx="114">
                  <c:v>23.861473037107842</c:v>
                </c:pt>
                <c:pt idx="115">
                  <c:v>23.469841851249303</c:v>
                </c:pt>
                <c:pt idx="116">
                  <c:v>23.078210653366739</c:v>
                </c:pt>
                <c:pt idx="117">
                  <c:v>22.686579443549373</c:v>
                </c:pt>
                <c:pt idx="118">
                  <c:v>22.294948221885516</c:v>
                </c:pt>
                <c:pt idx="119">
                  <c:v>21.903316988462638</c:v>
                </c:pt>
                <c:pt idx="120">
                  <c:v>21.51168574336733</c:v>
                </c:pt>
                <c:pt idx="121">
                  <c:v>21.120054486685348</c:v>
                </c:pt>
                <c:pt idx="122">
                  <c:v>20.7284232185016</c:v>
                </c:pt>
                <c:pt idx="123">
                  <c:v>20.336791938900166</c:v>
                </c:pt>
                <c:pt idx="124">
                  <c:v>19.945160647964315</c:v>
                </c:pt>
                <c:pt idx="125">
                  <c:v>19.553529345776511</c:v>
                </c:pt>
                <c:pt idx="126">
                  <c:v>19.161898032418414</c:v>
                </c:pt>
                <c:pt idx="127">
                  <c:v>18.770266707970887</c:v>
                </c:pt>
                <c:pt idx="128">
                  <c:v>18.378635372514029</c:v>
                </c:pt>
                <c:pt idx="129">
                  <c:v>17.98700402612717</c:v>
                </c:pt>
                <c:pt idx="130">
                  <c:v>17.595372668888871</c:v>
                </c:pt>
                <c:pt idx="131">
                  <c:v>17.203741300876949</c:v>
                </c:pt>
                <c:pt idx="132">
                  <c:v>16.812109922168471</c:v>
                </c:pt>
                <c:pt idx="133">
                  <c:v>16.42047853283977</c:v>
                </c:pt>
                <c:pt idx="134">
                  <c:v>16.028847132966462</c:v>
                </c:pt>
                <c:pt idx="135">
                  <c:v>15.637215722623443</c:v>
                </c:pt>
                <c:pt idx="136">
                  <c:v>15.245584301884906</c:v>
                </c:pt>
                <c:pt idx="137">
                  <c:v>14.85395287082434</c:v>
                </c:pt>
                <c:pt idx="138">
                  <c:v>14.462321429514541</c:v>
                </c:pt>
                <c:pt idx="139">
                  <c:v>14.070689978027628</c:v>
                </c:pt>
                <c:pt idx="140">
                  <c:v>13.679058516435038</c:v>
                </c:pt>
                <c:pt idx="141">
                  <c:v>13.287427044807549</c:v>
                </c:pt>
                <c:pt idx="142">
                  <c:v>12.89579556321527</c:v>
                </c:pt>
                <c:pt idx="143">
                  <c:v>12.504164071727667</c:v>
                </c:pt>
                <c:pt idx="144">
                  <c:v>12.112532570413556</c:v>
                </c:pt>
                <c:pt idx="145">
                  <c:v>11.72090105934112</c:v>
                </c:pt>
                <c:pt idx="146">
                  <c:v>11.329269538577917</c:v>
                </c:pt>
                <c:pt idx="147">
                  <c:v>10.93763800819087</c:v>
                </c:pt>
                <c:pt idx="148">
                  <c:v>10.546006468246301</c:v>
                </c:pt>
                <c:pt idx="149">
                  <c:v>10.154374918809912</c:v>
                </c:pt>
                <c:pt idx="150">
                  <c:v>9.7627433599468141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B8-8F47-9C67-ECD2F53F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286008"/>
        <c:axId val="518665336"/>
      </c:scatterChart>
      <c:scatterChart>
        <c:scatterStyle val="smoothMarker"/>
        <c:varyColors val="0"/>
        <c:ser>
          <c:idx val="0"/>
          <c:order val="0"/>
          <c:tx>
            <c:strRef>
              <c:f>'Mod after closure'!$K$2</c:f>
              <c:strCache>
                <c:ptCount val="1"/>
                <c:pt idx="0">
                  <c:v>surface leaching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closure'!$K$4:$K$154</c:f>
              <c:numCache>
                <c:formatCode>#\ ##0.0</c:formatCode>
                <c:ptCount val="151"/>
                <c:pt idx="0">
                  <c:v>21.451892999999998</c:v>
                </c:pt>
                <c:pt idx="1">
                  <c:v>19.553495389380533</c:v>
                </c:pt>
                <c:pt idx="2">
                  <c:v>20.498395705048541</c:v>
                </c:pt>
                <c:pt idx="3">
                  <c:v>19.273940387878788</c:v>
                </c:pt>
                <c:pt idx="4">
                  <c:v>20.295460505185183</c:v>
                </c:pt>
                <c:pt idx="5">
                  <c:v>20.14497678205128</c:v>
                </c:pt>
                <c:pt idx="6">
                  <c:v>19.992476703999994</c:v>
                </c:pt>
                <c:pt idx="7">
                  <c:v>20.053335489999995</c:v>
                </c:pt>
                <c:pt idx="8">
                  <c:v>19.911230316129025</c:v>
                </c:pt>
                <c:pt idx="9">
                  <c:v>19.768003416444436</c:v>
                </c:pt>
                <c:pt idx="10">
                  <c:v>19.623538750344821</c:v>
                </c:pt>
                <c:pt idx="11">
                  <c:v>19.621982986666659</c:v>
                </c:pt>
                <c:pt idx="12">
                  <c:v>19.48341435117646</c:v>
                </c:pt>
                <c:pt idx="13">
                  <c:v>19.34404030060605</c:v>
                </c:pt>
                <c:pt idx="14">
                  <c:v>19.203785327291651</c:v>
                </c:pt>
                <c:pt idx="15">
                  <c:v>19.062564180645154</c:v>
                </c:pt>
                <c:pt idx="16">
                  <c:v>18.920280243333323</c:v>
                </c:pt>
                <c:pt idx="17">
                  <c:v>18.944473781954013</c:v>
                </c:pt>
                <c:pt idx="18">
                  <c:v>18.809167822418871</c:v>
                </c:pt>
                <c:pt idx="19">
                  <c:v>18.67331495345454</c:v>
                </c:pt>
                <c:pt idx="20">
                  <c:v>18.536869173333329</c:v>
                </c:pt>
                <c:pt idx="21">
                  <c:v>18.399779172435892</c:v>
                </c:pt>
                <c:pt idx="22">
                  <c:v>18.261987544950493</c:v>
                </c:pt>
                <c:pt idx="23">
                  <c:v>18.123429855782312</c:v>
                </c:pt>
                <c:pt idx="24">
                  <c:v>17.984033530666665</c:v>
                </c:pt>
                <c:pt idx="25">
                  <c:v>17.9348488913834</c:v>
                </c:pt>
                <c:pt idx="26">
                  <c:v>17.798612557588076</c:v>
                </c:pt>
                <c:pt idx="27">
                  <c:v>17.661734388396095</c:v>
                </c:pt>
                <c:pt idx="28">
                  <c:v>17.524156286637936</c:v>
                </c:pt>
                <c:pt idx="29">
                  <c:v>17.385812925274077</c:v>
                </c:pt>
                <c:pt idx="30">
                  <c:v>17.24663058663609</c:v>
                </c:pt>
                <c:pt idx="31">
                  <c:v>17.106525770616123</c:v>
                </c:pt>
                <c:pt idx="32">
                  <c:v>16.965403516307198</c:v>
                </c:pt>
                <c:pt idx="33">
                  <c:v>16.82315536582065</c:v>
                </c:pt>
                <c:pt idx="34">
                  <c:v>16.041637216000012</c:v>
                </c:pt>
                <c:pt idx="35">
                  <c:v>16.599555968735643</c:v>
                </c:pt>
                <c:pt idx="36">
                  <c:v>16.457578039285728</c:v>
                </c:pt>
                <c:pt idx="37">
                  <c:v>16.314363173333348</c:v>
                </c:pt>
                <c:pt idx="38">
                  <c:v>16.169768647435912</c:v>
                </c:pt>
                <c:pt idx="39">
                  <c:v>16.023628902400013</c:v>
                </c:pt>
                <c:pt idx="40">
                  <c:v>15.875750785833347</c:v>
                </c:pt>
                <c:pt idx="41">
                  <c:v>15.725907553623205</c:v>
                </c:pt>
                <c:pt idx="42">
                  <c:v>15.573831235454564</c:v>
                </c:pt>
                <c:pt idx="43">
                  <c:v>15.419202819047639</c:v>
                </c:pt>
                <c:pt idx="44">
                  <c:v>15.261639489666685</c:v>
                </c:pt>
                <c:pt idx="45">
                  <c:v>15.100677840000023</c:v>
                </c:pt>
                <c:pt idx="46">
                  <c:v>14.935751483333354</c:v>
                </c:pt>
                <c:pt idx="47">
                  <c:v>14.766160765490216</c:v>
                </c:pt>
                <c:pt idx="48">
                  <c:v>14.591031118750024</c:v>
                </c:pt>
                <c:pt idx="49">
                  <c:v>14.409254757333358</c:v>
                </c:pt>
                <c:pt idx="50">
                  <c:v>14.219407385238121</c:v>
                </c:pt>
                <c:pt idx="51">
                  <c:v>14.019626461538488</c:v>
                </c:pt>
                <c:pt idx="52">
                  <c:v>13.807428598333363</c:v>
                </c:pt>
                <c:pt idx="53">
                  <c:v>13.579427357575785</c:v>
                </c:pt>
                <c:pt idx="54">
                  <c:v>13.330881726000028</c:v>
                </c:pt>
                <c:pt idx="55">
                  <c:v>13.219726708020861</c:v>
                </c:pt>
                <c:pt idx="56">
                  <c:v>13.108571690041694</c:v>
                </c:pt>
                <c:pt idx="57">
                  <c:v>12.997416672062529</c:v>
                </c:pt>
                <c:pt idx="58">
                  <c:v>12.886261654083361</c:v>
                </c:pt>
                <c:pt idx="59">
                  <c:v>12.775106636104196</c:v>
                </c:pt>
                <c:pt idx="60">
                  <c:v>12.663951618125029</c:v>
                </c:pt>
                <c:pt idx="61">
                  <c:v>12.552796600145863</c:v>
                </c:pt>
                <c:pt idx="62">
                  <c:v>12.441641582166696</c:v>
                </c:pt>
                <c:pt idx="63">
                  <c:v>12.330486564187531</c:v>
                </c:pt>
                <c:pt idx="64">
                  <c:v>12.219331546208362</c:v>
                </c:pt>
                <c:pt idx="65">
                  <c:v>12.108176528229198</c:v>
                </c:pt>
                <c:pt idx="66">
                  <c:v>11.997021510250033</c:v>
                </c:pt>
                <c:pt idx="67">
                  <c:v>11.885866492270864</c:v>
                </c:pt>
                <c:pt idx="68">
                  <c:v>11.774711474291699</c:v>
                </c:pt>
                <c:pt idx="69">
                  <c:v>11.663556456312532</c:v>
                </c:pt>
                <c:pt idx="70">
                  <c:v>11.552401438333366</c:v>
                </c:pt>
                <c:pt idx="71">
                  <c:v>11.441246420354199</c:v>
                </c:pt>
                <c:pt idx="72">
                  <c:v>11.330091402375032</c:v>
                </c:pt>
                <c:pt idx="73">
                  <c:v>11.218936384395867</c:v>
                </c:pt>
                <c:pt idx="74">
                  <c:v>11.107781366416701</c:v>
                </c:pt>
                <c:pt idx="75">
                  <c:v>10.996626348437534</c:v>
                </c:pt>
                <c:pt idx="76">
                  <c:v>10.885471330458367</c:v>
                </c:pt>
                <c:pt idx="77">
                  <c:v>10.774316312479202</c:v>
                </c:pt>
                <c:pt idx="78">
                  <c:v>10.663161294500034</c:v>
                </c:pt>
                <c:pt idx="79">
                  <c:v>10.552006276520869</c:v>
                </c:pt>
                <c:pt idx="80">
                  <c:v>10.440851258541704</c:v>
                </c:pt>
                <c:pt idx="81">
                  <c:v>10.329696240562535</c:v>
                </c:pt>
                <c:pt idx="82">
                  <c:v>10.21854122258337</c:v>
                </c:pt>
                <c:pt idx="83">
                  <c:v>10.107386204604202</c:v>
                </c:pt>
                <c:pt idx="84">
                  <c:v>9.9962311866250371</c:v>
                </c:pt>
                <c:pt idx="85">
                  <c:v>9.8850761686458704</c:v>
                </c:pt>
                <c:pt idx="86">
                  <c:v>9.7739211506667019</c:v>
                </c:pt>
                <c:pt idx="87">
                  <c:v>9.6627661326875351</c:v>
                </c:pt>
                <c:pt idx="88">
                  <c:v>9.5516111147083684</c:v>
                </c:pt>
                <c:pt idx="89">
                  <c:v>9.4404560967291999</c:v>
                </c:pt>
                <c:pt idx="90">
                  <c:v>9.3293010787500332</c:v>
                </c:pt>
                <c:pt idx="91">
                  <c:v>9.2181460607708647</c:v>
                </c:pt>
                <c:pt idx="92">
                  <c:v>9.106991042791698</c:v>
                </c:pt>
                <c:pt idx="93">
                  <c:v>8.9958360248125295</c:v>
                </c:pt>
                <c:pt idx="94">
                  <c:v>8.884681006833361</c:v>
                </c:pt>
                <c:pt idx="95">
                  <c:v>8.7735259888541943</c:v>
                </c:pt>
                <c:pt idx="96">
                  <c:v>8.6623709708750258</c:v>
                </c:pt>
                <c:pt idx="97">
                  <c:v>8.5512159528958591</c:v>
                </c:pt>
                <c:pt idx="98">
                  <c:v>8.4400609349166924</c:v>
                </c:pt>
                <c:pt idx="99">
                  <c:v>8.3289059169375257</c:v>
                </c:pt>
                <c:pt idx="100">
                  <c:v>8.2177508989583572</c:v>
                </c:pt>
                <c:pt idx="101">
                  <c:v>8.1065958809791905</c:v>
                </c:pt>
                <c:pt idx="102">
                  <c:v>7.995440863000022</c:v>
                </c:pt>
                <c:pt idx="103">
                  <c:v>7.8842858450208553</c:v>
                </c:pt>
                <c:pt idx="104">
                  <c:v>7.7731308270416877</c:v>
                </c:pt>
                <c:pt idx="105">
                  <c:v>7.6619758090625201</c:v>
                </c:pt>
                <c:pt idx="106">
                  <c:v>7.5508207910833525</c:v>
                </c:pt>
                <c:pt idx="107">
                  <c:v>7.4396657731041849</c:v>
                </c:pt>
                <c:pt idx="108">
                  <c:v>7.3285107551250182</c:v>
                </c:pt>
                <c:pt idx="109">
                  <c:v>7.2173557371458505</c:v>
                </c:pt>
                <c:pt idx="110">
                  <c:v>7.1062007191666829</c:v>
                </c:pt>
                <c:pt idx="111">
                  <c:v>6.9950457011875153</c:v>
                </c:pt>
                <c:pt idx="112">
                  <c:v>6.8838906832083486</c:v>
                </c:pt>
                <c:pt idx="113">
                  <c:v>6.772735665229181</c:v>
                </c:pt>
                <c:pt idx="114">
                  <c:v>6.6615806472500134</c:v>
                </c:pt>
                <c:pt idx="115">
                  <c:v>6.5504256292708458</c:v>
                </c:pt>
                <c:pt idx="116">
                  <c:v>6.4392706112916782</c:v>
                </c:pt>
                <c:pt idx="117">
                  <c:v>6.3281155933125106</c:v>
                </c:pt>
                <c:pt idx="118">
                  <c:v>6.216960575333343</c:v>
                </c:pt>
                <c:pt idx="119">
                  <c:v>6.1058055573541754</c:v>
                </c:pt>
                <c:pt idx="120">
                  <c:v>5.9946505393750078</c:v>
                </c:pt>
                <c:pt idx="121">
                  <c:v>5.8834955213958411</c:v>
                </c:pt>
                <c:pt idx="122">
                  <c:v>5.7723405034166735</c:v>
                </c:pt>
                <c:pt idx="123">
                  <c:v>5.6611854854375059</c:v>
                </c:pt>
                <c:pt idx="124">
                  <c:v>5.5500304674583383</c:v>
                </c:pt>
                <c:pt idx="125">
                  <c:v>5.4388754494791707</c:v>
                </c:pt>
                <c:pt idx="126">
                  <c:v>5.327720431500004</c:v>
                </c:pt>
                <c:pt idx="127">
                  <c:v>5.2165654135208364</c:v>
                </c:pt>
                <c:pt idx="128">
                  <c:v>5.1054103955416688</c:v>
                </c:pt>
                <c:pt idx="129">
                  <c:v>4.9942553775625012</c:v>
                </c:pt>
                <c:pt idx="130">
                  <c:v>4.8831003595833344</c:v>
                </c:pt>
                <c:pt idx="131">
                  <c:v>4.7719453416041677</c:v>
                </c:pt>
                <c:pt idx="132">
                  <c:v>4.6607903236250001</c:v>
                </c:pt>
                <c:pt idx="133">
                  <c:v>4.5496353056458334</c:v>
                </c:pt>
                <c:pt idx="134">
                  <c:v>4.4384802876666667</c:v>
                </c:pt>
                <c:pt idx="135">
                  <c:v>4.3273252696875</c:v>
                </c:pt>
                <c:pt idx="136">
                  <c:v>4.2161702517083324</c:v>
                </c:pt>
                <c:pt idx="137">
                  <c:v>4.1050152337291657</c:v>
                </c:pt>
                <c:pt idx="138">
                  <c:v>3.9938602157499989</c:v>
                </c:pt>
                <c:pt idx="139">
                  <c:v>3.8827051977708322</c:v>
                </c:pt>
                <c:pt idx="140">
                  <c:v>3.7715501797916651</c:v>
                </c:pt>
                <c:pt idx="141">
                  <c:v>3.6603951618124984</c:v>
                </c:pt>
                <c:pt idx="142">
                  <c:v>3.5492401438333312</c:v>
                </c:pt>
                <c:pt idx="143">
                  <c:v>3.4380851258541645</c:v>
                </c:pt>
                <c:pt idx="144">
                  <c:v>3.3269301078749973</c:v>
                </c:pt>
                <c:pt idx="145">
                  <c:v>3.2157750898958306</c:v>
                </c:pt>
                <c:pt idx="146">
                  <c:v>3.1046200719166634</c:v>
                </c:pt>
                <c:pt idx="147">
                  <c:v>2.9934650539374967</c:v>
                </c:pt>
                <c:pt idx="148">
                  <c:v>2.88231003595833</c:v>
                </c:pt>
                <c:pt idx="149">
                  <c:v>2.7711550179791633</c:v>
                </c:pt>
                <c:pt idx="150">
                  <c:v>2.66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B8-8F47-9C67-ECD2F53F3A61}"/>
            </c:ext>
          </c:extLst>
        </c:ser>
        <c:ser>
          <c:idx val="2"/>
          <c:order val="2"/>
          <c:tx>
            <c:strRef>
              <c:f>'Mod after closure'!$I$2</c:f>
              <c:strCache>
                <c:ptCount val="1"/>
                <c:pt idx="0">
                  <c:v>Groundwater contribution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closure'!$I$4:$I$154</c:f>
              <c:numCache>
                <c:formatCode>#\ ##0.0</c:formatCode>
                <c:ptCount val="151"/>
                <c:pt idx="0">
                  <c:v>0.64144224000000005</c:v>
                </c:pt>
                <c:pt idx="1">
                  <c:v>0.58467743999999999</c:v>
                </c:pt>
                <c:pt idx="2">
                  <c:v>0.56197151999999995</c:v>
                </c:pt>
                <c:pt idx="3">
                  <c:v>0.51088319999999998</c:v>
                </c:pt>
                <c:pt idx="4">
                  <c:v>0.4919616</c:v>
                </c:pt>
                <c:pt idx="5">
                  <c:v>0.47304000000000002</c:v>
                </c:pt>
                <c:pt idx="6">
                  <c:v>0.45411839999999998</c:v>
                </c:pt>
                <c:pt idx="7">
                  <c:v>0.43992720000000002</c:v>
                </c:pt>
                <c:pt idx="8">
                  <c:v>0.425736</c:v>
                </c:pt>
                <c:pt idx="9">
                  <c:v>0.41154479999999999</c:v>
                </c:pt>
                <c:pt idx="10">
                  <c:v>0.39735359999999997</c:v>
                </c:pt>
                <c:pt idx="11">
                  <c:v>0.38600064000000001</c:v>
                </c:pt>
                <c:pt idx="12">
                  <c:v>0.37464767999999998</c:v>
                </c:pt>
                <c:pt idx="13">
                  <c:v>0.36329472000000002</c:v>
                </c:pt>
                <c:pt idx="14">
                  <c:v>0.35194175999999999</c:v>
                </c:pt>
                <c:pt idx="15">
                  <c:v>0.34058880000000002</c:v>
                </c:pt>
                <c:pt idx="16">
                  <c:v>0.32923584</c:v>
                </c:pt>
                <c:pt idx="17">
                  <c:v>0.32072112000000003</c:v>
                </c:pt>
                <c:pt idx="18">
                  <c:v>0.3122064</c:v>
                </c:pt>
                <c:pt idx="19">
                  <c:v>0.30369168000000002</c:v>
                </c:pt>
                <c:pt idx="20">
                  <c:v>0.29517695999999999</c:v>
                </c:pt>
                <c:pt idx="21">
                  <c:v>0.28666224000000001</c:v>
                </c:pt>
                <c:pt idx="22">
                  <c:v>0.27814751999999998</c:v>
                </c:pt>
                <c:pt idx="23">
                  <c:v>0.26963280000000001</c:v>
                </c:pt>
                <c:pt idx="24">
                  <c:v>0.26111807999999997</c:v>
                </c:pt>
                <c:pt idx="25">
                  <c:v>0.2538934690909091</c:v>
                </c:pt>
                <c:pt idx="26">
                  <c:v>0.24666885818181819</c:v>
                </c:pt>
                <c:pt idx="27">
                  <c:v>0.23944424727272723</c:v>
                </c:pt>
                <c:pt idx="28">
                  <c:v>0.23221963636363632</c:v>
                </c:pt>
                <c:pt idx="29">
                  <c:v>0.22499502545454542</c:v>
                </c:pt>
                <c:pt idx="30">
                  <c:v>0.21777041454545454</c:v>
                </c:pt>
                <c:pt idx="31">
                  <c:v>0.21054580363636363</c:v>
                </c:pt>
                <c:pt idx="32">
                  <c:v>0.20332119272727273</c:v>
                </c:pt>
                <c:pt idx="33">
                  <c:v>0.19609658181818176</c:v>
                </c:pt>
                <c:pt idx="34">
                  <c:v>0.18164736000000001</c:v>
                </c:pt>
                <c:pt idx="35">
                  <c:v>0.17538365793103447</c:v>
                </c:pt>
                <c:pt idx="36">
                  <c:v>0.16911995586206899</c:v>
                </c:pt>
                <c:pt idx="37">
                  <c:v>0.16285625379310342</c:v>
                </c:pt>
                <c:pt idx="38">
                  <c:v>0.15659255172413794</c:v>
                </c:pt>
                <c:pt idx="39">
                  <c:v>0.1503288496551724</c:v>
                </c:pt>
                <c:pt idx="40">
                  <c:v>0.14406514758620692</c:v>
                </c:pt>
                <c:pt idx="41">
                  <c:v>0.13780144551724136</c:v>
                </c:pt>
                <c:pt idx="42">
                  <c:v>0.13153774344827587</c:v>
                </c:pt>
                <c:pt idx="43">
                  <c:v>0.12527404137931036</c:v>
                </c:pt>
                <c:pt idx="44">
                  <c:v>0.11901033931034484</c:v>
                </c:pt>
                <c:pt idx="45">
                  <c:v>0.1127466372413793</c:v>
                </c:pt>
                <c:pt idx="46">
                  <c:v>0.10648293517241379</c:v>
                </c:pt>
                <c:pt idx="47">
                  <c:v>0.10021923310344828</c:v>
                </c:pt>
                <c:pt idx="48">
                  <c:v>9.3955531034482759E-2</c:v>
                </c:pt>
                <c:pt idx="49">
                  <c:v>8.7691828965517249E-2</c:v>
                </c:pt>
                <c:pt idx="50">
                  <c:v>8.1428126896551725E-2</c:v>
                </c:pt>
                <c:pt idx="51">
                  <c:v>7.5164424827586215E-2</c:v>
                </c:pt>
                <c:pt idx="52">
                  <c:v>6.8900722758620692E-2</c:v>
                </c:pt>
                <c:pt idx="53">
                  <c:v>6.2637020689655182E-2</c:v>
                </c:pt>
                <c:pt idx="54">
                  <c:v>5.6373318620689665E-2</c:v>
                </c:pt>
                <c:pt idx="55">
                  <c:v>5.0109616551724148E-2</c:v>
                </c:pt>
                <c:pt idx="56">
                  <c:v>4.3845914482758631E-2</c:v>
                </c:pt>
                <c:pt idx="57">
                  <c:v>3.7582212413793115E-2</c:v>
                </c:pt>
                <c:pt idx="58">
                  <c:v>3.1318510344827605E-2</c:v>
                </c:pt>
                <c:pt idx="59">
                  <c:v>2.5054808275862088E-2</c:v>
                </c:pt>
                <c:pt idx="60">
                  <c:v>1.8791106206896571E-2</c:v>
                </c:pt>
                <c:pt idx="61">
                  <c:v>1.2527404137931054E-2</c:v>
                </c:pt>
                <c:pt idx="62">
                  <c:v>6.2637020689655367E-3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B8-8F47-9C67-ECD2F53F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8053960"/>
        <c:axId val="518174120"/>
      </c:scatterChart>
      <c:valAx>
        <c:axId val="497286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8665336"/>
        <c:crosses val="autoZero"/>
        <c:crossBetween val="midCat"/>
      </c:valAx>
      <c:valAx>
        <c:axId val="51866533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7286008"/>
        <c:crosses val="autoZero"/>
        <c:crossBetween val="midCat"/>
        <c:majorUnit val="5"/>
      </c:valAx>
      <c:valAx>
        <c:axId val="51817412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8053960"/>
        <c:crosses val="max"/>
        <c:crossBetween val="midCat"/>
      </c:valAx>
      <c:valAx>
        <c:axId val="5280539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81741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26620389556569"/>
          <c:w val="0.80908110104327402"/>
          <c:h val="7.3379610443431401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WATER INFLUX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3189989578509"/>
          <c:y val="0.12226148409894"/>
          <c:w val="0.73828779370706099"/>
          <c:h val="0.6050780177707140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'Mod after closure'!$J$2</c:f>
              <c:strCache>
                <c:ptCount val="1"/>
                <c:pt idx="0">
                  <c:v>Groundwater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closure'!$J$4:$J$154</c:f>
              <c:numCache>
                <c:formatCode>#,##0</c:formatCode>
                <c:ptCount val="151"/>
                <c:pt idx="0">
                  <c:v>3563568</c:v>
                </c:pt>
                <c:pt idx="1">
                  <c:v>3248208</c:v>
                </c:pt>
                <c:pt idx="2">
                  <c:v>3122064</c:v>
                </c:pt>
                <c:pt idx="3">
                  <c:v>2838240</c:v>
                </c:pt>
                <c:pt idx="4">
                  <c:v>2733120</c:v>
                </c:pt>
                <c:pt idx="5">
                  <c:v>2628000</c:v>
                </c:pt>
                <c:pt idx="6">
                  <c:v>2522880</c:v>
                </c:pt>
                <c:pt idx="7">
                  <c:v>2444040</c:v>
                </c:pt>
                <c:pt idx="8">
                  <c:v>2365200</c:v>
                </c:pt>
                <c:pt idx="9">
                  <c:v>2286360</c:v>
                </c:pt>
                <c:pt idx="10">
                  <c:v>2207520</c:v>
                </c:pt>
                <c:pt idx="11">
                  <c:v>2144448</c:v>
                </c:pt>
                <c:pt idx="12">
                  <c:v>2081376</c:v>
                </c:pt>
                <c:pt idx="13">
                  <c:v>2018304</c:v>
                </c:pt>
                <c:pt idx="14">
                  <c:v>1955232</c:v>
                </c:pt>
                <c:pt idx="15">
                  <c:v>1892160</c:v>
                </c:pt>
                <c:pt idx="16">
                  <c:v>1829088</c:v>
                </c:pt>
                <c:pt idx="17">
                  <c:v>1781784</c:v>
                </c:pt>
                <c:pt idx="18">
                  <c:v>1734480</c:v>
                </c:pt>
                <c:pt idx="19">
                  <c:v>1687176</c:v>
                </c:pt>
                <c:pt idx="20">
                  <c:v>1639872</c:v>
                </c:pt>
                <c:pt idx="21">
                  <c:v>1592568</c:v>
                </c:pt>
                <c:pt idx="22">
                  <c:v>1545264</c:v>
                </c:pt>
                <c:pt idx="23">
                  <c:v>1497960</c:v>
                </c:pt>
                <c:pt idx="24">
                  <c:v>1450656</c:v>
                </c:pt>
                <c:pt idx="25">
                  <c:v>1410519.2727272727</c:v>
                </c:pt>
                <c:pt idx="26">
                  <c:v>1370382.5454545454</c:v>
                </c:pt>
                <c:pt idx="27">
                  <c:v>1330245.8181818181</c:v>
                </c:pt>
                <c:pt idx="28">
                  <c:v>1290109.0909090908</c:v>
                </c:pt>
                <c:pt idx="29">
                  <c:v>1249972.3636363635</c:v>
                </c:pt>
                <c:pt idx="30">
                  <c:v>1209835.6363636362</c:v>
                </c:pt>
                <c:pt idx="31">
                  <c:v>1169698.9090909089</c:v>
                </c:pt>
                <c:pt idx="32">
                  <c:v>1129562.1818181816</c:v>
                </c:pt>
                <c:pt idx="33">
                  <c:v>1089425.4545454544</c:v>
                </c:pt>
                <c:pt idx="34">
                  <c:v>1009152</c:v>
                </c:pt>
                <c:pt idx="35">
                  <c:v>974353.6551724138</c:v>
                </c:pt>
                <c:pt idx="36">
                  <c:v>939555.31034482759</c:v>
                </c:pt>
                <c:pt idx="37">
                  <c:v>904756.96551724139</c:v>
                </c:pt>
                <c:pt idx="38">
                  <c:v>869958.62068965519</c:v>
                </c:pt>
                <c:pt idx="39">
                  <c:v>835160.27586206899</c:v>
                </c:pt>
                <c:pt idx="40">
                  <c:v>800361.93103448278</c:v>
                </c:pt>
                <c:pt idx="41">
                  <c:v>765563.58620689658</c:v>
                </c:pt>
                <c:pt idx="42">
                  <c:v>730765.24137931038</c:v>
                </c:pt>
                <c:pt idx="43">
                  <c:v>695966.89655172417</c:v>
                </c:pt>
                <c:pt idx="44">
                  <c:v>661168.55172413797</c:v>
                </c:pt>
                <c:pt idx="45">
                  <c:v>626370.20689655177</c:v>
                </c:pt>
                <c:pt idx="46">
                  <c:v>591571.86206896557</c:v>
                </c:pt>
                <c:pt idx="47">
                  <c:v>556773.51724137936</c:v>
                </c:pt>
                <c:pt idx="48">
                  <c:v>521975.17241379316</c:v>
                </c:pt>
                <c:pt idx="49">
                  <c:v>487176.82758620696</c:v>
                </c:pt>
                <c:pt idx="50">
                  <c:v>452378.48275862075</c:v>
                </c:pt>
                <c:pt idx="51">
                  <c:v>417580.13793103455</c:v>
                </c:pt>
                <c:pt idx="52">
                  <c:v>382781.79310344835</c:v>
                </c:pt>
                <c:pt idx="53">
                  <c:v>347983.44827586215</c:v>
                </c:pt>
                <c:pt idx="54">
                  <c:v>313185.10344827594</c:v>
                </c:pt>
                <c:pt idx="55">
                  <c:v>278386.75862068974</c:v>
                </c:pt>
                <c:pt idx="56">
                  <c:v>243588.41379310354</c:v>
                </c:pt>
                <c:pt idx="57">
                  <c:v>208790.06896551733</c:v>
                </c:pt>
                <c:pt idx="58">
                  <c:v>173991.72413793113</c:v>
                </c:pt>
                <c:pt idx="59">
                  <c:v>139193.37931034493</c:v>
                </c:pt>
                <c:pt idx="60">
                  <c:v>104395.03448275873</c:v>
                </c:pt>
                <c:pt idx="61">
                  <c:v>69596.689655172522</c:v>
                </c:pt>
                <c:pt idx="62">
                  <c:v>34798.344827586312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B2-8047-BAEC-D8B0E951548D}"/>
            </c:ext>
          </c:extLst>
        </c:ser>
        <c:ser>
          <c:idx val="1"/>
          <c:order val="1"/>
          <c:tx>
            <c:strRef>
              <c:f>'Mod after closure'!$G$2</c:f>
              <c:strCache>
                <c:ptCount val="1"/>
                <c:pt idx="0">
                  <c:v>Yearly discharge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closure'!$G$4:$G$154</c:f>
              <c:numCache>
                <c:formatCode>#,##0</c:formatCode>
                <c:ptCount val="151"/>
                <c:pt idx="0">
                  <c:v>3847392</c:v>
                </c:pt>
                <c:pt idx="1">
                  <c:v>3532032</c:v>
                </c:pt>
                <c:pt idx="2">
                  <c:v>3405888</c:v>
                </c:pt>
                <c:pt idx="3">
                  <c:v>3122064</c:v>
                </c:pt>
                <c:pt idx="4">
                  <c:v>3016944</c:v>
                </c:pt>
                <c:pt idx="5">
                  <c:v>2911824</c:v>
                </c:pt>
                <c:pt idx="6">
                  <c:v>2806704</c:v>
                </c:pt>
                <c:pt idx="7">
                  <c:v>3044040</c:v>
                </c:pt>
                <c:pt idx="8">
                  <c:v>2965200</c:v>
                </c:pt>
                <c:pt idx="9">
                  <c:v>2570184</c:v>
                </c:pt>
                <c:pt idx="10">
                  <c:v>2491344</c:v>
                </c:pt>
                <c:pt idx="11">
                  <c:v>2428272</c:v>
                </c:pt>
                <c:pt idx="12">
                  <c:v>2365200</c:v>
                </c:pt>
                <c:pt idx="13">
                  <c:v>2168304</c:v>
                </c:pt>
                <c:pt idx="14">
                  <c:v>2105232</c:v>
                </c:pt>
                <c:pt idx="15">
                  <c:v>2175984</c:v>
                </c:pt>
                <c:pt idx="16">
                  <c:v>2112912</c:v>
                </c:pt>
                <c:pt idx="17">
                  <c:v>2065608</c:v>
                </c:pt>
                <c:pt idx="18">
                  <c:v>2018304</c:v>
                </c:pt>
                <c:pt idx="19">
                  <c:v>1971000</c:v>
                </c:pt>
                <c:pt idx="20">
                  <c:v>1923696</c:v>
                </c:pt>
                <c:pt idx="21">
                  <c:v>1876392</c:v>
                </c:pt>
                <c:pt idx="22">
                  <c:v>1829088</c:v>
                </c:pt>
                <c:pt idx="23">
                  <c:v>1781784</c:v>
                </c:pt>
                <c:pt idx="24">
                  <c:v>1734480</c:v>
                </c:pt>
                <c:pt idx="25">
                  <c:v>1694343.2727272727</c:v>
                </c:pt>
                <c:pt idx="26">
                  <c:v>1654206.5454545454</c:v>
                </c:pt>
                <c:pt idx="27">
                  <c:v>1614069.8181818181</c:v>
                </c:pt>
                <c:pt idx="28">
                  <c:v>1573933.0909090908</c:v>
                </c:pt>
                <c:pt idx="29">
                  <c:v>1533796.3636363635</c:v>
                </c:pt>
                <c:pt idx="30">
                  <c:v>1493659.6363636362</c:v>
                </c:pt>
                <c:pt idx="31">
                  <c:v>1453522.9090909089</c:v>
                </c:pt>
                <c:pt idx="32">
                  <c:v>1413386.1818181816</c:v>
                </c:pt>
                <c:pt idx="33">
                  <c:v>1373249.4545454544</c:v>
                </c:pt>
                <c:pt idx="34">
                  <c:v>1292976</c:v>
                </c:pt>
                <c:pt idx="35">
                  <c:v>1258177.6551724137</c:v>
                </c:pt>
                <c:pt idx="36">
                  <c:v>1223379.3103448276</c:v>
                </c:pt>
                <c:pt idx="37">
                  <c:v>1188580.9655172415</c:v>
                </c:pt>
                <c:pt idx="38">
                  <c:v>1153782.6206896552</c:v>
                </c:pt>
                <c:pt idx="39">
                  <c:v>1118984.2758620689</c:v>
                </c:pt>
                <c:pt idx="40">
                  <c:v>1084185.9310344828</c:v>
                </c:pt>
                <c:pt idx="41">
                  <c:v>1049387.5862068967</c:v>
                </c:pt>
                <c:pt idx="42">
                  <c:v>1014589.2413793104</c:v>
                </c:pt>
                <c:pt idx="43">
                  <c:v>979790.89655172417</c:v>
                </c:pt>
                <c:pt idx="44">
                  <c:v>944992.55172413797</c:v>
                </c:pt>
                <c:pt idx="45">
                  <c:v>910194.20689655177</c:v>
                </c:pt>
                <c:pt idx="46">
                  <c:v>875395.86206896557</c:v>
                </c:pt>
                <c:pt idx="47">
                  <c:v>840597.51724137936</c:v>
                </c:pt>
                <c:pt idx="48">
                  <c:v>805799.17241379316</c:v>
                </c:pt>
                <c:pt idx="49">
                  <c:v>771000.82758620696</c:v>
                </c:pt>
                <c:pt idx="50">
                  <c:v>736202.48275862075</c:v>
                </c:pt>
                <c:pt idx="51">
                  <c:v>701404.13793103455</c:v>
                </c:pt>
                <c:pt idx="52">
                  <c:v>666605.79310344835</c:v>
                </c:pt>
                <c:pt idx="53">
                  <c:v>631807.44827586215</c:v>
                </c:pt>
                <c:pt idx="54">
                  <c:v>597009.10344827594</c:v>
                </c:pt>
                <c:pt idx="55">
                  <c:v>562210.75862068974</c:v>
                </c:pt>
                <c:pt idx="56">
                  <c:v>527412.41379310354</c:v>
                </c:pt>
                <c:pt idx="57">
                  <c:v>492614.06896551733</c:v>
                </c:pt>
                <c:pt idx="58">
                  <c:v>457815.72413793113</c:v>
                </c:pt>
                <c:pt idx="59">
                  <c:v>423017.37931034493</c:v>
                </c:pt>
                <c:pt idx="60">
                  <c:v>388219.03448275873</c:v>
                </c:pt>
                <c:pt idx="61">
                  <c:v>353420.68965517252</c:v>
                </c:pt>
                <c:pt idx="62">
                  <c:v>318622.34482758632</c:v>
                </c:pt>
                <c:pt idx="63">
                  <c:v>283824</c:v>
                </c:pt>
                <c:pt idx="64">
                  <c:v>283824</c:v>
                </c:pt>
                <c:pt idx="65">
                  <c:v>283824</c:v>
                </c:pt>
                <c:pt idx="66">
                  <c:v>283824</c:v>
                </c:pt>
                <c:pt idx="67">
                  <c:v>283824</c:v>
                </c:pt>
                <c:pt idx="68">
                  <c:v>283824</c:v>
                </c:pt>
                <c:pt idx="69">
                  <c:v>283824</c:v>
                </c:pt>
                <c:pt idx="70">
                  <c:v>283824</c:v>
                </c:pt>
                <c:pt idx="71">
                  <c:v>283824</c:v>
                </c:pt>
                <c:pt idx="72">
                  <c:v>283824</c:v>
                </c:pt>
                <c:pt idx="73">
                  <c:v>283824</c:v>
                </c:pt>
                <c:pt idx="74">
                  <c:v>283824</c:v>
                </c:pt>
                <c:pt idx="75">
                  <c:v>283824</c:v>
                </c:pt>
                <c:pt idx="76">
                  <c:v>283824</c:v>
                </c:pt>
                <c:pt idx="77">
                  <c:v>283824</c:v>
                </c:pt>
                <c:pt idx="78">
                  <c:v>283824</c:v>
                </c:pt>
                <c:pt idx="79">
                  <c:v>283824</c:v>
                </c:pt>
                <c:pt idx="80">
                  <c:v>283824</c:v>
                </c:pt>
                <c:pt idx="81">
                  <c:v>283824</c:v>
                </c:pt>
                <c:pt idx="82">
                  <c:v>283824</c:v>
                </c:pt>
                <c:pt idx="83">
                  <c:v>283824</c:v>
                </c:pt>
                <c:pt idx="84">
                  <c:v>283824</c:v>
                </c:pt>
                <c:pt idx="85">
                  <c:v>283824</c:v>
                </c:pt>
                <c:pt idx="86">
                  <c:v>283824</c:v>
                </c:pt>
                <c:pt idx="87">
                  <c:v>283824</c:v>
                </c:pt>
                <c:pt idx="88">
                  <c:v>283824</c:v>
                </c:pt>
                <c:pt idx="89">
                  <c:v>283824</c:v>
                </c:pt>
                <c:pt idx="90">
                  <c:v>283824</c:v>
                </c:pt>
                <c:pt idx="91">
                  <c:v>283824</c:v>
                </c:pt>
                <c:pt idx="92">
                  <c:v>283824</c:v>
                </c:pt>
                <c:pt idx="93">
                  <c:v>283824</c:v>
                </c:pt>
                <c:pt idx="94">
                  <c:v>283824</c:v>
                </c:pt>
                <c:pt idx="95">
                  <c:v>283824</c:v>
                </c:pt>
                <c:pt idx="96">
                  <c:v>283824</c:v>
                </c:pt>
                <c:pt idx="97">
                  <c:v>283824</c:v>
                </c:pt>
                <c:pt idx="98">
                  <c:v>283824</c:v>
                </c:pt>
                <c:pt idx="99">
                  <c:v>283824</c:v>
                </c:pt>
                <c:pt idx="100">
                  <c:v>283824</c:v>
                </c:pt>
                <c:pt idx="101">
                  <c:v>283824</c:v>
                </c:pt>
                <c:pt idx="102">
                  <c:v>283824</c:v>
                </c:pt>
                <c:pt idx="103">
                  <c:v>283824</c:v>
                </c:pt>
                <c:pt idx="104">
                  <c:v>283824</c:v>
                </c:pt>
                <c:pt idx="105">
                  <c:v>283824</c:v>
                </c:pt>
                <c:pt idx="106">
                  <c:v>283824</c:v>
                </c:pt>
                <c:pt idx="107">
                  <c:v>283824</c:v>
                </c:pt>
                <c:pt idx="108">
                  <c:v>283824</c:v>
                </c:pt>
                <c:pt idx="109">
                  <c:v>283824</c:v>
                </c:pt>
                <c:pt idx="110">
                  <c:v>283824</c:v>
                </c:pt>
                <c:pt idx="111">
                  <c:v>283824</c:v>
                </c:pt>
                <c:pt idx="112">
                  <c:v>283824</c:v>
                </c:pt>
                <c:pt idx="113">
                  <c:v>283824</c:v>
                </c:pt>
                <c:pt idx="114">
                  <c:v>283824</c:v>
                </c:pt>
                <c:pt idx="115">
                  <c:v>283824</c:v>
                </c:pt>
                <c:pt idx="116">
                  <c:v>283824</c:v>
                </c:pt>
                <c:pt idx="117">
                  <c:v>283824</c:v>
                </c:pt>
                <c:pt idx="118">
                  <c:v>283824</c:v>
                </c:pt>
                <c:pt idx="119">
                  <c:v>283824</c:v>
                </c:pt>
                <c:pt idx="120">
                  <c:v>283824</c:v>
                </c:pt>
                <c:pt idx="121">
                  <c:v>283824</c:v>
                </c:pt>
                <c:pt idx="122">
                  <c:v>283824</c:v>
                </c:pt>
                <c:pt idx="123">
                  <c:v>283824</c:v>
                </c:pt>
                <c:pt idx="124">
                  <c:v>283824</c:v>
                </c:pt>
                <c:pt idx="125">
                  <c:v>283824</c:v>
                </c:pt>
                <c:pt idx="126">
                  <c:v>283824</c:v>
                </c:pt>
                <c:pt idx="127">
                  <c:v>283824</c:v>
                </c:pt>
                <c:pt idx="128">
                  <c:v>283824</c:v>
                </c:pt>
                <c:pt idx="129">
                  <c:v>283824</c:v>
                </c:pt>
                <c:pt idx="130">
                  <c:v>283824</c:v>
                </c:pt>
                <c:pt idx="131">
                  <c:v>283824</c:v>
                </c:pt>
                <c:pt idx="132">
                  <c:v>283824</c:v>
                </c:pt>
                <c:pt idx="133">
                  <c:v>283824</c:v>
                </c:pt>
                <c:pt idx="134">
                  <c:v>283824</c:v>
                </c:pt>
                <c:pt idx="135">
                  <c:v>283824</c:v>
                </c:pt>
                <c:pt idx="136">
                  <c:v>283824</c:v>
                </c:pt>
                <c:pt idx="137">
                  <c:v>283824</c:v>
                </c:pt>
                <c:pt idx="138">
                  <c:v>283824</c:v>
                </c:pt>
                <c:pt idx="139">
                  <c:v>283824</c:v>
                </c:pt>
                <c:pt idx="140">
                  <c:v>283824</c:v>
                </c:pt>
                <c:pt idx="141">
                  <c:v>283824</c:v>
                </c:pt>
                <c:pt idx="142">
                  <c:v>283824</c:v>
                </c:pt>
                <c:pt idx="143">
                  <c:v>283824</c:v>
                </c:pt>
                <c:pt idx="144">
                  <c:v>283824</c:v>
                </c:pt>
                <c:pt idx="145">
                  <c:v>283824</c:v>
                </c:pt>
                <c:pt idx="146">
                  <c:v>283824</c:v>
                </c:pt>
                <c:pt idx="147">
                  <c:v>283824</c:v>
                </c:pt>
                <c:pt idx="148">
                  <c:v>283824</c:v>
                </c:pt>
                <c:pt idx="149">
                  <c:v>283824</c:v>
                </c:pt>
                <c:pt idx="150">
                  <c:v>283824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FB2-8047-BAEC-D8B0E951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609864"/>
        <c:axId val="493355096"/>
      </c:scatterChart>
      <c:scatterChart>
        <c:scatterStyle val="smoothMarker"/>
        <c:varyColors val="0"/>
        <c:ser>
          <c:idx val="2"/>
          <c:order val="2"/>
          <c:tx>
            <c:strRef>
              <c:f>'Mod after closure'!$F$2</c:f>
              <c:strCache>
                <c:ptCount val="1"/>
                <c:pt idx="0">
                  <c:v>Lake volume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closure'!$E$4:$E$154</c:f>
              <c:numCache>
                <c:formatCode>0</c:formatCode>
                <c:ptCount val="151"/>
                <c:pt idx="0">
                  <c:v>3.8473920000000001</c:v>
                </c:pt>
                <c:pt idx="1">
                  <c:v>3.8473920000000001</c:v>
                </c:pt>
                <c:pt idx="2">
                  <c:v>7.3794240000000002</c:v>
                </c:pt>
                <c:pt idx="3">
                  <c:v>10.785311999999999</c:v>
                </c:pt>
                <c:pt idx="4">
                  <c:v>13.907375999999999</c:v>
                </c:pt>
                <c:pt idx="5">
                  <c:v>16.924320000000002</c:v>
                </c:pt>
                <c:pt idx="6">
                  <c:v>19.836144000000001</c:v>
                </c:pt>
                <c:pt idx="7">
                  <c:v>22.642848000000001</c:v>
                </c:pt>
                <c:pt idx="8">
                  <c:v>25.686888</c:v>
                </c:pt>
                <c:pt idx="9">
                  <c:v>28.652087999999999</c:v>
                </c:pt>
                <c:pt idx="10">
                  <c:v>31.222272</c:v>
                </c:pt>
                <c:pt idx="11">
                  <c:v>33.713616000000002</c:v>
                </c:pt>
                <c:pt idx="12">
                  <c:v>36.141888000000002</c:v>
                </c:pt>
                <c:pt idx="13">
                  <c:v>38.507088000000003</c:v>
                </c:pt>
                <c:pt idx="14">
                  <c:v>40.675392000000002</c:v>
                </c:pt>
                <c:pt idx="15">
                  <c:v>42.780624000000003</c:v>
                </c:pt>
                <c:pt idx="16">
                  <c:v>44.956608000000003</c:v>
                </c:pt>
                <c:pt idx="17">
                  <c:v>47.069519999999997</c:v>
                </c:pt>
                <c:pt idx="18">
                  <c:v>49.135128000000002</c:v>
                </c:pt>
                <c:pt idx="19">
                  <c:v>51.153432000000002</c:v>
                </c:pt>
                <c:pt idx="20">
                  <c:v>53.124431999999999</c:v>
                </c:pt>
                <c:pt idx="21">
                  <c:v>55.048127999999998</c:v>
                </c:pt>
                <c:pt idx="22">
                  <c:v>56.924520000000001</c:v>
                </c:pt>
                <c:pt idx="23">
                  <c:v>58.753608</c:v>
                </c:pt>
                <c:pt idx="24">
                  <c:v>60.535392000000002</c:v>
                </c:pt>
                <c:pt idx="25">
                  <c:v>62.269871999999999</c:v>
                </c:pt>
                <c:pt idx="26">
                  <c:v>63.964215272727273</c:v>
                </c:pt>
                <c:pt idx="27">
                  <c:v>65.618421818181815</c:v>
                </c:pt>
                <c:pt idx="28">
                  <c:v>67.232491636363633</c:v>
                </c:pt>
                <c:pt idx="29">
                  <c:v>68.806424727272727</c:v>
                </c:pt>
                <c:pt idx="30">
                  <c:v>70.340221090909097</c:v>
                </c:pt>
                <c:pt idx="31">
                  <c:v>71.833880727272728</c:v>
                </c:pt>
                <c:pt idx="32">
                  <c:v>73.287403636363635</c:v>
                </c:pt>
                <c:pt idx="33">
                  <c:v>74.700789818181832</c:v>
                </c:pt>
                <c:pt idx="34">
                  <c:v>76.074039272727276</c:v>
                </c:pt>
                <c:pt idx="35">
                  <c:v>77.367015272727286</c:v>
                </c:pt>
                <c:pt idx="36">
                  <c:v>78.62519292789969</c:v>
                </c:pt>
                <c:pt idx="37">
                  <c:v>79.848572238244515</c:v>
                </c:pt>
                <c:pt idx="38">
                  <c:v>81.037153203761761</c:v>
                </c:pt>
                <c:pt idx="39">
                  <c:v>82.190935824451415</c:v>
                </c:pt>
                <c:pt idx="40">
                  <c:v>83.309920100313491</c:v>
                </c:pt>
                <c:pt idx="41">
                  <c:v>84.39410603134796</c:v>
                </c:pt>
                <c:pt idx="42">
                  <c:v>85.443493617554864</c:v>
                </c:pt>
                <c:pt idx="43">
                  <c:v>86.458082858934162</c:v>
                </c:pt>
                <c:pt idx="44">
                  <c:v>87.437873755485896</c:v>
                </c:pt>
                <c:pt idx="45">
                  <c:v>88.382866307210023</c:v>
                </c:pt>
                <c:pt idx="46">
                  <c:v>89.293060514106585</c:v>
                </c:pt>
                <c:pt idx="47">
                  <c:v>90.168456376175556</c:v>
                </c:pt>
                <c:pt idx="48">
                  <c:v>91.009053893416933</c:v>
                </c:pt>
                <c:pt idx="49">
                  <c:v>91.814853065830718</c:v>
                </c:pt>
                <c:pt idx="50">
                  <c:v>92.585853893416925</c:v>
                </c:pt>
                <c:pt idx="51">
                  <c:v>93.322056376175553</c:v>
                </c:pt>
                <c:pt idx="52">
                  <c:v>94.023460514106588</c:v>
                </c:pt>
                <c:pt idx="53">
                  <c:v>94.690066307210031</c:v>
                </c:pt>
                <c:pt idx="54">
                  <c:v>95.321873755485896</c:v>
                </c:pt>
                <c:pt idx="55">
                  <c:v>95.918882858934168</c:v>
                </c:pt>
                <c:pt idx="56">
                  <c:v>96.481093617554862</c:v>
                </c:pt>
                <c:pt idx="57">
                  <c:v>97.008506031347963</c:v>
                </c:pt>
                <c:pt idx="58">
                  <c:v>97.501120100313486</c:v>
                </c:pt>
                <c:pt idx="59">
                  <c:v>97.958935824451416</c:v>
                </c:pt>
                <c:pt idx="60">
                  <c:v>98.381953203761753</c:v>
                </c:pt>
                <c:pt idx="61">
                  <c:v>98.770172238244513</c:v>
                </c:pt>
                <c:pt idx="62">
                  <c:v>99.123592927899693</c:v>
                </c:pt>
                <c:pt idx="63">
                  <c:v>99.442215272727282</c:v>
                </c:pt>
                <c:pt idx="64">
                  <c:v>99.726039272727277</c:v>
                </c:pt>
                <c:pt idx="65">
                  <c:v>100.00986327272729</c:v>
                </c:pt>
                <c:pt idx="66">
                  <c:v>100.29368727272728</c:v>
                </c:pt>
                <c:pt idx="67">
                  <c:v>100.57751127272728</c:v>
                </c:pt>
                <c:pt idx="68">
                  <c:v>100.86133527272727</c:v>
                </c:pt>
                <c:pt idx="69">
                  <c:v>101.14515927272728</c:v>
                </c:pt>
                <c:pt idx="70">
                  <c:v>101.42898327272728</c:v>
                </c:pt>
                <c:pt idx="71">
                  <c:v>101.71280727272728</c:v>
                </c:pt>
                <c:pt idx="72">
                  <c:v>101.99663127272729</c:v>
                </c:pt>
                <c:pt idx="73">
                  <c:v>102.28045527272728</c:v>
                </c:pt>
                <c:pt idx="74">
                  <c:v>102.56427927272728</c:v>
                </c:pt>
                <c:pt idx="75">
                  <c:v>102.84810327272729</c:v>
                </c:pt>
                <c:pt idx="76">
                  <c:v>103.13192727272728</c:v>
                </c:pt>
                <c:pt idx="77">
                  <c:v>103.41575127272728</c:v>
                </c:pt>
                <c:pt idx="78">
                  <c:v>103.69957527272729</c:v>
                </c:pt>
                <c:pt idx="79">
                  <c:v>103.98339927272728</c:v>
                </c:pt>
                <c:pt idx="80">
                  <c:v>104.26722327272728</c:v>
                </c:pt>
                <c:pt idx="81">
                  <c:v>104.55104727272727</c:v>
                </c:pt>
                <c:pt idx="82">
                  <c:v>104.83487127272728</c:v>
                </c:pt>
                <c:pt idx="83">
                  <c:v>105.11869527272728</c:v>
                </c:pt>
                <c:pt idx="84">
                  <c:v>105.40251927272728</c:v>
                </c:pt>
                <c:pt idx="85">
                  <c:v>105.68634327272729</c:v>
                </c:pt>
                <c:pt idx="86">
                  <c:v>105.97016727272728</c:v>
                </c:pt>
                <c:pt idx="87">
                  <c:v>106.25399127272728</c:v>
                </c:pt>
                <c:pt idx="88">
                  <c:v>106.53781527272729</c:v>
                </c:pt>
                <c:pt idx="89">
                  <c:v>106.82163927272728</c:v>
                </c:pt>
                <c:pt idx="90">
                  <c:v>107.10546327272728</c:v>
                </c:pt>
                <c:pt idx="91">
                  <c:v>107.38928727272729</c:v>
                </c:pt>
                <c:pt idx="92">
                  <c:v>107.67311127272728</c:v>
                </c:pt>
                <c:pt idx="93">
                  <c:v>107.95693527272728</c:v>
                </c:pt>
                <c:pt idx="94">
                  <c:v>108.24075927272727</c:v>
                </c:pt>
                <c:pt idx="95">
                  <c:v>108.52458327272728</c:v>
                </c:pt>
                <c:pt idx="96">
                  <c:v>108.80840727272728</c:v>
                </c:pt>
                <c:pt idx="97">
                  <c:v>109.09223127272728</c:v>
                </c:pt>
                <c:pt idx="98">
                  <c:v>109.37605527272729</c:v>
                </c:pt>
                <c:pt idx="99">
                  <c:v>109.65987927272728</c:v>
                </c:pt>
                <c:pt idx="100">
                  <c:v>109.94370327272728</c:v>
                </c:pt>
                <c:pt idx="101">
                  <c:v>110.22752727272729</c:v>
                </c:pt>
                <c:pt idx="102">
                  <c:v>110.51135127272728</c:v>
                </c:pt>
                <c:pt idx="103">
                  <c:v>110.79517527272728</c:v>
                </c:pt>
                <c:pt idx="104">
                  <c:v>111.07899927272729</c:v>
                </c:pt>
                <c:pt idx="105">
                  <c:v>111.36282327272728</c:v>
                </c:pt>
                <c:pt idx="106">
                  <c:v>111.64664727272728</c:v>
                </c:pt>
                <c:pt idx="107">
                  <c:v>111.93047127272727</c:v>
                </c:pt>
                <c:pt idx="108">
                  <c:v>112.21429527272728</c:v>
                </c:pt>
                <c:pt idx="109">
                  <c:v>112.49811927272728</c:v>
                </c:pt>
                <c:pt idx="110">
                  <c:v>112.78194327272728</c:v>
                </c:pt>
                <c:pt idx="111">
                  <c:v>113.06576727272729</c:v>
                </c:pt>
                <c:pt idx="112">
                  <c:v>113.34959127272728</c:v>
                </c:pt>
                <c:pt idx="113">
                  <c:v>113.63341527272728</c:v>
                </c:pt>
                <c:pt idx="114">
                  <c:v>113.91723927272729</c:v>
                </c:pt>
                <c:pt idx="115">
                  <c:v>114.20106327272728</c:v>
                </c:pt>
                <c:pt idx="116">
                  <c:v>114.48488727272728</c:v>
                </c:pt>
                <c:pt idx="117">
                  <c:v>114.76871127272729</c:v>
                </c:pt>
                <c:pt idx="118">
                  <c:v>115.05253527272728</c:v>
                </c:pt>
                <c:pt idx="119">
                  <c:v>115.33635927272728</c:v>
                </c:pt>
                <c:pt idx="120">
                  <c:v>115.62018327272727</c:v>
                </c:pt>
                <c:pt idx="121">
                  <c:v>115.90400727272728</c:v>
                </c:pt>
                <c:pt idx="122">
                  <c:v>116.18783127272728</c:v>
                </c:pt>
                <c:pt idx="123">
                  <c:v>116.47165527272728</c:v>
                </c:pt>
                <c:pt idx="124">
                  <c:v>116.75547927272729</c:v>
                </c:pt>
                <c:pt idx="125">
                  <c:v>117.03930327272728</c:v>
                </c:pt>
                <c:pt idx="126">
                  <c:v>117.32312727272728</c:v>
                </c:pt>
                <c:pt idx="127">
                  <c:v>117.60695127272729</c:v>
                </c:pt>
                <c:pt idx="128">
                  <c:v>117.89077527272728</c:v>
                </c:pt>
                <c:pt idx="129">
                  <c:v>118.17459927272728</c:v>
                </c:pt>
                <c:pt idx="130">
                  <c:v>118.45842327272729</c:v>
                </c:pt>
                <c:pt idx="131">
                  <c:v>118.74224727272728</c:v>
                </c:pt>
                <c:pt idx="132">
                  <c:v>119.02607127272728</c:v>
                </c:pt>
                <c:pt idx="133">
                  <c:v>119.30989527272727</c:v>
                </c:pt>
                <c:pt idx="134">
                  <c:v>119.59371927272728</c:v>
                </c:pt>
                <c:pt idx="135">
                  <c:v>119.87754327272728</c:v>
                </c:pt>
                <c:pt idx="136">
                  <c:v>120.16136727272728</c:v>
                </c:pt>
                <c:pt idx="137">
                  <c:v>120.44519127272729</c:v>
                </c:pt>
                <c:pt idx="138">
                  <c:v>120.72901527272728</c:v>
                </c:pt>
                <c:pt idx="139">
                  <c:v>121.01283927272728</c:v>
                </c:pt>
                <c:pt idx="140">
                  <c:v>121.29666327272729</c:v>
                </c:pt>
                <c:pt idx="141">
                  <c:v>121.58048727272728</c:v>
                </c:pt>
                <c:pt idx="142">
                  <c:v>121.86431127272728</c:v>
                </c:pt>
                <c:pt idx="143">
                  <c:v>122.14813527272729</c:v>
                </c:pt>
                <c:pt idx="144">
                  <c:v>122.43195927272728</c:v>
                </c:pt>
                <c:pt idx="145">
                  <c:v>122.71578327272728</c:v>
                </c:pt>
                <c:pt idx="146">
                  <c:v>122.99960727272727</c:v>
                </c:pt>
                <c:pt idx="147">
                  <c:v>123.28343127272728</c:v>
                </c:pt>
                <c:pt idx="148">
                  <c:v>123.56725527272728</c:v>
                </c:pt>
                <c:pt idx="149">
                  <c:v>123.85107927272728</c:v>
                </c:pt>
                <c:pt idx="150">
                  <c:v>124.13490327272729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B2-8047-BAEC-D8B0E9515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68040"/>
        <c:axId val="526449864"/>
      </c:scatterChart>
      <c:valAx>
        <c:axId val="527609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8758979798"/>
              <c:y val="0.8226670519396079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3355096"/>
        <c:crosses val="autoZero"/>
        <c:crossBetween val="midCat"/>
      </c:valAx>
      <c:valAx>
        <c:axId val="49335509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Influx (m3/year)</a:t>
                </a:r>
              </a:p>
            </c:rich>
          </c:tx>
          <c:layout>
            <c:manualLayout>
              <c:xMode val="edge"/>
              <c:yMode val="edge"/>
              <c:x val="1.5473538915205299E-3"/>
              <c:y val="0.224923065809434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609864"/>
        <c:crosses val="autoZero"/>
        <c:crossBetween val="midCat"/>
      </c:valAx>
      <c:valAx>
        <c:axId val="5264498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Lake volume (Mm3)</a:t>
                </a:r>
              </a:p>
            </c:rich>
          </c:tx>
          <c:layout>
            <c:manualLayout>
              <c:xMode val="edge"/>
              <c:yMode val="edge"/>
              <c:x val="0.95608432412083899"/>
              <c:y val="0.17478653471068401"/>
            </c:manualLayout>
          </c:layout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068040"/>
        <c:crosses val="max"/>
        <c:crossBetween val="midCat"/>
      </c:valAx>
      <c:valAx>
        <c:axId val="5270680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4498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1346234105895796"/>
          <c:w val="0.77573529411764697"/>
          <c:h val="7.8692023037756298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txPr>
    <a:bodyPr/>
    <a:lstStyle/>
    <a:p>
      <a:pPr>
        <a:defRPr sz="1400" baseline="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CHLORIDE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 after closure'!$C$187</c:f>
              <c:strCache>
                <c:ptCount val="1"/>
                <c:pt idx="0">
                  <c:v>CHLORIDE Lake con.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closure'!$C$189:$C$339</c:f>
              <c:numCache>
                <c:formatCode>0.0</c:formatCode>
                <c:ptCount val="151"/>
                <c:pt idx="0">
                  <c:v>7.7216140180153197</c:v>
                </c:pt>
                <c:pt idx="1">
                  <c:v>15.245017681241388</c:v>
                </c:pt>
                <c:pt idx="2">
                  <c:v>6.8430200118863302</c:v>
                </c:pt>
                <c:pt idx="3">
                  <c:v>6.8141373058351791</c:v>
                </c:pt>
                <c:pt idx="4">
                  <c:v>6.8932673324685414</c:v>
                </c:pt>
                <c:pt idx="5">
                  <c:v>7.2677969416369184</c:v>
                </c:pt>
                <c:pt idx="6">
                  <c:v>7.394231099858632</c:v>
                </c:pt>
                <c:pt idx="7">
                  <c:v>7.5542836897774217</c:v>
                </c:pt>
                <c:pt idx="8">
                  <c:v>6.9566173792162429</c:v>
                </c:pt>
                <c:pt idx="9">
                  <c:v>7.0550375270860188</c:v>
                </c:pt>
                <c:pt idx="10">
                  <c:v>8.0274848787162369</c:v>
                </c:pt>
                <c:pt idx="11">
                  <c:v>8.1963048906840701</c:v>
                </c:pt>
                <c:pt idx="12">
                  <c:v>8.3821807844525988</c:v>
                </c:pt>
                <c:pt idx="13">
                  <c:v>8.5269519696372704</c:v>
                </c:pt>
                <c:pt idx="14">
                  <c:v>9.2102211746528067</c:v>
                </c:pt>
                <c:pt idx="15">
                  <c:v>9.402043058937414</c:v>
                </c:pt>
                <c:pt idx="16">
                  <c:v>9.0220792247314918</c:v>
                </c:pt>
                <c:pt idx="17">
                  <c:v>9.2092771719181155</c:v>
                </c:pt>
                <c:pt idx="18">
                  <c:v>9.4164188342196358</c:v>
                </c:pt>
                <c:pt idx="19">
                  <c:v>9.5585959298956791</c:v>
                </c:pt>
                <c:pt idx="20">
                  <c:v>9.7080406023170802</c:v>
                </c:pt>
                <c:pt idx="21">
                  <c:v>9.8651681333574945</c:v>
                </c:pt>
                <c:pt idx="22">
                  <c:v>10.030449742403258</c:v>
                </c:pt>
                <c:pt idx="23">
                  <c:v>10.204415872660707</c:v>
                </c:pt>
                <c:pt idx="24">
                  <c:v>10.387660765899625</c:v>
                </c:pt>
                <c:pt idx="25">
                  <c:v>10.581078524915606</c:v>
                </c:pt>
                <c:pt idx="26">
                  <c:v>10.792892260809761</c:v>
                </c:pt>
                <c:pt idx="27">
                  <c:v>10.964128141465268</c:v>
                </c:pt>
                <c:pt idx="28">
                  <c:v>11.143771683658203</c:v>
                </c:pt>
                <c:pt idx="29">
                  <c:v>11.332401772325353</c:v>
                </c:pt>
                <c:pt idx="30">
                  <c:v>11.530656683799986</c:v>
                </c:pt>
                <c:pt idx="31">
                  <c:v>11.739240754687692</c:v>
                </c:pt>
                <c:pt idx="32">
                  <c:v>11.958932092911187</c:v>
                </c:pt>
                <c:pt idx="33">
                  <c:v>12.190591479482144</c:v>
                </c:pt>
                <c:pt idx="34">
                  <c:v>12.434117435535438</c:v>
                </c:pt>
                <c:pt idx="35">
                  <c:v>12.594948609696981</c:v>
                </c:pt>
                <c:pt idx="36">
                  <c:v>13.370090500525988</c:v>
                </c:pt>
                <c:pt idx="37">
                  <c:v>13.626919569839501</c:v>
                </c:pt>
                <c:pt idx="38">
                  <c:v>13.897886644863084</c:v>
                </c:pt>
                <c:pt idx="39">
                  <c:v>14.184138433525613</c:v>
                </c:pt>
                <c:pt idx="40">
                  <c:v>14.486944800359915</c:v>
                </c:pt>
                <c:pt idx="41">
                  <c:v>14.807714055978101</c:v>
                </c:pt>
                <c:pt idx="42">
                  <c:v>15.14801012199877</c:v>
                </c:pt>
                <c:pt idx="43">
                  <c:v>15.509571631458451</c:v>
                </c:pt>
                <c:pt idx="44">
                  <c:v>15.894332888984902</c:v>
                </c:pt>
                <c:pt idx="45">
                  <c:v>16.304446362742866</c:v>
                </c:pt>
                <c:pt idx="46">
                  <c:v>16.742305927804257</c:v>
                </c:pt>
                <c:pt idx="47">
                  <c:v>17.210569283208059</c:v>
                </c:pt>
                <c:pt idx="48">
                  <c:v>17.712176567542702</c:v>
                </c:pt>
                <c:pt idx="49">
                  <c:v>18.250359743783569</c:v>
                </c:pt>
                <c:pt idx="50">
                  <c:v>18.828632978652077</c:v>
                </c:pt>
                <c:pt idx="51">
                  <c:v>19.450746441832163</c:v>
                </c:pt>
                <c:pt idx="52">
                  <c:v>20.120571685590374</c:v>
                </c:pt>
                <c:pt idx="53">
                  <c:v>20.841860046104109</c:v>
                </c:pt>
                <c:pt idx="54">
                  <c:v>21.617763956902152</c:v>
                </c:pt>
                <c:pt idx="55">
                  <c:v>22.449907946063028</c:v>
                </c:pt>
                <c:pt idx="56">
                  <c:v>23.627971124038485</c:v>
                </c:pt>
                <c:pt idx="57">
                  <c:v>24.961645502705341</c:v>
                </c:pt>
                <c:pt idx="58">
                  <c:v>26.483902548422769</c:v>
                </c:pt>
                <c:pt idx="59">
                  <c:v>28.23773880356411</c:v>
                </c:pt>
                <c:pt idx="60">
                  <c:v>30.280299275880598</c:v>
                </c:pt>
                <c:pt idx="61">
                  <c:v>32.689218453038876</c:v>
                </c:pt>
                <c:pt idx="62">
                  <c:v>35.572707397416295</c:v>
                </c:pt>
                <c:pt idx="63">
                  <c:v>39.086250818282082</c:v>
                </c:pt>
                <c:pt idx="64">
                  <c:v>43.462284930560557</c:v>
                </c:pt>
                <c:pt idx="65">
                  <c:v>43.070392636085458</c:v>
                </c:pt>
                <c:pt idx="66">
                  <c:v>42.678501805722632</c:v>
                </c:pt>
                <c:pt idx="67">
                  <c:v>42.286612427077117</c:v>
                </c:pt>
                <c:pt idx="68">
                  <c:v>41.894724487893512</c:v>
                </c:pt>
                <c:pt idx="69">
                  <c:v>41.502837976053975</c:v>
                </c:pt>
                <c:pt idx="70">
                  <c:v>41.110952879576296</c:v>
                </c:pt>
                <c:pt idx="71">
                  <c:v>40.719069186612032</c:v>
                </c:pt>
                <c:pt idx="72">
                  <c:v>40.327186885444547</c:v>
                </c:pt>
                <c:pt idx="73">
                  <c:v>39.935305964487341</c:v>
                </c:pt>
                <c:pt idx="74">
                  <c:v>39.54342641228213</c:v>
                </c:pt>
                <c:pt idx="75">
                  <c:v>39.151548217497101</c:v>
                </c:pt>
                <c:pt idx="76">
                  <c:v>38.759671368925197</c:v>
                </c:pt>
                <c:pt idx="77">
                  <c:v>38.367795855482413</c:v>
                </c:pt>
                <c:pt idx="78">
                  <c:v>37.975921666206069</c:v>
                </c:pt>
                <c:pt idx="79">
                  <c:v>37.584048790253149</c:v>
                </c:pt>
                <c:pt idx="80">
                  <c:v>37.19217721689877</c:v>
                </c:pt>
                <c:pt idx="81">
                  <c:v>36.800306935534429</c:v>
                </c:pt>
                <c:pt idx="82">
                  <c:v>36.408437935666555</c:v>
                </c:pt>
                <c:pt idx="83">
                  <c:v>36.016570206914906</c:v>
                </c:pt>
                <c:pt idx="84">
                  <c:v>35.624703739011025</c:v>
                </c:pt>
                <c:pt idx="85">
                  <c:v>35.232838521796793</c:v>
                </c:pt>
                <c:pt idx="86">
                  <c:v>34.840974545222892</c:v>
                </c:pt>
                <c:pt idx="87">
                  <c:v>34.449111799347357</c:v>
                </c:pt>
                <c:pt idx="88">
                  <c:v>34.057250274334237</c:v>
                </c:pt>
                <c:pt idx="89">
                  <c:v>33.66538996045206</c:v>
                </c:pt>
                <c:pt idx="90">
                  <c:v>33.27353084807249</c:v>
                </c:pt>
                <c:pt idx="91">
                  <c:v>32.881672927669065</c:v>
                </c:pt>
                <c:pt idx="92">
                  <c:v>32.48981618981567</c:v>
                </c:pt>
                <c:pt idx="93">
                  <c:v>32.097960625185401</c:v>
                </c:pt>
                <c:pt idx="94">
                  <c:v>31.706106224549099</c:v>
                </c:pt>
                <c:pt idx="95">
                  <c:v>31.314252978774213</c:v>
                </c:pt>
                <c:pt idx="96">
                  <c:v>30.922400878823467</c:v>
                </c:pt>
                <c:pt idx="97">
                  <c:v>30.530549915753628</c:v>
                </c:pt>
                <c:pt idx="98">
                  <c:v>30.138700080714283</c:v>
                </c:pt>
                <c:pt idx="99">
                  <c:v>29.746851364946671</c:v>
                </c:pt>
                <c:pt idx="100">
                  <c:v>29.355003759782445</c:v>
                </c:pt>
                <c:pt idx="101">
                  <c:v>28.96315725664256</c:v>
                </c:pt>
                <c:pt idx="102">
                  <c:v>28.5713118470361</c:v>
                </c:pt>
                <c:pt idx="103">
                  <c:v>28.17946752255914</c:v>
                </c:pt>
                <c:pt idx="104">
                  <c:v>27.787624274893673</c:v>
                </c:pt>
                <c:pt idx="105">
                  <c:v>27.395782095806467</c:v>
                </c:pt>
                <c:pt idx="106">
                  <c:v>27.003940977148023</c:v>
                </c:pt>
                <c:pt idx="107">
                  <c:v>26.612100910851503</c:v>
                </c:pt>
                <c:pt idx="108">
                  <c:v>26.220261888931681</c:v>
                </c:pt>
                <c:pt idx="109">
                  <c:v>25.828423903483912</c:v>
                </c:pt>
                <c:pt idx="110">
                  <c:v>25.436586946683114</c:v>
                </c:pt>
                <c:pt idx="111">
                  <c:v>25.044751010782793</c:v>
                </c:pt>
                <c:pt idx="112">
                  <c:v>24.652916088114033</c:v>
                </c:pt>
                <c:pt idx="113">
                  <c:v>24.261082171084549</c:v>
                </c:pt>
                <c:pt idx="114">
                  <c:v>23.869249252177706</c:v>
                </c:pt>
                <c:pt idx="115">
                  <c:v>23.477417323951599</c:v>
                </c:pt>
                <c:pt idx="116">
                  <c:v>23.085586379038112</c:v>
                </c:pt>
                <c:pt idx="117">
                  <c:v>22.693756410142036</c:v>
                </c:pt>
                <c:pt idx="118">
                  <c:v>22.301927410040129</c:v>
                </c:pt>
                <c:pt idx="119">
                  <c:v>21.910099371580262</c:v>
                </c:pt>
                <c:pt idx="120">
                  <c:v>21.518272287680521</c:v>
                </c:pt>
                <c:pt idx="121">
                  <c:v>21.126446151328381</c:v>
                </c:pt>
                <c:pt idx="122">
                  <c:v>20.734620955579818</c:v>
                </c:pt>
                <c:pt idx="123">
                  <c:v>20.342796693558501</c:v>
                </c:pt>
                <c:pt idx="124">
                  <c:v>19.950973358454956</c:v>
                </c:pt>
                <c:pt idx="125">
                  <c:v>19.559150943525783</c:v>
                </c:pt>
                <c:pt idx="126">
                  <c:v>19.167329442092814</c:v>
                </c:pt>
                <c:pt idx="127">
                  <c:v>18.775508847542348</c:v>
                </c:pt>
                <c:pt idx="128">
                  <c:v>18.383689153324386</c:v>
                </c:pt>
                <c:pt idx="129">
                  <c:v>17.991870352951857</c:v>
                </c:pt>
                <c:pt idx="130">
                  <c:v>17.600052439999846</c:v>
                </c:pt>
                <c:pt idx="131">
                  <c:v>17.20823540810488</c:v>
                </c:pt>
                <c:pt idx="132">
                  <c:v>16.816419250964174</c:v>
                </c:pt>
                <c:pt idx="133">
                  <c:v>16.424603962334913</c:v>
                </c:pt>
                <c:pt idx="134">
                  <c:v>16.032789536033565</c:v>
                </c:pt>
                <c:pt idx="135">
                  <c:v>15.640975965935128</c:v>
                </c:pt>
                <c:pt idx="136">
                  <c:v>15.249163245972506</c:v>
                </c:pt>
                <c:pt idx="137">
                  <c:v>14.857351370135762</c:v>
                </c:pt>
                <c:pt idx="138">
                  <c:v>14.465540332471484</c:v>
                </c:pt>
                <c:pt idx="139">
                  <c:v>14.073730127082117</c:v>
                </c:pt>
                <c:pt idx="140">
                  <c:v>13.681920748125297</c:v>
                </c:pt>
                <c:pt idx="141">
                  <c:v>13.29011218981322</c:v>
                </c:pt>
                <c:pt idx="142">
                  <c:v>12.898304446412</c:v>
                </c:pt>
                <c:pt idx="143">
                  <c:v>12.506497512241046</c:v>
                </c:pt>
                <c:pt idx="144">
                  <c:v>12.11469138167244</c:v>
                </c:pt>
                <c:pt idx="145">
                  <c:v>11.722886049130327</c:v>
                </c:pt>
                <c:pt idx="146">
                  <c:v>11.331081509090332</c:v>
                </c:pt>
                <c:pt idx="147">
                  <c:v>10.939277756078935</c:v>
                </c:pt>
                <c:pt idx="148">
                  <c:v>10.547474784672914</c:v>
                </c:pt>
                <c:pt idx="149">
                  <c:v>10.15567258949876</c:v>
                </c:pt>
                <c:pt idx="150">
                  <c:v>9.7638711652321053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8-E149-8A23-BA03D701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907368"/>
        <c:axId val="527772216"/>
      </c:scatterChart>
      <c:scatterChart>
        <c:scatterStyle val="smoothMarker"/>
        <c:varyColors val="0"/>
        <c:ser>
          <c:idx val="0"/>
          <c:order val="0"/>
          <c:tx>
            <c:strRef>
              <c:f>'Mod after closure'!$F$187</c:f>
              <c:strCache>
                <c:ptCount val="1"/>
                <c:pt idx="0">
                  <c:v>surface leaching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closure'!$F$189:$F$339</c:f>
              <c:numCache>
                <c:formatCode>#\ ##0.0</c:formatCode>
                <c:ptCount val="151"/>
                <c:pt idx="0">
                  <c:v>22.580939999999998</c:v>
                </c:pt>
                <c:pt idx="1">
                  <c:v>22.449067066666668</c:v>
                </c:pt>
                <c:pt idx="2">
                  <c:v>22.317194133333334</c:v>
                </c:pt>
                <c:pt idx="3">
                  <c:v>22.185321199999997</c:v>
                </c:pt>
                <c:pt idx="4">
                  <c:v>22.053448266666663</c:v>
                </c:pt>
                <c:pt idx="5">
                  <c:v>21.92157533333333</c:v>
                </c:pt>
                <c:pt idx="6">
                  <c:v>21.789702399999992</c:v>
                </c:pt>
                <c:pt idx="7">
                  <c:v>21.657829466666659</c:v>
                </c:pt>
                <c:pt idx="8">
                  <c:v>21.525956533333325</c:v>
                </c:pt>
                <c:pt idx="9">
                  <c:v>21.394083599999991</c:v>
                </c:pt>
                <c:pt idx="10">
                  <c:v>21.262210666666657</c:v>
                </c:pt>
                <c:pt idx="11">
                  <c:v>21.13033773333332</c:v>
                </c:pt>
                <c:pt idx="12">
                  <c:v>20.998464799999986</c:v>
                </c:pt>
                <c:pt idx="13">
                  <c:v>20.866591866666653</c:v>
                </c:pt>
                <c:pt idx="14">
                  <c:v>20.734718933333323</c:v>
                </c:pt>
                <c:pt idx="15">
                  <c:v>20.602845999999989</c:v>
                </c:pt>
                <c:pt idx="16">
                  <c:v>20.470973066666655</c:v>
                </c:pt>
                <c:pt idx="17">
                  <c:v>20.339100133333325</c:v>
                </c:pt>
                <c:pt idx="18">
                  <c:v>20.207227199999991</c:v>
                </c:pt>
                <c:pt idx="19">
                  <c:v>20.075354266666661</c:v>
                </c:pt>
                <c:pt idx="20">
                  <c:v>19.943481333333327</c:v>
                </c:pt>
                <c:pt idx="21">
                  <c:v>19.811608399999994</c:v>
                </c:pt>
                <c:pt idx="22">
                  <c:v>19.679735466666664</c:v>
                </c:pt>
                <c:pt idx="23">
                  <c:v>19.54786253333333</c:v>
                </c:pt>
                <c:pt idx="24">
                  <c:v>19.415989600000003</c:v>
                </c:pt>
                <c:pt idx="25">
                  <c:v>19.284116666666669</c:v>
                </c:pt>
                <c:pt idx="26">
                  <c:v>19.152243733333336</c:v>
                </c:pt>
                <c:pt idx="27">
                  <c:v>19.020370800000006</c:v>
                </c:pt>
                <c:pt idx="28">
                  <c:v>18.888497866666672</c:v>
                </c:pt>
                <c:pt idx="29">
                  <c:v>18.756624933333338</c:v>
                </c:pt>
                <c:pt idx="30">
                  <c:v>18.624752000000008</c:v>
                </c:pt>
                <c:pt idx="31">
                  <c:v>18.492879066666674</c:v>
                </c:pt>
                <c:pt idx="32">
                  <c:v>18.361006133333341</c:v>
                </c:pt>
                <c:pt idx="33">
                  <c:v>18.22913320000001</c:v>
                </c:pt>
                <c:pt idx="34">
                  <c:v>18.097260266666677</c:v>
                </c:pt>
                <c:pt idx="35">
                  <c:v>17.965387333333346</c:v>
                </c:pt>
                <c:pt idx="36">
                  <c:v>17.833514400000013</c:v>
                </c:pt>
                <c:pt idx="37">
                  <c:v>17.701641466666679</c:v>
                </c:pt>
                <c:pt idx="38">
                  <c:v>17.569768533333349</c:v>
                </c:pt>
                <c:pt idx="39">
                  <c:v>17.437895600000015</c:v>
                </c:pt>
                <c:pt idx="40">
                  <c:v>17.306022666666685</c:v>
                </c:pt>
                <c:pt idx="41">
                  <c:v>17.174149733333351</c:v>
                </c:pt>
                <c:pt idx="42">
                  <c:v>17.042276800000021</c:v>
                </c:pt>
                <c:pt idx="43">
                  <c:v>16.910403866666691</c:v>
                </c:pt>
                <c:pt idx="44">
                  <c:v>16.778530933333357</c:v>
                </c:pt>
                <c:pt idx="45">
                  <c:v>16.646658000000023</c:v>
                </c:pt>
                <c:pt idx="46">
                  <c:v>16.514785066666693</c:v>
                </c:pt>
                <c:pt idx="47">
                  <c:v>16.38291213333336</c:v>
                </c:pt>
                <c:pt idx="48">
                  <c:v>16.251039200000026</c:v>
                </c:pt>
                <c:pt idx="49">
                  <c:v>16.119166266666696</c:v>
                </c:pt>
                <c:pt idx="50">
                  <c:v>15.987293333333362</c:v>
                </c:pt>
                <c:pt idx="51">
                  <c:v>15.85542040000003</c:v>
                </c:pt>
                <c:pt idx="52">
                  <c:v>15.723547466666698</c:v>
                </c:pt>
                <c:pt idx="53">
                  <c:v>15.591674533333366</c:v>
                </c:pt>
                <c:pt idx="54">
                  <c:v>15.459801600000034</c:v>
                </c:pt>
                <c:pt idx="55">
                  <c:v>15.327928666666702</c:v>
                </c:pt>
                <c:pt idx="56">
                  <c:v>15.19605573333337</c:v>
                </c:pt>
                <c:pt idx="57">
                  <c:v>15.064182800000038</c:v>
                </c:pt>
                <c:pt idx="58">
                  <c:v>14.932309866666705</c:v>
                </c:pt>
                <c:pt idx="59">
                  <c:v>14.800436933333373</c:v>
                </c:pt>
                <c:pt idx="60">
                  <c:v>14.668564000000041</c:v>
                </c:pt>
                <c:pt idx="61">
                  <c:v>14.536691066666709</c:v>
                </c:pt>
                <c:pt idx="62">
                  <c:v>14.404818133333377</c:v>
                </c:pt>
                <c:pt idx="63">
                  <c:v>14.272945200000043</c:v>
                </c:pt>
                <c:pt idx="64">
                  <c:v>14.141072266666713</c:v>
                </c:pt>
                <c:pt idx="65">
                  <c:v>14.009199333333381</c:v>
                </c:pt>
                <c:pt idx="66">
                  <c:v>13.877326400000047</c:v>
                </c:pt>
                <c:pt idx="67">
                  <c:v>13.745453466666715</c:v>
                </c:pt>
                <c:pt idx="68">
                  <c:v>13.613580533333383</c:v>
                </c:pt>
                <c:pt idx="69">
                  <c:v>13.481707600000052</c:v>
                </c:pt>
                <c:pt idx="70">
                  <c:v>13.34983466666672</c:v>
                </c:pt>
                <c:pt idx="71">
                  <c:v>13.217961733333386</c:v>
                </c:pt>
                <c:pt idx="72">
                  <c:v>13.086088800000054</c:v>
                </c:pt>
                <c:pt idx="73">
                  <c:v>12.954215866666724</c:v>
                </c:pt>
                <c:pt idx="74">
                  <c:v>12.82234293333339</c:v>
                </c:pt>
                <c:pt idx="75">
                  <c:v>12.690470000000058</c:v>
                </c:pt>
                <c:pt idx="76">
                  <c:v>12.558597066666726</c:v>
                </c:pt>
                <c:pt idx="77">
                  <c:v>12.426724133333394</c:v>
                </c:pt>
                <c:pt idx="78">
                  <c:v>12.294851200000062</c:v>
                </c:pt>
                <c:pt idx="79">
                  <c:v>12.162978266666729</c:v>
                </c:pt>
                <c:pt idx="80">
                  <c:v>12.031105333333397</c:v>
                </c:pt>
                <c:pt idx="81">
                  <c:v>11.899232400000066</c:v>
                </c:pt>
                <c:pt idx="82">
                  <c:v>11.767359466666733</c:v>
                </c:pt>
                <c:pt idx="83">
                  <c:v>11.635486533333401</c:v>
                </c:pt>
                <c:pt idx="84">
                  <c:v>11.503613600000069</c:v>
                </c:pt>
                <c:pt idx="85">
                  <c:v>11.371740666666737</c:v>
                </c:pt>
                <c:pt idx="86">
                  <c:v>11.239867733333405</c:v>
                </c:pt>
                <c:pt idx="87">
                  <c:v>11.107994800000071</c:v>
                </c:pt>
                <c:pt idx="88">
                  <c:v>10.976121866666739</c:v>
                </c:pt>
                <c:pt idx="89">
                  <c:v>10.844248933333407</c:v>
                </c:pt>
                <c:pt idx="90">
                  <c:v>10.712376000000075</c:v>
                </c:pt>
                <c:pt idx="91">
                  <c:v>10.580503066666743</c:v>
                </c:pt>
                <c:pt idx="92">
                  <c:v>10.44863013333341</c:v>
                </c:pt>
                <c:pt idx="93">
                  <c:v>10.316757200000078</c:v>
                </c:pt>
                <c:pt idx="94">
                  <c:v>10.184884266666744</c:v>
                </c:pt>
                <c:pt idx="95">
                  <c:v>10.05301133333341</c:v>
                </c:pt>
                <c:pt idx="96">
                  <c:v>9.9211384000000766</c:v>
                </c:pt>
                <c:pt idx="97">
                  <c:v>9.7892654666667429</c:v>
                </c:pt>
                <c:pt idx="98">
                  <c:v>9.6573925333334092</c:v>
                </c:pt>
                <c:pt idx="99">
                  <c:v>9.5255196000000755</c:v>
                </c:pt>
                <c:pt idx="100">
                  <c:v>9.3936466666667418</c:v>
                </c:pt>
                <c:pt idx="101">
                  <c:v>9.261773733333408</c:v>
                </c:pt>
                <c:pt idx="102">
                  <c:v>9.1299008000000779</c:v>
                </c:pt>
                <c:pt idx="103">
                  <c:v>8.9980278666667441</c:v>
                </c:pt>
                <c:pt idx="104">
                  <c:v>8.8661549333334104</c:v>
                </c:pt>
                <c:pt idx="105">
                  <c:v>8.7342820000000767</c:v>
                </c:pt>
                <c:pt idx="106">
                  <c:v>8.602409066666743</c:v>
                </c:pt>
                <c:pt idx="107">
                  <c:v>8.4705361333334093</c:v>
                </c:pt>
                <c:pt idx="108">
                  <c:v>8.3386632000000773</c:v>
                </c:pt>
                <c:pt idx="109">
                  <c:v>8.2067902666667436</c:v>
                </c:pt>
                <c:pt idx="110">
                  <c:v>8.0749173333334099</c:v>
                </c:pt>
                <c:pt idx="111">
                  <c:v>7.9430444000000771</c:v>
                </c:pt>
                <c:pt idx="112">
                  <c:v>7.8111714666667433</c:v>
                </c:pt>
                <c:pt idx="113">
                  <c:v>7.6792985333334096</c:v>
                </c:pt>
                <c:pt idx="114">
                  <c:v>7.5474256000000759</c:v>
                </c:pt>
                <c:pt idx="115">
                  <c:v>7.4155526666667422</c:v>
                </c:pt>
                <c:pt idx="116">
                  <c:v>7.2836797333334093</c:v>
                </c:pt>
                <c:pt idx="117">
                  <c:v>7.1518068000000765</c:v>
                </c:pt>
                <c:pt idx="118">
                  <c:v>7.0199338666667428</c:v>
                </c:pt>
                <c:pt idx="119">
                  <c:v>6.88806093333341</c:v>
                </c:pt>
                <c:pt idx="120">
                  <c:v>6.7561880000000762</c:v>
                </c:pt>
                <c:pt idx="121">
                  <c:v>6.6243150666667425</c:v>
                </c:pt>
                <c:pt idx="122">
                  <c:v>6.4924421333334088</c:v>
                </c:pt>
                <c:pt idx="123">
                  <c:v>6.360569200000076</c:v>
                </c:pt>
                <c:pt idx="124">
                  <c:v>6.2286962666667431</c:v>
                </c:pt>
                <c:pt idx="125">
                  <c:v>6.0968233333334094</c:v>
                </c:pt>
                <c:pt idx="126">
                  <c:v>5.9649504000000757</c:v>
                </c:pt>
                <c:pt idx="127">
                  <c:v>5.8330774666667429</c:v>
                </c:pt>
                <c:pt idx="128">
                  <c:v>5.7012045333334092</c:v>
                </c:pt>
                <c:pt idx="129">
                  <c:v>5.5693316000000763</c:v>
                </c:pt>
                <c:pt idx="130">
                  <c:v>5.4374586666667426</c:v>
                </c:pt>
                <c:pt idx="131">
                  <c:v>5.3055857333334089</c:v>
                </c:pt>
                <c:pt idx="132">
                  <c:v>5.1737128000000761</c:v>
                </c:pt>
                <c:pt idx="133">
                  <c:v>5.0418398666667423</c:v>
                </c:pt>
                <c:pt idx="134">
                  <c:v>4.9099669333334086</c:v>
                </c:pt>
                <c:pt idx="135">
                  <c:v>4.7780940000000767</c:v>
                </c:pt>
                <c:pt idx="136">
                  <c:v>4.6462210666667429</c:v>
                </c:pt>
                <c:pt idx="137">
                  <c:v>4.5143481333334092</c:v>
                </c:pt>
                <c:pt idx="138">
                  <c:v>4.3824752000000755</c:v>
                </c:pt>
                <c:pt idx="139">
                  <c:v>4.2506022666667418</c:v>
                </c:pt>
                <c:pt idx="140">
                  <c:v>4.118729333333409</c:v>
                </c:pt>
                <c:pt idx="141">
                  <c:v>3.9868564000000757</c:v>
                </c:pt>
                <c:pt idx="142">
                  <c:v>3.8549834666667424</c:v>
                </c:pt>
                <c:pt idx="143">
                  <c:v>3.7231105333334091</c:v>
                </c:pt>
                <c:pt idx="144">
                  <c:v>3.5912376000000759</c:v>
                </c:pt>
                <c:pt idx="145">
                  <c:v>3.4593646666667426</c:v>
                </c:pt>
                <c:pt idx="146">
                  <c:v>3.3274917333334089</c:v>
                </c:pt>
                <c:pt idx="147">
                  <c:v>3.1956188000000756</c:v>
                </c:pt>
                <c:pt idx="148">
                  <c:v>3.0637458666667428</c:v>
                </c:pt>
                <c:pt idx="149">
                  <c:v>2.931872933333409</c:v>
                </c:pt>
                <c:pt idx="150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A8-E149-8A23-BA03D7016216}"/>
            </c:ext>
          </c:extLst>
        </c:ser>
        <c:ser>
          <c:idx val="2"/>
          <c:order val="2"/>
          <c:tx>
            <c:strRef>
              <c:f>'Mod after closure'!$I$2</c:f>
              <c:strCache>
                <c:ptCount val="1"/>
                <c:pt idx="0">
                  <c:v>Groundwater contribution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closure'!$E$189:$E$339</c:f>
              <c:numCache>
                <c:formatCode>#\ ##0.0</c:formatCode>
                <c:ptCount val="151"/>
                <c:pt idx="0">
                  <c:v>7.1271360000000001</c:v>
                </c:pt>
                <c:pt idx="1">
                  <c:v>6.496416</c:v>
                </c:pt>
                <c:pt idx="2">
                  <c:v>6.2441279999999999</c:v>
                </c:pt>
                <c:pt idx="3">
                  <c:v>5.6764799999999997</c:v>
                </c:pt>
                <c:pt idx="4">
                  <c:v>5.46624</c:v>
                </c:pt>
                <c:pt idx="5">
                  <c:v>5.2560000000000002</c:v>
                </c:pt>
                <c:pt idx="6">
                  <c:v>5.0457599999999996</c:v>
                </c:pt>
                <c:pt idx="7">
                  <c:v>4.8880800000000004</c:v>
                </c:pt>
                <c:pt idx="8">
                  <c:v>4.7304000000000004</c:v>
                </c:pt>
                <c:pt idx="9">
                  <c:v>4.5727200000000003</c:v>
                </c:pt>
                <c:pt idx="10">
                  <c:v>4.4150400000000003</c:v>
                </c:pt>
                <c:pt idx="11">
                  <c:v>4.2888960000000003</c:v>
                </c:pt>
                <c:pt idx="12">
                  <c:v>4.1627520000000002</c:v>
                </c:pt>
                <c:pt idx="13">
                  <c:v>4.0366080000000002</c:v>
                </c:pt>
                <c:pt idx="14">
                  <c:v>3.9104640000000002</c:v>
                </c:pt>
                <c:pt idx="15">
                  <c:v>3.7843200000000001</c:v>
                </c:pt>
                <c:pt idx="16">
                  <c:v>3.6581760000000001</c:v>
                </c:pt>
                <c:pt idx="17">
                  <c:v>3.5635680000000001</c:v>
                </c:pt>
                <c:pt idx="18">
                  <c:v>3.46896</c:v>
                </c:pt>
                <c:pt idx="19">
                  <c:v>3.374352</c:v>
                </c:pt>
                <c:pt idx="20">
                  <c:v>3.279744</c:v>
                </c:pt>
                <c:pt idx="21">
                  <c:v>3.185136</c:v>
                </c:pt>
                <c:pt idx="22">
                  <c:v>3.0905279999999999</c:v>
                </c:pt>
                <c:pt idx="23">
                  <c:v>2.9959199999999999</c:v>
                </c:pt>
                <c:pt idx="24">
                  <c:v>2.9013119999999999</c:v>
                </c:pt>
                <c:pt idx="25">
                  <c:v>2.8210385454545457</c:v>
                </c:pt>
                <c:pt idx="26">
                  <c:v>2.740765090909091</c:v>
                </c:pt>
                <c:pt idx="27">
                  <c:v>2.6604916363636359</c:v>
                </c:pt>
                <c:pt idx="28">
                  <c:v>2.5802181818181813</c:v>
                </c:pt>
                <c:pt idx="29">
                  <c:v>2.4999447272727271</c:v>
                </c:pt>
                <c:pt idx="30">
                  <c:v>2.4196712727272724</c:v>
                </c:pt>
                <c:pt idx="31">
                  <c:v>2.3393978181818178</c:v>
                </c:pt>
                <c:pt idx="32">
                  <c:v>2.2591243636363636</c:v>
                </c:pt>
                <c:pt idx="33">
                  <c:v>2.1788509090909085</c:v>
                </c:pt>
                <c:pt idx="34">
                  <c:v>2.0183040000000001</c:v>
                </c:pt>
                <c:pt idx="35">
                  <c:v>1.9487073103448276</c:v>
                </c:pt>
                <c:pt idx="36">
                  <c:v>1.8791106206896553</c:v>
                </c:pt>
                <c:pt idx="37">
                  <c:v>1.8095139310344828</c:v>
                </c:pt>
                <c:pt idx="38">
                  <c:v>1.7399172413793105</c:v>
                </c:pt>
                <c:pt idx="39">
                  <c:v>1.670320551724138</c:v>
                </c:pt>
                <c:pt idx="40">
                  <c:v>1.6007238620689657</c:v>
                </c:pt>
                <c:pt idx="41">
                  <c:v>1.5311271724137931</c:v>
                </c:pt>
                <c:pt idx="42">
                  <c:v>1.4615304827586206</c:v>
                </c:pt>
                <c:pt idx="43">
                  <c:v>1.3919337931034483</c:v>
                </c:pt>
                <c:pt idx="44">
                  <c:v>1.322337103448276</c:v>
                </c:pt>
                <c:pt idx="45">
                  <c:v>1.2527404137931035</c:v>
                </c:pt>
                <c:pt idx="46">
                  <c:v>1.183143724137931</c:v>
                </c:pt>
                <c:pt idx="47">
                  <c:v>1.1135470344827587</c:v>
                </c:pt>
                <c:pt idx="48">
                  <c:v>1.0439503448275862</c:v>
                </c:pt>
                <c:pt idx="49">
                  <c:v>0.9743536551724139</c:v>
                </c:pt>
                <c:pt idx="50">
                  <c:v>0.9047569655172415</c:v>
                </c:pt>
                <c:pt idx="51">
                  <c:v>0.83516027586206909</c:v>
                </c:pt>
                <c:pt idx="52">
                  <c:v>0.76556358620689668</c:v>
                </c:pt>
                <c:pt idx="53">
                  <c:v>0.69596689655172428</c:v>
                </c:pt>
                <c:pt idx="54">
                  <c:v>0.62637020689655187</c:v>
                </c:pt>
                <c:pt idx="55">
                  <c:v>0.55677351724137947</c:v>
                </c:pt>
                <c:pt idx="56">
                  <c:v>0.48717682758620712</c:v>
                </c:pt>
                <c:pt idx="57">
                  <c:v>0.41758013793103471</c:v>
                </c:pt>
                <c:pt idx="58">
                  <c:v>0.34798344827586225</c:v>
                </c:pt>
                <c:pt idx="59">
                  <c:v>0.27838675862068984</c:v>
                </c:pt>
                <c:pt idx="60">
                  <c:v>0.20879006896551747</c:v>
                </c:pt>
                <c:pt idx="61">
                  <c:v>0.13919337931034506</c:v>
                </c:pt>
                <c:pt idx="62">
                  <c:v>6.9596689655172628E-2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A8-E149-8A23-BA03D7016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248120"/>
        <c:axId val="519010408"/>
      </c:scatterChart>
      <c:valAx>
        <c:axId val="509907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7772216"/>
        <c:crosses val="autoZero"/>
        <c:crossBetween val="midCat"/>
      </c:valAx>
      <c:valAx>
        <c:axId val="527772216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(mg/l)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09907368"/>
        <c:crosses val="autoZero"/>
        <c:crossBetween val="midCat"/>
        <c:majorUnit val="5"/>
      </c:valAx>
      <c:valAx>
        <c:axId val="519010408"/>
        <c:scaling>
          <c:orientation val="minMax"/>
          <c:max val="25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25248120"/>
        <c:crosses val="max"/>
        <c:crossBetween val="midCat"/>
      </c:valAx>
      <c:valAx>
        <c:axId val="5252481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90104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26620389556569"/>
          <c:w val="0.80908110104327402"/>
          <c:h val="7.3379610443431401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MOLYBDENUM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014014303258"/>
          <c:y val="0.12226148409894"/>
          <c:w val="0.760272050856028"/>
          <c:h val="0.63718816950001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'Mod after closure'!$I$187</c:f>
              <c:strCache>
                <c:ptCount val="1"/>
                <c:pt idx="0">
                  <c:v>MOLYBDENUM Lake con.</c:v>
                </c:pt>
              </c:strCache>
            </c:strRef>
          </c:tx>
          <c:marker>
            <c:symbol val="squar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closure'!$I$189:$I$339</c:f>
              <c:numCache>
                <c:formatCode>0.0</c:formatCode>
                <c:ptCount val="151"/>
                <c:pt idx="0">
                  <c:v>3.0715888633131216</c:v>
                </c:pt>
                <c:pt idx="1">
                  <c:v>8.7241047727915415</c:v>
                </c:pt>
                <c:pt idx="2">
                  <c:v>4.504404670996129</c:v>
                </c:pt>
                <c:pt idx="3">
                  <c:v>5.249568737953231</c:v>
                </c:pt>
                <c:pt idx="4">
                  <c:v>5.693866930360576</c:v>
                </c:pt>
                <c:pt idx="5">
                  <c:v>6.293656498574312</c:v>
                </c:pt>
                <c:pt idx="6">
                  <c:v>6.5728609383998329</c:v>
                </c:pt>
                <c:pt idx="7">
                  <c:v>6.8420576563444078</c:v>
                </c:pt>
                <c:pt idx="8">
                  <c:v>6.3352562071920824</c:v>
                </c:pt>
                <c:pt idx="9">
                  <c:v>6.5037742526607829</c:v>
                </c:pt>
                <c:pt idx="10">
                  <c:v>7.5269174354928001</c:v>
                </c:pt>
                <c:pt idx="11">
                  <c:v>7.7371558049457336</c:v>
                </c:pt>
                <c:pt idx="12">
                  <c:v>7.958010938649303</c:v>
                </c:pt>
                <c:pt idx="13">
                  <c:v>8.1327122868893387</c:v>
                </c:pt>
                <c:pt idx="14">
                  <c:v>8.8406673851445632</c:v>
                </c:pt>
                <c:pt idx="15">
                  <c:v>9.0541643475375988</c:v>
                </c:pt>
                <c:pt idx="16">
                  <c:v>8.694358960634462</c:v>
                </c:pt>
                <c:pt idx="17">
                  <c:v>8.8990843205074075</c:v>
                </c:pt>
                <c:pt idx="18">
                  <c:v>9.1219642069720983</c:v>
                </c:pt>
                <c:pt idx="19">
                  <c:v>9.2783507456299077</c:v>
                </c:pt>
                <c:pt idx="20">
                  <c:v>9.4406882821391775</c:v>
                </c:pt>
                <c:pt idx="21">
                  <c:v>9.6095667561408149</c:v>
                </c:pt>
                <c:pt idx="22">
                  <c:v>9.7856024515228661</c:v>
                </c:pt>
                <c:pt idx="23">
                  <c:v>9.9694472953550672</c:v>
                </c:pt>
                <c:pt idx="24">
                  <c:v>10.161798036539583</c:v>
                </c:pt>
                <c:pt idx="25">
                  <c:v>10.36351386787315</c:v>
                </c:pt>
                <c:pt idx="26">
                  <c:v>10.583044336086791</c:v>
                </c:pt>
                <c:pt idx="27">
                  <c:v>10.761474801918046</c:v>
                </c:pt>
                <c:pt idx="28">
                  <c:v>10.947842208453308</c:v>
                </c:pt>
                <c:pt idx="29">
                  <c:v>11.142770333974857</c:v>
                </c:pt>
                <c:pt idx="30">
                  <c:v>11.346936820908972</c:v>
                </c:pt>
                <c:pt idx="31">
                  <c:v>11.561080670188121</c:v>
                </c:pt>
                <c:pt idx="32">
                  <c:v>11.786010634143988</c:v>
                </c:pt>
                <c:pt idx="33">
                  <c:v>12.022614684827637</c:v>
                </c:pt>
                <c:pt idx="34">
                  <c:v>12.271374811310078</c:v>
                </c:pt>
                <c:pt idx="35">
                  <c:v>12.436467868070928</c:v>
                </c:pt>
                <c:pt idx="36">
                  <c:v>13.21566321485815</c:v>
                </c:pt>
                <c:pt idx="37">
                  <c:v>13.476352465593187</c:v>
                </c:pt>
                <c:pt idx="38">
                  <c:v>13.751000173649878</c:v>
                </c:pt>
                <c:pt idx="39">
                  <c:v>14.040765511387548</c:v>
                </c:pt>
                <c:pt idx="40">
                  <c:v>14.346929688119767</c:v>
                </c:pt>
                <c:pt idx="41">
                  <c:v>14.670911362903492</c:v>
                </c:pt>
                <c:pt idx="42">
                  <c:v>15.014283916853122</c:v>
                </c:pt>
                <c:pt idx="43">
                  <c:v>15.378794647362472</c:v>
                </c:pt>
                <c:pt idx="44">
                  <c:v>15.76638581047467</c:v>
                </c:pt>
                <c:pt idx="45">
                  <c:v>16.179217185055432</c:v>
                </c:pt>
                <c:pt idx="46">
                  <c:v>16.61968937980577</c:v>
                </c:pt>
                <c:pt idx="47">
                  <c:v>17.090466306548134</c:v>
                </c:pt>
                <c:pt idx="48">
                  <c:v>17.594493845609325</c:v>
                </c:pt>
                <c:pt idx="49">
                  <c:v>18.135009274875074</c:v>
                </c:pt>
                <c:pt idx="50">
                  <c:v>18.715531688501294</c:v>
                </c:pt>
                <c:pt idx="51">
                  <c:v>19.339815831232698</c:v>
                </c:pt>
                <c:pt idx="52">
                  <c:v>20.011737509402817</c:v>
                </c:pt>
                <c:pt idx="53">
                  <c:v>20.735052020374216</c:v>
                </c:pt>
                <c:pt idx="54">
                  <c:v>21.512915491215335</c:v>
                </c:pt>
                <c:pt idx="55">
                  <c:v>22.346955898598843</c:v>
                </c:pt>
                <c:pt idx="56">
                  <c:v>23.526855577083499</c:v>
                </c:pt>
                <c:pt idx="57">
                  <c:v>24.86230955663903</c:v>
                </c:pt>
                <c:pt idx="58">
                  <c:v>26.386292132414614</c:v>
                </c:pt>
                <c:pt idx="59">
                  <c:v>28.141802501415587</c:v>
                </c:pt>
                <c:pt idx="60">
                  <c:v>30.185988165616962</c:v>
                </c:pt>
                <c:pt idx="61">
                  <c:v>32.596485959006081</c:v>
                </c:pt>
                <c:pt idx="62">
                  <c:v>35.481509153770851</c:v>
                </c:pt>
                <c:pt idx="63">
                  <c:v>38.996544542878475</c:v>
                </c:pt>
                <c:pt idx="64">
                  <c:v>43.373660432574674</c:v>
                </c:pt>
                <c:pt idx="65">
                  <c:v>42.982843775435022</c:v>
                </c:pt>
                <c:pt idx="66">
                  <c:v>42.592022494453374</c:v>
                </c:pt>
                <c:pt idx="67">
                  <c:v>42.201196628774341</c:v>
                </c:pt>
                <c:pt idx="68">
                  <c:v>41.810366217101965</c:v>
                </c:pt>
                <c:pt idx="69">
                  <c:v>41.41953129770588</c:v>
                </c:pt>
                <c:pt idx="70">
                  <c:v>41.028691908427334</c:v>
                </c:pt>
                <c:pt idx="71">
                  <c:v>40.637848086685231</c:v>
                </c:pt>
                <c:pt idx="72">
                  <c:v>40.246999869481925</c:v>
                </c:pt>
                <c:pt idx="73">
                  <c:v>39.856147293409094</c:v>
                </c:pt>
                <c:pt idx="74">
                  <c:v>39.46529039465338</c:v>
                </c:pt>
                <c:pt idx="75">
                  <c:v>39.074429209001948</c:v>
                </c:pt>
                <c:pt idx="76">
                  <c:v>38.683563771848007</c:v>
                </c:pt>
                <c:pt idx="77">
                  <c:v>38.29269411819628</c:v>
                </c:pt>
                <c:pt idx="78">
                  <c:v>37.901820282668176</c:v>
                </c:pt>
                <c:pt idx="79">
                  <c:v>37.510942299507171</c:v>
                </c:pt>
                <c:pt idx="80">
                  <c:v>37.120060202583879</c:v>
                </c:pt>
                <c:pt idx="81">
                  <c:v>36.729174025401065</c:v>
                </c:pt>
                <c:pt idx="82">
                  <c:v>36.33828380109874</c:v>
                </c:pt>
                <c:pt idx="83">
                  <c:v>35.947389562458973</c:v>
                </c:pt>
                <c:pt idx="84">
                  <c:v>35.55649134191075</c:v>
                </c:pt>
                <c:pt idx="85">
                  <c:v>35.165589171534712</c:v>
                </c:pt>
                <c:pt idx="86">
                  <c:v>34.774683083067757</c:v>
                </c:pt>
                <c:pt idx="87">
                  <c:v>34.383773107907707</c:v>
                </c:pt>
                <c:pt idx="88">
                  <c:v>33.992859277117844</c:v>
                </c:pt>
                <c:pt idx="89">
                  <c:v>33.601941621431259</c:v>
                </c:pt>
                <c:pt idx="90">
                  <c:v>33.211020171255271</c:v>
                </c:pt>
                <c:pt idx="91">
                  <c:v>32.82009495667581</c:v>
                </c:pt>
                <c:pt idx="92">
                  <c:v>32.42916600746149</c:v>
                </c:pt>
                <c:pt idx="93">
                  <c:v>32.038233353067945</c:v>
                </c:pt>
                <c:pt idx="94">
                  <c:v>31.647297022641819</c:v>
                </c:pt>
                <c:pt idx="95">
                  <c:v>31.256357045024863</c:v>
                </c:pt>
                <c:pt idx="96">
                  <c:v>30.865413448757906</c:v>
                </c:pt>
                <c:pt idx="97">
                  <c:v>30.474466262084736</c:v>
                </c:pt>
                <c:pt idx="98">
                  <c:v>30.083515512955984</c:v>
                </c:pt>
                <c:pt idx="99">
                  <c:v>29.69256122903294</c:v>
                </c:pt>
                <c:pt idx="100">
                  <c:v>29.30160343769121</c:v>
                </c:pt>
                <c:pt idx="101">
                  <c:v>28.910642166024484</c:v>
                </c:pt>
                <c:pt idx="102">
                  <c:v>28.519677440848106</c:v>
                </c:pt>
                <c:pt idx="103">
                  <c:v>28.128709288702623</c:v>
                </c:pt>
                <c:pt idx="104">
                  <c:v>27.737737735857358</c:v>
                </c:pt>
                <c:pt idx="105">
                  <c:v>27.346762808313805</c:v>
                </c:pt>
                <c:pt idx="106">
                  <c:v>26.955784531809069</c:v>
                </c:pt>
                <c:pt idx="107">
                  <c:v>26.564802931819202</c:v>
                </c:pt>
                <c:pt idx="108">
                  <c:v>26.173818033562505</c:v>
                </c:pt>
                <c:pt idx="109">
                  <c:v>25.782829862002806</c:v>
                </c:pt>
                <c:pt idx="110">
                  <c:v>25.39183844185261</c:v>
                </c:pt>
                <c:pt idx="111">
                  <c:v>25.000843797576294</c:v>
                </c:pt>
                <c:pt idx="112">
                  <c:v>24.609845953393211</c:v>
                </c:pt>
                <c:pt idx="113">
                  <c:v>24.218844933280739</c:v>
                </c:pt>
                <c:pt idx="114">
                  <c:v>23.827840760977292</c:v>
                </c:pt>
                <c:pt idx="115">
                  <c:v>23.436833459985305</c:v>
                </c:pt>
                <c:pt idx="116">
                  <c:v>23.045823053574125</c:v>
                </c:pt>
                <c:pt idx="117">
                  <c:v>22.654809564782955</c:v>
                </c:pt>
                <c:pt idx="118">
                  <c:v>22.263793016423627</c:v>
                </c:pt>
                <c:pt idx="119">
                  <c:v>21.872773431083445</c:v>
                </c:pt>
                <c:pt idx="120">
                  <c:v>21.481750831127908</c:v>
                </c:pt>
                <c:pt idx="121">
                  <c:v>21.090725238703467</c:v>
                </c:pt>
                <c:pt idx="122">
                  <c:v>20.699696675740149</c:v>
                </c:pt>
                <c:pt idx="123">
                  <c:v>20.30866516395422</c:v>
                </c:pt>
                <c:pt idx="124">
                  <c:v>19.91763072485081</c:v>
                </c:pt>
                <c:pt idx="125">
                  <c:v>19.526593379726432</c:v>
                </c:pt>
                <c:pt idx="126">
                  <c:v>19.135553149671509</c:v>
                </c:pt>
                <c:pt idx="127">
                  <c:v>18.744510055572881</c:v>
                </c:pt>
                <c:pt idx="128">
                  <c:v>18.353464118116243</c:v>
                </c:pt>
                <c:pt idx="129">
                  <c:v>17.962415357788583</c:v>
                </c:pt>
                <c:pt idx="130">
                  <c:v>17.571363794880515</c:v>
                </c:pt>
                <c:pt idx="131">
                  <c:v>17.180309449488675</c:v>
                </c:pt>
                <c:pt idx="132">
                  <c:v>16.789252341517997</c:v>
                </c:pt>
                <c:pt idx="133">
                  <c:v>16.398192490684021</c:v>
                </c:pt>
                <c:pt idx="134">
                  <c:v>16.007129916515126</c:v>
                </c:pt>
                <c:pt idx="135">
                  <c:v>15.616064638354734</c:v>
                </c:pt>
                <c:pt idx="136">
                  <c:v>15.224996675363535</c:v>
                </c:pt>
                <c:pt idx="137">
                  <c:v>14.833926046521597</c:v>
                </c:pt>
                <c:pt idx="138">
                  <c:v>14.442852770630509</c:v>
                </c:pt>
                <c:pt idx="139">
                  <c:v>14.051776866315469</c:v>
                </c:pt>
                <c:pt idx="140">
                  <c:v>13.660698352027348</c:v>
                </c:pt>
                <c:pt idx="141">
                  <c:v>13.269617246044731</c:v>
                </c:pt>
                <c:pt idx="142">
                  <c:v>12.878533566475916</c:v>
                </c:pt>
                <c:pt idx="143">
                  <c:v>12.487447331260896</c:v>
                </c:pt>
                <c:pt idx="144">
                  <c:v>12.096358558173307</c:v>
                </c:pt>
                <c:pt idx="145">
                  <c:v>11.70526726482235</c:v>
                </c:pt>
                <c:pt idx="146">
                  <c:v>11.314173468654706</c:v>
                </c:pt>
                <c:pt idx="147">
                  <c:v>10.923077186956375</c:v>
                </c:pt>
                <c:pt idx="148">
                  <c:v>10.531978436854549</c:v>
                </c:pt>
                <c:pt idx="149">
                  <c:v>10.140877235319422</c:v>
                </c:pt>
                <c:pt idx="150">
                  <c:v>9.7497735991659749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5-2343-B399-3FB5FB7F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444776"/>
        <c:axId val="498214440"/>
      </c:scatterChart>
      <c:scatterChart>
        <c:scatterStyle val="smoothMarker"/>
        <c:varyColors val="0"/>
        <c:ser>
          <c:idx val="0"/>
          <c:order val="0"/>
          <c:tx>
            <c:strRef>
              <c:f>'Mod after closure'!$F$187</c:f>
              <c:strCache>
                <c:ptCount val="1"/>
                <c:pt idx="0">
                  <c:v>surface leaching</c:v>
                </c:pt>
              </c:strCache>
            </c:strRef>
          </c:tx>
          <c:marker>
            <c:symbol val="diamond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closure'!$L$189:$L$339</c:f>
              <c:numCache>
                <c:formatCode>#\ ##0.0</c:formatCode>
                <c:ptCount val="151"/>
                <c:pt idx="0">
                  <c:v>8.4678524999999993</c:v>
                </c:pt>
                <c:pt idx="1">
                  <c:v>8.4184001500000001</c:v>
                </c:pt>
                <c:pt idx="2">
                  <c:v>8.368947799999999</c:v>
                </c:pt>
                <c:pt idx="3">
                  <c:v>8.319495449999998</c:v>
                </c:pt>
                <c:pt idx="4">
                  <c:v>8.270043099999997</c:v>
                </c:pt>
                <c:pt idx="5">
                  <c:v>8.2205907499999977</c:v>
                </c:pt>
                <c:pt idx="6">
                  <c:v>8.1711383999999967</c:v>
                </c:pt>
                <c:pt idx="7">
                  <c:v>8.1216860499999974</c:v>
                </c:pt>
                <c:pt idx="8">
                  <c:v>8.0722336999999964</c:v>
                </c:pt>
                <c:pt idx="9">
                  <c:v>8.0227813499999954</c:v>
                </c:pt>
                <c:pt idx="10">
                  <c:v>7.9733289999999952</c:v>
                </c:pt>
                <c:pt idx="11">
                  <c:v>7.9238766499999951</c:v>
                </c:pt>
                <c:pt idx="12">
                  <c:v>7.8744242999999949</c:v>
                </c:pt>
                <c:pt idx="13">
                  <c:v>7.8249719499999957</c:v>
                </c:pt>
                <c:pt idx="14">
                  <c:v>7.7755195999999955</c:v>
                </c:pt>
                <c:pt idx="15">
                  <c:v>7.7260672499999963</c:v>
                </c:pt>
                <c:pt idx="16">
                  <c:v>7.676614899999997</c:v>
                </c:pt>
                <c:pt idx="17">
                  <c:v>7.6271625499999969</c:v>
                </c:pt>
                <c:pt idx="18">
                  <c:v>7.5777101999999976</c:v>
                </c:pt>
                <c:pt idx="19">
                  <c:v>7.5282578499999975</c:v>
                </c:pt>
                <c:pt idx="20">
                  <c:v>7.4788054999999982</c:v>
                </c:pt>
                <c:pt idx="21">
                  <c:v>7.4293531499999981</c:v>
                </c:pt>
                <c:pt idx="22">
                  <c:v>7.3799007999999988</c:v>
                </c:pt>
                <c:pt idx="23">
                  <c:v>7.3304484499999996</c:v>
                </c:pt>
                <c:pt idx="24">
                  <c:v>7.2809960999999994</c:v>
                </c:pt>
                <c:pt idx="25">
                  <c:v>7.2315437500000002</c:v>
                </c:pt>
                <c:pt idx="26">
                  <c:v>7.1820914</c:v>
                </c:pt>
                <c:pt idx="27">
                  <c:v>7.1326390500000008</c:v>
                </c:pt>
                <c:pt idx="28">
                  <c:v>7.0831867000000015</c:v>
                </c:pt>
                <c:pt idx="29">
                  <c:v>7.0337343500000022</c:v>
                </c:pt>
                <c:pt idx="30">
                  <c:v>6.984282000000003</c:v>
                </c:pt>
                <c:pt idx="31">
                  <c:v>6.9348296500000028</c:v>
                </c:pt>
                <c:pt idx="32">
                  <c:v>6.8853773000000036</c:v>
                </c:pt>
                <c:pt idx="33">
                  <c:v>6.8359249500000043</c:v>
                </c:pt>
                <c:pt idx="34">
                  <c:v>6.7864726000000042</c:v>
                </c:pt>
                <c:pt idx="35">
                  <c:v>6.7370202500000049</c:v>
                </c:pt>
                <c:pt idx="36">
                  <c:v>6.6875679000000048</c:v>
                </c:pt>
                <c:pt idx="37">
                  <c:v>6.6381155500000055</c:v>
                </c:pt>
                <c:pt idx="38">
                  <c:v>6.5886632000000054</c:v>
                </c:pt>
                <c:pt idx="39">
                  <c:v>6.5392108500000061</c:v>
                </c:pt>
                <c:pt idx="40">
                  <c:v>6.4897585000000069</c:v>
                </c:pt>
                <c:pt idx="41">
                  <c:v>6.4403061500000067</c:v>
                </c:pt>
                <c:pt idx="42">
                  <c:v>6.3908538000000075</c:v>
                </c:pt>
                <c:pt idx="43">
                  <c:v>6.3414014500000073</c:v>
                </c:pt>
                <c:pt idx="44">
                  <c:v>6.291949100000009</c:v>
                </c:pt>
                <c:pt idx="45">
                  <c:v>6.2424967500000097</c:v>
                </c:pt>
                <c:pt idx="46">
                  <c:v>6.1930444000000096</c:v>
                </c:pt>
                <c:pt idx="47">
                  <c:v>6.1435920500000103</c:v>
                </c:pt>
                <c:pt idx="48">
                  <c:v>6.0941397000000102</c:v>
                </c:pt>
                <c:pt idx="49">
                  <c:v>6.0446873500000109</c:v>
                </c:pt>
                <c:pt idx="50">
                  <c:v>5.9952350000000107</c:v>
                </c:pt>
                <c:pt idx="51">
                  <c:v>5.9457826500000115</c:v>
                </c:pt>
                <c:pt idx="52">
                  <c:v>5.8963303000000122</c:v>
                </c:pt>
                <c:pt idx="53">
                  <c:v>5.8468779500000121</c:v>
                </c:pt>
                <c:pt idx="54">
                  <c:v>5.7974256000000128</c:v>
                </c:pt>
                <c:pt idx="55">
                  <c:v>5.7479732500000127</c:v>
                </c:pt>
                <c:pt idx="56">
                  <c:v>5.6985209000000134</c:v>
                </c:pt>
                <c:pt idx="57">
                  <c:v>5.6490685500000142</c:v>
                </c:pt>
                <c:pt idx="58">
                  <c:v>5.599616200000014</c:v>
                </c:pt>
                <c:pt idx="59">
                  <c:v>5.5501638500000148</c:v>
                </c:pt>
                <c:pt idx="60">
                  <c:v>5.5007115000000146</c:v>
                </c:pt>
                <c:pt idx="61">
                  <c:v>5.4512591500000163</c:v>
                </c:pt>
                <c:pt idx="62">
                  <c:v>5.401806800000017</c:v>
                </c:pt>
                <c:pt idx="63">
                  <c:v>5.3523544500000169</c:v>
                </c:pt>
                <c:pt idx="64">
                  <c:v>5.3029021000000176</c:v>
                </c:pt>
                <c:pt idx="65">
                  <c:v>5.2534497500000175</c:v>
                </c:pt>
                <c:pt idx="66">
                  <c:v>5.2039974000000182</c:v>
                </c:pt>
                <c:pt idx="67">
                  <c:v>5.1545450500000181</c:v>
                </c:pt>
                <c:pt idx="68">
                  <c:v>5.1050927000000188</c:v>
                </c:pt>
                <c:pt idx="69">
                  <c:v>5.0556403500000195</c:v>
                </c:pt>
                <c:pt idx="70">
                  <c:v>5.0061880000000194</c:v>
                </c:pt>
                <c:pt idx="71">
                  <c:v>4.9567356500000201</c:v>
                </c:pt>
                <c:pt idx="72">
                  <c:v>4.90728330000002</c:v>
                </c:pt>
                <c:pt idx="73">
                  <c:v>4.8578309500000207</c:v>
                </c:pt>
                <c:pt idx="74">
                  <c:v>4.8083786000000215</c:v>
                </c:pt>
                <c:pt idx="75">
                  <c:v>4.7589262500000213</c:v>
                </c:pt>
                <c:pt idx="76">
                  <c:v>4.709473900000023</c:v>
                </c:pt>
                <c:pt idx="77">
                  <c:v>4.6600215500000228</c:v>
                </c:pt>
                <c:pt idx="78">
                  <c:v>4.6105692000000236</c:v>
                </c:pt>
                <c:pt idx="79">
                  <c:v>4.5611168500000234</c:v>
                </c:pt>
                <c:pt idx="80">
                  <c:v>4.5116645000000242</c:v>
                </c:pt>
                <c:pt idx="81">
                  <c:v>4.4622121500000249</c:v>
                </c:pt>
                <c:pt idx="82">
                  <c:v>4.4127598000000248</c:v>
                </c:pt>
                <c:pt idx="83">
                  <c:v>4.3633074500000255</c:v>
                </c:pt>
                <c:pt idx="84">
                  <c:v>4.3138551000000254</c:v>
                </c:pt>
                <c:pt idx="85">
                  <c:v>4.2644027500000261</c:v>
                </c:pt>
                <c:pt idx="86">
                  <c:v>4.2149504000000269</c:v>
                </c:pt>
                <c:pt idx="87">
                  <c:v>4.1654980500000267</c:v>
                </c:pt>
                <c:pt idx="88">
                  <c:v>4.1160457000000275</c:v>
                </c:pt>
                <c:pt idx="89">
                  <c:v>4.0665933500000282</c:v>
                </c:pt>
                <c:pt idx="90">
                  <c:v>4.0171410000000281</c:v>
                </c:pt>
                <c:pt idx="91">
                  <c:v>3.9676886500000288</c:v>
                </c:pt>
                <c:pt idx="92">
                  <c:v>3.9182363000000286</c:v>
                </c:pt>
                <c:pt idx="93">
                  <c:v>3.8687839500000285</c:v>
                </c:pt>
                <c:pt idx="94">
                  <c:v>3.8193316000000284</c:v>
                </c:pt>
                <c:pt idx="95">
                  <c:v>3.7698792500000287</c:v>
                </c:pt>
                <c:pt idx="96">
                  <c:v>3.720426900000029</c:v>
                </c:pt>
                <c:pt idx="97">
                  <c:v>3.6709745500000288</c:v>
                </c:pt>
                <c:pt idx="98">
                  <c:v>3.6215222000000287</c:v>
                </c:pt>
                <c:pt idx="99">
                  <c:v>3.5720698500000285</c:v>
                </c:pt>
                <c:pt idx="100">
                  <c:v>3.5226175000000288</c:v>
                </c:pt>
                <c:pt idx="101">
                  <c:v>3.4731651500000287</c:v>
                </c:pt>
                <c:pt idx="102">
                  <c:v>3.4237128000000285</c:v>
                </c:pt>
                <c:pt idx="103">
                  <c:v>3.3742604500000284</c:v>
                </c:pt>
                <c:pt idx="104">
                  <c:v>3.3248081000000287</c:v>
                </c:pt>
                <c:pt idx="105">
                  <c:v>3.275355750000029</c:v>
                </c:pt>
                <c:pt idx="106">
                  <c:v>3.2259034000000288</c:v>
                </c:pt>
                <c:pt idx="107">
                  <c:v>3.1764510500000287</c:v>
                </c:pt>
                <c:pt idx="108">
                  <c:v>3.1269987000000286</c:v>
                </c:pt>
                <c:pt idx="109">
                  <c:v>3.0775463500000284</c:v>
                </c:pt>
                <c:pt idx="110">
                  <c:v>3.0280940000000283</c:v>
                </c:pt>
                <c:pt idx="111">
                  <c:v>2.9786416500000286</c:v>
                </c:pt>
                <c:pt idx="112">
                  <c:v>2.9291893000000289</c:v>
                </c:pt>
                <c:pt idx="113">
                  <c:v>2.8797369500000287</c:v>
                </c:pt>
                <c:pt idx="114">
                  <c:v>2.8302846000000286</c:v>
                </c:pt>
                <c:pt idx="115">
                  <c:v>2.7808322500000284</c:v>
                </c:pt>
                <c:pt idx="116">
                  <c:v>2.7313799000000287</c:v>
                </c:pt>
                <c:pt idx="117">
                  <c:v>2.6819275500000286</c:v>
                </c:pt>
                <c:pt idx="118">
                  <c:v>2.6324752000000284</c:v>
                </c:pt>
                <c:pt idx="119">
                  <c:v>2.5830228500000283</c:v>
                </c:pt>
                <c:pt idx="120">
                  <c:v>2.5335705000000286</c:v>
                </c:pt>
                <c:pt idx="121">
                  <c:v>2.4841181500000284</c:v>
                </c:pt>
                <c:pt idx="122">
                  <c:v>2.4346658000000287</c:v>
                </c:pt>
                <c:pt idx="123">
                  <c:v>2.3852134500000286</c:v>
                </c:pt>
                <c:pt idx="124">
                  <c:v>2.3357611000000285</c:v>
                </c:pt>
                <c:pt idx="125">
                  <c:v>2.2863087500000283</c:v>
                </c:pt>
                <c:pt idx="126">
                  <c:v>2.2368564000000282</c:v>
                </c:pt>
                <c:pt idx="127">
                  <c:v>2.1874040500000285</c:v>
                </c:pt>
                <c:pt idx="128">
                  <c:v>2.1379517000000288</c:v>
                </c:pt>
                <c:pt idx="129">
                  <c:v>2.0884993500000286</c:v>
                </c:pt>
                <c:pt idx="130">
                  <c:v>2.0390470000000285</c:v>
                </c:pt>
                <c:pt idx="131">
                  <c:v>1.9895946500000286</c:v>
                </c:pt>
                <c:pt idx="132">
                  <c:v>1.9401423000000284</c:v>
                </c:pt>
                <c:pt idx="133">
                  <c:v>1.8906899500000285</c:v>
                </c:pt>
                <c:pt idx="134">
                  <c:v>1.8412376000000286</c:v>
                </c:pt>
                <c:pt idx="135">
                  <c:v>1.7917852500000284</c:v>
                </c:pt>
                <c:pt idx="136">
                  <c:v>1.7423329000000285</c:v>
                </c:pt>
                <c:pt idx="137">
                  <c:v>1.6928805500000284</c:v>
                </c:pt>
                <c:pt idx="138">
                  <c:v>1.6434282000000284</c:v>
                </c:pt>
                <c:pt idx="139">
                  <c:v>1.5939758500000285</c:v>
                </c:pt>
                <c:pt idx="140">
                  <c:v>1.5445235000000284</c:v>
                </c:pt>
                <c:pt idx="141">
                  <c:v>1.4950711500000282</c:v>
                </c:pt>
                <c:pt idx="142">
                  <c:v>1.4456188000000285</c:v>
                </c:pt>
                <c:pt idx="143">
                  <c:v>1.3961664500000284</c:v>
                </c:pt>
                <c:pt idx="144">
                  <c:v>1.3467141000000284</c:v>
                </c:pt>
                <c:pt idx="145">
                  <c:v>1.2972617500000283</c:v>
                </c:pt>
                <c:pt idx="146">
                  <c:v>1.2478094000000284</c:v>
                </c:pt>
                <c:pt idx="147">
                  <c:v>1.1983570500000285</c:v>
                </c:pt>
                <c:pt idx="148">
                  <c:v>1.1489047000000283</c:v>
                </c:pt>
                <c:pt idx="149">
                  <c:v>1.0994523500000284</c:v>
                </c:pt>
                <c:pt idx="150">
                  <c:v>1.05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75-2343-B399-3FB5FB7FC0F5}"/>
            </c:ext>
          </c:extLst>
        </c:ser>
        <c:ser>
          <c:idx val="2"/>
          <c:order val="2"/>
          <c:tx>
            <c:strRef>
              <c:f>'Mod after closure'!$I$2</c:f>
              <c:strCache>
                <c:ptCount val="1"/>
                <c:pt idx="0">
                  <c:v>Groundwater contribution</c:v>
                </c:pt>
              </c:strCache>
            </c:strRef>
          </c:tx>
          <c:marker>
            <c:symbol val="triangle"/>
            <c:size val="3"/>
          </c:marker>
          <c:xVal>
            <c:numRef>
              <c:f>'Mod after closure'!$B$4:$B$154</c:f>
              <c:numCache>
                <c:formatCode>General</c:formatCode>
                <c:ptCount val="151"/>
                <c:pt idx="0">
                  <c:v>2029</c:v>
                </c:pt>
                <c:pt idx="1">
                  <c:v>2030</c:v>
                </c:pt>
                <c:pt idx="2">
                  <c:v>2031</c:v>
                </c:pt>
                <c:pt idx="3">
                  <c:v>2032</c:v>
                </c:pt>
                <c:pt idx="4">
                  <c:v>2033</c:v>
                </c:pt>
                <c:pt idx="5">
                  <c:v>2034</c:v>
                </c:pt>
                <c:pt idx="6">
                  <c:v>2035</c:v>
                </c:pt>
                <c:pt idx="7">
                  <c:v>2036</c:v>
                </c:pt>
                <c:pt idx="8">
                  <c:v>2037</c:v>
                </c:pt>
                <c:pt idx="9">
                  <c:v>2038</c:v>
                </c:pt>
                <c:pt idx="10">
                  <c:v>2039</c:v>
                </c:pt>
                <c:pt idx="11">
                  <c:v>2040</c:v>
                </c:pt>
                <c:pt idx="12">
                  <c:v>2041</c:v>
                </c:pt>
                <c:pt idx="13">
                  <c:v>2042</c:v>
                </c:pt>
                <c:pt idx="14">
                  <c:v>2043</c:v>
                </c:pt>
                <c:pt idx="15">
                  <c:v>2044</c:v>
                </c:pt>
                <c:pt idx="16">
                  <c:v>2045</c:v>
                </c:pt>
                <c:pt idx="17">
                  <c:v>2046</c:v>
                </c:pt>
                <c:pt idx="18">
                  <c:v>2047</c:v>
                </c:pt>
                <c:pt idx="19">
                  <c:v>2048</c:v>
                </c:pt>
                <c:pt idx="20">
                  <c:v>2049</c:v>
                </c:pt>
                <c:pt idx="21">
                  <c:v>2050</c:v>
                </c:pt>
                <c:pt idx="22">
                  <c:v>2051</c:v>
                </c:pt>
                <c:pt idx="23">
                  <c:v>2052</c:v>
                </c:pt>
                <c:pt idx="24">
                  <c:v>2053</c:v>
                </c:pt>
                <c:pt idx="25">
                  <c:v>2054</c:v>
                </c:pt>
                <c:pt idx="26">
                  <c:v>2055</c:v>
                </c:pt>
                <c:pt idx="27">
                  <c:v>2056</c:v>
                </c:pt>
                <c:pt idx="28">
                  <c:v>2057</c:v>
                </c:pt>
                <c:pt idx="29">
                  <c:v>2058</c:v>
                </c:pt>
                <c:pt idx="30">
                  <c:v>2059</c:v>
                </c:pt>
                <c:pt idx="31">
                  <c:v>2060</c:v>
                </c:pt>
                <c:pt idx="32">
                  <c:v>2061</c:v>
                </c:pt>
                <c:pt idx="33">
                  <c:v>2062</c:v>
                </c:pt>
                <c:pt idx="34">
                  <c:v>2063</c:v>
                </c:pt>
                <c:pt idx="35">
                  <c:v>2064</c:v>
                </c:pt>
                <c:pt idx="36">
                  <c:v>2065</c:v>
                </c:pt>
                <c:pt idx="37">
                  <c:v>2066</c:v>
                </c:pt>
                <c:pt idx="38">
                  <c:v>2067</c:v>
                </c:pt>
                <c:pt idx="39">
                  <c:v>2068</c:v>
                </c:pt>
                <c:pt idx="40">
                  <c:v>2069</c:v>
                </c:pt>
                <c:pt idx="41">
                  <c:v>2070</c:v>
                </c:pt>
                <c:pt idx="42">
                  <c:v>2071</c:v>
                </c:pt>
                <c:pt idx="43">
                  <c:v>2072</c:v>
                </c:pt>
                <c:pt idx="44">
                  <c:v>2073</c:v>
                </c:pt>
                <c:pt idx="45">
                  <c:v>2074</c:v>
                </c:pt>
                <c:pt idx="46">
                  <c:v>2075</c:v>
                </c:pt>
                <c:pt idx="47">
                  <c:v>2076</c:v>
                </c:pt>
                <c:pt idx="48">
                  <c:v>2077</c:v>
                </c:pt>
                <c:pt idx="49">
                  <c:v>2078</c:v>
                </c:pt>
                <c:pt idx="50">
                  <c:v>2079</c:v>
                </c:pt>
                <c:pt idx="51">
                  <c:v>2080</c:v>
                </c:pt>
                <c:pt idx="52">
                  <c:v>2081</c:v>
                </c:pt>
                <c:pt idx="53">
                  <c:v>2082</c:v>
                </c:pt>
                <c:pt idx="54">
                  <c:v>2083</c:v>
                </c:pt>
                <c:pt idx="55">
                  <c:v>2084</c:v>
                </c:pt>
                <c:pt idx="56">
                  <c:v>2085</c:v>
                </c:pt>
                <c:pt idx="57">
                  <c:v>2086</c:v>
                </c:pt>
                <c:pt idx="58">
                  <c:v>2087</c:v>
                </c:pt>
                <c:pt idx="59">
                  <c:v>2088</c:v>
                </c:pt>
                <c:pt idx="60">
                  <c:v>2089</c:v>
                </c:pt>
                <c:pt idx="61">
                  <c:v>2090</c:v>
                </c:pt>
                <c:pt idx="62">
                  <c:v>2091</c:v>
                </c:pt>
                <c:pt idx="63">
                  <c:v>2092</c:v>
                </c:pt>
                <c:pt idx="64">
                  <c:v>2093</c:v>
                </c:pt>
                <c:pt idx="65">
                  <c:v>2094</c:v>
                </c:pt>
                <c:pt idx="66">
                  <c:v>2095</c:v>
                </c:pt>
                <c:pt idx="67">
                  <c:v>2096</c:v>
                </c:pt>
                <c:pt idx="68">
                  <c:v>2097</c:v>
                </c:pt>
                <c:pt idx="69">
                  <c:v>2098</c:v>
                </c:pt>
                <c:pt idx="70">
                  <c:v>2099</c:v>
                </c:pt>
                <c:pt idx="71">
                  <c:v>2100</c:v>
                </c:pt>
                <c:pt idx="72">
                  <c:v>2101</c:v>
                </c:pt>
                <c:pt idx="73">
                  <c:v>2102</c:v>
                </c:pt>
                <c:pt idx="74">
                  <c:v>2103</c:v>
                </c:pt>
                <c:pt idx="75">
                  <c:v>2104</c:v>
                </c:pt>
                <c:pt idx="76">
                  <c:v>2105</c:v>
                </c:pt>
                <c:pt idx="77">
                  <c:v>2106</c:v>
                </c:pt>
                <c:pt idx="78">
                  <c:v>2107</c:v>
                </c:pt>
                <c:pt idx="79">
                  <c:v>2108</c:v>
                </c:pt>
                <c:pt idx="80">
                  <c:v>2109</c:v>
                </c:pt>
                <c:pt idx="81">
                  <c:v>2110</c:v>
                </c:pt>
                <c:pt idx="82">
                  <c:v>2111</c:v>
                </c:pt>
                <c:pt idx="83">
                  <c:v>2112</c:v>
                </c:pt>
                <c:pt idx="84">
                  <c:v>2113</c:v>
                </c:pt>
                <c:pt idx="85">
                  <c:v>2114</c:v>
                </c:pt>
                <c:pt idx="86">
                  <c:v>2115</c:v>
                </c:pt>
                <c:pt idx="87">
                  <c:v>2116</c:v>
                </c:pt>
                <c:pt idx="88">
                  <c:v>2117</c:v>
                </c:pt>
                <c:pt idx="89">
                  <c:v>2118</c:v>
                </c:pt>
                <c:pt idx="90">
                  <c:v>2119</c:v>
                </c:pt>
                <c:pt idx="91">
                  <c:v>2120</c:v>
                </c:pt>
                <c:pt idx="92">
                  <c:v>2121</c:v>
                </c:pt>
                <c:pt idx="93">
                  <c:v>2122</c:v>
                </c:pt>
                <c:pt idx="94">
                  <c:v>2123</c:v>
                </c:pt>
                <c:pt idx="95">
                  <c:v>2124</c:v>
                </c:pt>
                <c:pt idx="96">
                  <c:v>2125</c:v>
                </c:pt>
                <c:pt idx="97">
                  <c:v>2126</c:v>
                </c:pt>
                <c:pt idx="98">
                  <c:v>2127</c:v>
                </c:pt>
                <c:pt idx="99">
                  <c:v>2128</c:v>
                </c:pt>
                <c:pt idx="100">
                  <c:v>2129</c:v>
                </c:pt>
                <c:pt idx="101">
                  <c:v>2130</c:v>
                </c:pt>
                <c:pt idx="102">
                  <c:v>2131</c:v>
                </c:pt>
                <c:pt idx="103">
                  <c:v>2132</c:v>
                </c:pt>
                <c:pt idx="104">
                  <c:v>2133</c:v>
                </c:pt>
                <c:pt idx="105">
                  <c:v>2134</c:v>
                </c:pt>
                <c:pt idx="106">
                  <c:v>2135</c:v>
                </c:pt>
                <c:pt idx="107">
                  <c:v>2136</c:v>
                </c:pt>
                <c:pt idx="108">
                  <c:v>2137</c:v>
                </c:pt>
                <c:pt idx="109">
                  <c:v>2138</c:v>
                </c:pt>
                <c:pt idx="110">
                  <c:v>2139</c:v>
                </c:pt>
                <c:pt idx="111">
                  <c:v>2140</c:v>
                </c:pt>
                <c:pt idx="112">
                  <c:v>2141</c:v>
                </c:pt>
                <c:pt idx="113">
                  <c:v>2142</c:v>
                </c:pt>
                <c:pt idx="114">
                  <c:v>2143</c:v>
                </c:pt>
                <c:pt idx="115">
                  <c:v>2144</c:v>
                </c:pt>
                <c:pt idx="116">
                  <c:v>2145</c:v>
                </c:pt>
                <c:pt idx="117">
                  <c:v>2146</c:v>
                </c:pt>
                <c:pt idx="118">
                  <c:v>2147</c:v>
                </c:pt>
                <c:pt idx="119">
                  <c:v>2148</c:v>
                </c:pt>
                <c:pt idx="120">
                  <c:v>2149</c:v>
                </c:pt>
                <c:pt idx="121">
                  <c:v>2150</c:v>
                </c:pt>
                <c:pt idx="122">
                  <c:v>2151</c:v>
                </c:pt>
                <c:pt idx="123">
                  <c:v>2152</c:v>
                </c:pt>
                <c:pt idx="124">
                  <c:v>2153</c:v>
                </c:pt>
                <c:pt idx="125">
                  <c:v>2154</c:v>
                </c:pt>
                <c:pt idx="126">
                  <c:v>2155</c:v>
                </c:pt>
                <c:pt idx="127">
                  <c:v>2156</c:v>
                </c:pt>
                <c:pt idx="128">
                  <c:v>2157</c:v>
                </c:pt>
                <c:pt idx="129">
                  <c:v>2158</c:v>
                </c:pt>
                <c:pt idx="130">
                  <c:v>2159</c:v>
                </c:pt>
                <c:pt idx="131">
                  <c:v>2160</c:v>
                </c:pt>
                <c:pt idx="132">
                  <c:v>2161</c:v>
                </c:pt>
                <c:pt idx="133">
                  <c:v>2162</c:v>
                </c:pt>
                <c:pt idx="134">
                  <c:v>2163</c:v>
                </c:pt>
                <c:pt idx="135">
                  <c:v>2164</c:v>
                </c:pt>
                <c:pt idx="136">
                  <c:v>2165</c:v>
                </c:pt>
                <c:pt idx="137">
                  <c:v>2166</c:v>
                </c:pt>
                <c:pt idx="138">
                  <c:v>2167</c:v>
                </c:pt>
                <c:pt idx="139">
                  <c:v>2168</c:v>
                </c:pt>
                <c:pt idx="140">
                  <c:v>2169</c:v>
                </c:pt>
                <c:pt idx="141">
                  <c:v>2170</c:v>
                </c:pt>
                <c:pt idx="142">
                  <c:v>2171</c:v>
                </c:pt>
                <c:pt idx="143">
                  <c:v>2172</c:v>
                </c:pt>
                <c:pt idx="144">
                  <c:v>2173</c:v>
                </c:pt>
                <c:pt idx="145">
                  <c:v>2174</c:v>
                </c:pt>
                <c:pt idx="146">
                  <c:v>2175</c:v>
                </c:pt>
                <c:pt idx="147">
                  <c:v>2176</c:v>
                </c:pt>
                <c:pt idx="148">
                  <c:v>2177</c:v>
                </c:pt>
                <c:pt idx="149">
                  <c:v>2178</c:v>
                </c:pt>
                <c:pt idx="150">
                  <c:v>2179</c:v>
                </c:pt>
              </c:numCache>
            </c:numRef>
          </c:xVal>
          <c:yVal>
            <c:numRef>
              <c:f>'Mod after closure'!$K$189:$K$339</c:f>
              <c:numCache>
                <c:formatCode>#\ ##0.0</c:formatCode>
                <c:ptCount val="151"/>
                <c:pt idx="0">
                  <c:v>3.3497539199999999</c:v>
                </c:pt>
                <c:pt idx="1">
                  <c:v>3.0533155199999999</c:v>
                </c:pt>
                <c:pt idx="2">
                  <c:v>2.93474016</c:v>
                </c:pt>
                <c:pt idx="3">
                  <c:v>2.6679455999999999</c:v>
                </c:pt>
                <c:pt idx="4">
                  <c:v>2.5691328000000002</c:v>
                </c:pt>
                <c:pt idx="5">
                  <c:v>2.4703200000000001</c:v>
                </c:pt>
                <c:pt idx="6">
                  <c:v>2.3715071999999999</c:v>
                </c:pt>
                <c:pt idx="7">
                  <c:v>2.2973976</c:v>
                </c:pt>
                <c:pt idx="8">
                  <c:v>2.2232880000000002</c:v>
                </c:pt>
                <c:pt idx="9">
                  <c:v>2.1491783999999998</c:v>
                </c:pt>
                <c:pt idx="10">
                  <c:v>2.0750687999999999</c:v>
                </c:pt>
                <c:pt idx="11">
                  <c:v>2.0157811200000002</c:v>
                </c:pt>
                <c:pt idx="12">
                  <c:v>1.95649344</c:v>
                </c:pt>
                <c:pt idx="13">
                  <c:v>1.8972057600000001</c:v>
                </c:pt>
                <c:pt idx="14">
                  <c:v>1.8379180799999999</c:v>
                </c:pt>
                <c:pt idx="15">
                  <c:v>1.7786303999999999</c:v>
                </c:pt>
                <c:pt idx="16">
                  <c:v>1.71934272</c:v>
                </c:pt>
                <c:pt idx="17">
                  <c:v>1.67487696</c:v>
                </c:pt>
                <c:pt idx="18">
                  <c:v>1.6304111999999999</c:v>
                </c:pt>
                <c:pt idx="19">
                  <c:v>1.5859454399999999</c:v>
                </c:pt>
                <c:pt idx="20">
                  <c:v>1.5414796799999999</c:v>
                </c:pt>
                <c:pt idx="21">
                  <c:v>1.4970139200000001</c:v>
                </c:pt>
                <c:pt idx="22">
                  <c:v>1.4525481600000001</c:v>
                </c:pt>
                <c:pt idx="23">
                  <c:v>1.4080824000000001</c:v>
                </c:pt>
                <c:pt idx="24">
                  <c:v>1.36361664</c:v>
                </c:pt>
                <c:pt idx="25">
                  <c:v>1.3258881163636362</c:v>
                </c:pt>
                <c:pt idx="26">
                  <c:v>1.2881595927272727</c:v>
                </c:pt>
                <c:pt idx="27">
                  <c:v>1.2504310690909088</c:v>
                </c:pt>
                <c:pt idx="28">
                  <c:v>1.2127025454545453</c:v>
                </c:pt>
                <c:pt idx="29">
                  <c:v>1.1749740218181814</c:v>
                </c:pt>
                <c:pt idx="30">
                  <c:v>1.1372454981818181</c:v>
                </c:pt>
                <c:pt idx="31">
                  <c:v>1.0995169745454545</c:v>
                </c:pt>
                <c:pt idx="32">
                  <c:v>1.0617884509090907</c:v>
                </c:pt>
                <c:pt idx="33">
                  <c:v>1.0240599272727269</c:v>
                </c:pt>
                <c:pt idx="34">
                  <c:v>0.94860288000000004</c:v>
                </c:pt>
                <c:pt idx="35">
                  <c:v>0.91589243586206892</c:v>
                </c:pt>
                <c:pt idx="36">
                  <c:v>0.88318199172413792</c:v>
                </c:pt>
                <c:pt idx="37">
                  <c:v>0.8504715475862068</c:v>
                </c:pt>
                <c:pt idx="38">
                  <c:v>0.81776110344827579</c:v>
                </c:pt>
                <c:pt idx="39">
                  <c:v>0.78505065931034479</c:v>
                </c:pt>
                <c:pt idx="40">
                  <c:v>0.75234021517241378</c:v>
                </c:pt>
                <c:pt idx="41">
                  <c:v>0.71962977103448267</c:v>
                </c:pt>
                <c:pt idx="42">
                  <c:v>0.68691932689655177</c:v>
                </c:pt>
                <c:pt idx="43">
                  <c:v>0.65420888275862077</c:v>
                </c:pt>
                <c:pt idx="44">
                  <c:v>0.62149843862068976</c:v>
                </c:pt>
                <c:pt idx="45">
                  <c:v>0.58878799448275865</c:v>
                </c:pt>
                <c:pt idx="46">
                  <c:v>0.55607755034482753</c:v>
                </c:pt>
                <c:pt idx="47">
                  <c:v>0.52336710620689664</c:v>
                </c:pt>
                <c:pt idx="48">
                  <c:v>0.49065666206896558</c:v>
                </c:pt>
                <c:pt idx="49">
                  <c:v>0.45794621793103452</c:v>
                </c:pt>
                <c:pt idx="50">
                  <c:v>0.42523577379310346</c:v>
                </c:pt>
                <c:pt idx="51">
                  <c:v>0.39252532965517245</c:v>
                </c:pt>
                <c:pt idx="52">
                  <c:v>0.35981488551724145</c:v>
                </c:pt>
                <c:pt idx="53">
                  <c:v>0.32710444137931044</c:v>
                </c:pt>
                <c:pt idx="54">
                  <c:v>0.29439399724137938</c:v>
                </c:pt>
                <c:pt idx="55">
                  <c:v>0.26168355310344837</c:v>
                </c:pt>
                <c:pt idx="56">
                  <c:v>0.22897310896551731</c:v>
                </c:pt>
                <c:pt idx="57">
                  <c:v>0.19626266482758628</c:v>
                </c:pt>
                <c:pt idx="58">
                  <c:v>0.16355222068965528</c:v>
                </c:pt>
                <c:pt idx="59">
                  <c:v>0.13084177655172421</c:v>
                </c:pt>
                <c:pt idx="60">
                  <c:v>9.813133241379321E-2</c:v>
                </c:pt>
                <c:pt idx="61">
                  <c:v>6.5420888275862177E-2</c:v>
                </c:pt>
                <c:pt idx="62">
                  <c:v>3.2710444137931137E-2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75-2343-B399-3FB5FB7FC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945848"/>
        <c:axId val="496824712"/>
      </c:scatterChart>
      <c:valAx>
        <c:axId val="493444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YEAR</a:t>
                </a:r>
              </a:p>
            </c:rich>
          </c:tx>
          <c:layout>
            <c:manualLayout>
              <c:xMode val="edge"/>
              <c:yMode val="edge"/>
              <c:x val="0.44182274779990699"/>
              <c:y val="0.8593642358309450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8214440"/>
        <c:crosses val="autoZero"/>
        <c:crossBetween val="midCat"/>
      </c:valAx>
      <c:valAx>
        <c:axId val="49821444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Conc. (ug/l)</a:t>
                </a:r>
              </a:p>
            </c:rich>
          </c:tx>
          <c:layout>
            <c:manualLayout>
              <c:xMode val="edge"/>
              <c:yMode val="edge"/>
              <c:x val="4.0785956801271403E-3"/>
              <c:y val="0.29915912563168401"/>
            </c:manualLayout>
          </c:layout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493444776"/>
        <c:crosses val="autoZero"/>
        <c:crossBetween val="midCat"/>
        <c:majorUnit val="5"/>
      </c:valAx>
      <c:valAx>
        <c:axId val="496824712"/>
        <c:scaling>
          <c:orientation val="minMax"/>
          <c:max val="10"/>
        </c:scaling>
        <c:delete val="0"/>
        <c:axPos val="r"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Leached (kg/year)</a:t>
                </a:r>
              </a:p>
            </c:rich>
          </c:tx>
          <c:overlay val="0"/>
        </c:title>
        <c:numFmt formatCode="#\ ##0.0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nb-NO"/>
          </a:p>
        </c:txPr>
        <c:crossAx val="518945848"/>
        <c:crosses val="max"/>
        <c:crossBetween val="midCat"/>
      </c:valAx>
      <c:valAx>
        <c:axId val="518945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6824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7426470588235295E-2"/>
          <c:y val="0.926620389556569"/>
          <c:w val="0.80908110104327402"/>
          <c:h val="7.3379610443431401E-2"/>
        </c:manualLayout>
      </c:layout>
      <c:overlay val="0"/>
      <c:txPr>
        <a:bodyPr/>
        <a:lstStyle/>
        <a:p>
          <a:pPr>
            <a:defRPr sz="12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'Mod after closure'!$AF$8:$AF$20</c:f>
              <c:numCache>
                <c:formatCode>0.0</c:formatCode>
                <c:ptCount val="13"/>
                <c:pt idx="0">
                  <c:v>146.49230099483188</c:v>
                </c:pt>
                <c:pt idx="1">
                  <c:v>62.785496778134203</c:v>
                </c:pt>
                <c:pt idx="2">
                  <c:v>37.700612104208432</c:v>
                </c:pt>
                <c:pt idx="3">
                  <c:v>24.097111343173424</c:v>
                </c:pt>
                <c:pt idx="4">
                  <c:v>15.568330382885616</c:v>
                </c:pt>
                <c:pt idx="5">
                  <c:v>9.8269649119147466</c:v>
                </c:pt>
                <c:pt idx="6">
                  <c:v>5.9049854502265973</c:v>
                </c:pt>
                <c:pt idx="7">
                  <c:v>3.2246173031045631</c:v>
                </c:pt>
                <c:pt idx="8">
                  <c:v>1.4805787439975107</c:v>
                </c:pt>
                <c:pt idx="9">
                  <c:v>0.91861076384079399</c:v>
                </c:pt>
                <c:pt idx="10">
                  <c:v>0.60094659771772374</c:v>
                </c:pt>
                <c:pt idx="11">
                  <c:v>0.46826615231197188</c:v>
                </c:pt>
                <c:pt idx="12">
                  <c:v>0</c:v>
                </c:pt>
              </c:numCache>
            </c:numRef>
          </c:xVal>
          <c:yVal>
            <c:numRef>
              <c:f>'Mod after closure'!$X$8:$X$20</c:f>
              <c:numCache>
                <c:formatCode>General</c:formatCode>
                <c:ptCount val="13"/>
                <c:pt idx="0">
                  <c:v>340</c:v>
                </c:pt>
                <c:pt idx="1">
                  <c:v>310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160</c:v>
                </c:pt>
                <c:pt idx="7">
                  <c:v>130</c:v>
                </c:pt>
                <c:pt idx="8">
                  <c:v>100</c:v>
                </c:pt>
                <c:pt idx="9">
                  <c:v>85</c:v>
                </c:pt>
                <c:pt idx="10">
                  <c:v>75</c:v>
                </c:pt>
                <c:pt idx="11">
                  <c:v>70</c:v>
                </c:pt>
                <c:pt idx="12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D1-B94E-AFA8-850EF9D35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003672"/>
        <c:axId val="493393016"/>
      </c:scatterChart>
      <c:valAx>
        <c:axId val="498003672"/>
        <c:scaling>
          <c:orientation val="minMax"/>
        </c:scaling>
        <c:delete val="0"/>
        <c:axPos val="b"/>
        <c:numFmt formatCode="0.0" sourceLinked="1"/>
        <c:majorTickMark val="out"/>
        <c:minorTickMark val="none"/>
        <c:tickLblPos val="nextTo"/>
        <c:crossAx val="493393016"/>
        <c:crosses val="autoZero"/>
        <c:crossBetween val="midCat"/>
      </c:valAx>
      <c:valAx>
        <c:axId val="493393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9800367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nb-NO" sz="1200"/>
              <a:t>COPPER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'Process water'!$A$21:$A$36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xVal>
          <c:yVal>
            <c:numRef>
              <c:f>'Process water'!$AI$21:$AI$36</c:f>
              <c:numCache>
                <c:formatCode>0.0</c:formatCode>
                <c:ptCount val="16"/>
                <c:pt idx="0">
                  <c:v>10.512507605307533</c:v>
                </c:pt>
                <c:pt idx="1">
                  <c:v>12.23397300958033</c:v>
                </c:pt>
                <c:pt idx="2">
                  <c:v>13.143669012637048</c:v>
                </c:pt>
                <c:pt idx="3">
                  <c:v>13.134802873113864</c:v>
                </c:pt>
                <c:pt idx="4">
                  <c:v>12.66815749296536</c:v>
                </c:pt>
                <c:pt idx="5">
                  <c:v>12.149410545710689</c:v>
                </c:pt>
                <c:pt idx="6">
                  <c:v>11.656230882673826</c:v>
                </c:pt>
                <c:pt idx="7">
                  <c:v>11.199777655370287</c:v>
                </c:pt>
                <c:pt idx="8">
                  <c:v>10.778527464661211</c:v>
                </c:pt>
                <c:pt idx="9">
                  <c:v>10.389018781011286</c:v>
                </c:pt>
                <c:pt idx="10">
                  <c:v>10.027875117649861</c:v>
                </c:pt>
                <c:pt idx="11">
                  <c:v>9.6921165424036797</c:v>
                </c:pt>
                <c:pt idx="12">
                  <c:v>9.3791545436227839</c:v>
                </c:pt>
                <c:pt idx="13">
                  <c:v>9.0867391740165093</c:v>
                </c:pt>
                <c:pt idx="14">
                  <c:v>8.8129071365707308</c:v>
                </c:pt>
                <c:pt idx="15">
                  <c:v>8.5559378182833186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2A-A248-AC51-E3F307207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014680"/>
        <c:axId val="510011688"/>
      </c:scatterChart>
      <c:valAx>
        <c:axId val="510014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10011688"/>
        <c:crosses val="autoZero"/>
        <c:crossBetween val="midCat"/>
      </c:valAx>
      <c:valAx>
        <c:axId val="5100116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ug/l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0014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AMMONIUM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3312756936479"/>
          <c:y val="0.116091954022989"/>
          <c:w val="0.86086485302266802"/>
          <c:h val="0.704796587926509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water'!$AJ$79</c:f>
              <c:strCache>
                <c:ptCount val="1"/>
                <c:pt idx="0">
                  <c:v>Gruv-Mert /w Nitrif.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water'!$AJ$82:$AJ$114</c:f>
              <c:numCache>
                <c:formatCode>0.00</c:formatCode>
                <c:ptCount val="33"/>
                <c:pt idx="0" formatCode="General">
                  <c:v>0.2</c:v>
                </c:pt>
                <c:pt idx="1">
                  <c:v>0.22378120720940153</c:v>
                </c:pt>
                <c:pt idx="2">
                  <c:v>0.15400854846230172</c:v>
                </c:pt>
                <c:pt idx="3">
                  <c:v>0.24186780667267821</c:v>
                </c:pt>
                <c:pt idx="4">
                  <c:v>0.15647673251388519</c:v>
                </c:pt>
                <c:pt idx="5">
                  <c:v>0.24563343821320999</c:v>
                </c:pt>
                <c:pt idx="6">
                  <c:v>0.15382575072775836</c:v>
                </c:pt>
                <c:pt idx="7">
                  <c:v>0.24093751426444981</c:v>
                </c:pt>
                <c:pt idx="8">
                  <c:v>0.14835057406677751</c:v>
                </c:pt>
                <c:pt idx="9">
                  <c:v>0.18817137626440206</c:v>
                </c:pt>
                <c:pt idx="10">
                  <c:v>0.12607179871859076</c:v>
                </c:pt>
                <c:pt idx="11">
                  <c:v>0.22331117174486792</c:v>
                </c:pt>
                <c:pt idx="12">
                  <c:v>0.13533452050069303</c:v>
                </c:pt>
                <c:pt idx="13">
                  <c:v>0.21827755567937002</c:v>
                </c:pt>
                <c:pt idx="14">
                  <c:v>0.13055331329264622</c:v>
                </c:pt>
                <c:pt idx="15">
                  <c:v>0.21174222900361633</c:v>
                </c:pt>
                <c:pt idx="16">
                  <c:v>0.12547603348035111</c:v>
                </c:pt>
                <c:pt idx="17">
                  <c:v>0.22915100840563846</c:v>
                </c:pt>
                <c:pt idx="18">
                  <c:v>0.12864528611523549</c:v>
                </c:pt>
                <c:pt idx="19">
                  <c:v>0.20066774107233526</c:v>
                </c:pt>
                <c:pt idx="20">
                  <c:v>0.11660353134988419</c:v>
                </c:pt>
                <c:pt idx="21">
                  <c:v>0.19419198010006566</c:v>
                </c:pt>
                <c:pt idx="22">
                  <c:v>0.11212890594177291</c:v>
                </c:pt>
                <c:pt idx="23">
                  <c:v>0.18894397432440357</c:v>
                </c:pt>
                <c:pt idx="24">
                  <c:v>0.10821963911306144</c:v>
                </c:pt>
                <c:pt idx="25">
                  <c:v>0.18401681141421383</c:v>
                </c:pt>
                <c:pt idx="26">
                  <c:v>0.10456074142165353</c:v>
                </c:pt>
                <c:pt idx="27">
                  <c:v>0.17935144634741443</c:v>
                </c:pt>
                <c:pt idx="28">
                  <c:v>0.10112001078824759</c:v>
                </c:pt>
                <c:pt idx="29">
                  <c:v>0.17492605610473444</c:v>
                </c:pt>
                <c:pt idx="30">
                  <c:v>9.7878850490798461E-2</c:v>
                </c:pt>
                <c:pt idx="31">
                  <c:v>0.1707222897447408</c:v>
                </c:pt>
                <c:pt idx="32">
                  <c:v>9.6582406622941097E-2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6A-0049-B15C-9AE163588646}"/>
            </c:ext>
          </c:extLst>
        </c:ser>
        <c:ser>
          <c:idx val="1"/>
          <c:order val="1"/>
          <c:tx>
            <c:strRef>
              <c:f>'Process water'!$AF$79</c:f>
              <c:strCache>
                <c:ptCount val="1"/>
                <c:pt idx="0">
                  <c:v>Gruv-Mert /w.out Nitrif.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water'!$AF$82:$AF$114</c:f>
              <c:numCache>
                <c:formatCode>0.0</c:formatCode>
                <c:ptCount val="33"/>
                <c:pt idx="0" formatCode="General">
                  <c:v>0.2</c:v>
                </c:pt>
                <c:pt idx="1">
                  <c:v>0.89512482883760613</c:v>
                </c:pt>
                <c:pt idx="2">
                  <c:v>0.61603419384920688</c:v>
                </c:pt>
                <c:pt idx="3">
                  <c:v>0.96747122669071284</c:v>
                </c:pt>
                <c:pt idx="4">
                  <c:v>0.62590693005554077</c:v>
                </c:pt>
                <c:pt idx="5">
                  <c:v>0.98253375285283995</c:v>
                </c:pt>
                <c:pt idx="6">
                  <c:v>0.61530300291103346</c:v>
                </c:pt>
                <c:pt idx="7">
                  <c:v>0.96375005705779926</c:v>
                </c:pt>
                <c:pt idx="8">
                  <c:v>0.59340229626711005</c:v>
                </c:pt>
                <c:pt idx="9">
                  <c:v>0.75268550505760823</c:v>
                </c:pt>
                <c:pt idx="10">
                  <c:v>0.50428719487436302</c:v>
                </c:pt>
                <c:pt idx="11">
                  <c:v>0.89324468697947168</c:v>
                </c:pt>
                <c:pt idx="12">
                  <c:v>0.54133808200277211</c:v>
                </c:pt>
                <c:pt idx="13">
                  <c:v>0.87311022271748007</c:v>
                </c:pt>
                <c:pt idx="14">
                  <c:v>0.52221325317058487</c:v>
                </c:pt>
                <c:pt idx="15">
                  <c:v>0.84696891601446533</c:v>
                </c:pt>
                <c:pt idx="16">
                  <c:v>0.50190413392140443</c:v>
                </c:pt>
                <c:pt idx="17">
                  <c:v>0.91660403362255383</c:v>
                </c:pt>
                <c:pt idx="18">
                  <c:v>0.51458114446094194</c:v>
                </c:pt>
                <c:pt idx="19">
                  <c:v>0.80267096428934104</c:v>
                </c:pt>
                <c:pt idx="20">
                  <c:v>0.46641412539953675</c:v>
                </c:pt>
                <c:pt idx="21">
                  <c:v>0.77676792040026266</c:v>
                </c:pt>
                <c:pt idx="22">
                  <c:v>0.44851562376709164</c:v>
                </c:pt>
                <c:pt idx="23">
                  <c:v>0.7557758972976143</c:v>
                </c:pt>
                <c:pt idx="24">
                  <c:v>0.43287855645224577</c:v>
                </c:pt>
                <c:pt idx="25">
                  <c:v>0.73606724565685533</c:v>
                </c:pt>
                <c:pt idx="26">
                  <c:v>0.41824296568661412</c:v>
                </c:pt>
                <c:pt idx="27">
                  <c:v>0.71740578538965771</c:v>
                </c:pt>
                <c:pt idx="28">
                  <c:v>0.40448004315299035</c:v>
                </c:pt>
                <c:pt idx="29">
                  <c:v>0.69970422441893776</c:v>
                </c:pt>
                <c:pt idx="30">
                  <c:v>0.39151540196319384</c:v>
                </c:pt>
                <c:pt idx="31">
                  <c:v>0.68288915897896318</c:v>
                </c:pt>
                <c:pt idx="32">
                  <c:v>0.38632962649176439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6A-0049-B15C-9AE163588646}"/>
            </c:ext>
          </c:extLst>
        </c:ser>
        <c:ser>
          <c:idx val="2"/>
          <c:order val="2"/>
          <c:tx>
            <c:strRef>
              <c:f>'Process water'!$AK$79</c:f>
              <c:strCache>
                <c:ptCount val="1"/>
                <c:pt idx="0">
                  <c:v>Gruv.-Kir./w Nitrif.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water'!$AK$82:$AK$114</c:f>
              <c:numCache>
                <c:formatCode>0.0</c:formatCode>
                <c:ptCount val="33"/>
                <c:pt idx="0" formatCode="General">
                  <c:v>0.2</c:v>
                </c:pt>
                <c:pt idx="1">
                  <c:v>1.3781364896080492</c:v>
                </c:pt>
                <c:pt idx="2">
                  <c:v>1.2456319219566456</c:v>
                </c:pt>
                <c:pt idx="3">
                  <c:v>1.5097469678015443</c:v>
                </c:pt>
                <c:pt idx="4">
                  <c:v>1.2327594831435584</c:v>
                </c:pt>
                <c:pt idx="5">
                  <c:v>1.5928014558721693</c:v>
                </c:pt>
                <c:pt idx="6">
                  <c:v>1.197643272127046</c:v>
                </c:pt>
                <c:pt idx="7">
                  <c:v>1.5794039654591221</c:v>
                </c:pt>
                <c:pt idx="8">
                  <c:v>1.1512198061365804</c:v>
                </c:pt>
                <c:pt idx="9">
                  <c:v>1.2370635928202003</c:v>
                </c:pt>
                <c:pt idx="10">
                  <c:v>1.0268706819802271</c:v>
                </c:pt>
                <c:pt idx="11">
                  <c:v>1.4630279846561827</c:v>
                </c:pt>
                <c:pt idx="12">
                  <c:v>1.0542295140951841</c:v>
                </c:pt>
                <c:pt idx="13">
                  <c:v>1.4324677537014867</c:v>
                </c:pt>
                <c:pt idx="14">
                  <c:v>1.0162722557161801</c:v>
                </c:pt>
                <c:pt idx="15">
                  <c:v>1.390169221586081</c:v>
                </c:pt>
                <c:pt idx="16">
                  <c:v>0.97819998880006531</c:v>
                </c:pt>
                <c:pt idx="17">
                  <c:v>1.5017037138576288</c:v>
                </c:pt>
                <c:pt idx="18">
                  <c:v>0.9800008458320234</c:v>
                </c:pt>
                <c:pt idx="19">
                  <c:v>1.3194061660673495</c:v>
                </c:pt>
                <c:pt idx="20">
                  <c:v>0.91134462971719299</c:v>
                </c:pt>
                <c:pt idx="21">
                  <c:v>1.276370660130292</c:v>
                </c:pt>
                <c:pt idx="22">
                  <c:v>0.87912144371034096</c:v>
                </c:pt>
                <c:pt idx="23">
                  <c:v>1.2422797770866651</c:v>
                </c:pt>
                <c:pt idx="24">
                  <c:v>0.85033210550172544</c:v>
                </c:pt>
                <c:pt idx="25">
                  <c:v>1.2103074161711782</c:v>
                </c:pt>
                <c:pt idx="26">
                  <c:v>0.82341535555266232</c:v>
                </c:pt>
                <c:pt idx="27">
                  <c:v>1.1800304533853825</c:v>
                </c:pt>
                <c:pt idx="28">
                  <c:v>0.79814765846740632</c:v>
                </c:pt>
                <c:pt idx="29">
                  <c:v>1.1513053701801861</c:v>
                </c:pt>
                <c:pt idx="30">
                  <c:v>0.77437912459413649</c:v>
                </c:pt>
                <c:pt idx="31">
                  <c:v>1.1240128956460724</c:v>
                </c:pt>
                <c:pt idx="32">
                  <c:v>0.76836155008181872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6A-0049-B15C-9AE163588646}"/>
            </c:ext>
          </c:extLst>
        </c:ser>
        <c:ser>
          <c:idx val="3"/>
          <c:order val="3"/>
          <c:tx>
            <c:strRef>
              <c:f>'Process water'!$AL$79</c:f>
              <c:strCache>
                <c:ptCount val="1"/>
                <c:pt idx="0">
                  <c:v>Gruv.-Kir./w. out Nitrif.</c:v>
                </c:pt>
              </c:strCache>
            </c:strRef>
          </c:tx>
          <c:marker>
            <c:symbol val="square"/>
            <c:size val="6"/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water'!$A$82:$A$114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water'!$AL$82:$AL$114</c:f>
              <c:numCache>
                <c:formatCode>0.00</c:formatCode>
                <c:ptCount val="33"/>
                <c:pt idx="0" formatCode="General">
                  <c:v>0.2</c:v>
                </c:pt>
                <c:pt idx="1">
                  <c:v>0.34453412240201231</c:v>
                </c:pt>
                <c:pt idx="2">
                  <c:v>0.31140798048916141</c:v>
                </c:pt>
                <c:pt idx="3">
                  <c:v>0.37743674195038607</c:v>
                </c:pt>
                <c:pt idx="4">
                  <c:v>0.30818987078588961</c:v>
                </c:pt>
                <c:pt idx="5">
                  <c:v>0.39820036396804231</c:v>
                </c:pt>
                <c:pt idx="6">
                  <c:v>0.29941081803176151</c:v>
                </c:pt>
                <c:pt idx="7">
                  <c:v>0.39485099136478052</c:v>
                </c:pt>
                <c:pt idx="8">
                  <c:v>0.28780495153414509</c:v>
                </c:pt>
                <c:pt idx="9">
                  <c:v>0.30926589820505007</c:v>
                </c:pt>
                <c:pt idx="10">
                  <c:v>0.25671767049505678</c:v>
                </c:pt>
                <c:pt idx="11">
                  <c:v>0.36575699616404567</c:v>
                </c:pt>
                <c:pt idx="12">
                  <c:v>0.26355737852379602</c:v>
                </c:pt>
                <c:pt idx="13">
                  <c:v>0.35811693842537168</c:v>
                </c:pt>
                <c:pt idx="14">
                  <c:v>0.25406806392904502</c:v>
                </c:pt>
                <c:pt idx="15">
                  <c:v>0.34754230539652026</c:v>
                </c:pt>
                <c:pt idx="16">
                  <c:v>0.24454999720001633</c:v>
                </c:pt>
                <c:pt idx="17">
                  <c:v>0.3754259284644072</c:v>
                </c:pt>
                <c:pt idx="18">
                  <c:v>0.24500021145800585</c:v>
                </c:pt>
                <c:pt idx="19">
                  <c:v>0.32985154151683738</c:v>
                </c:pt>
                <c:pt idx="20">
                  <c:v>0.22783615742929825</c:v>
                </c:pt>
                <c:pt idx="21">
                  <c:v>0.319092665032573</c:v>
                </c:pt>
                <c:pt idx="22">
                  <c:v>0.21978036092758524</c:v>
                </c:pt>
                <c:pt idx="23">
                  <c:v>0.31056994427166629</c:v>
                </c:pt>
                <c:pt idx="24">
                  <c:v>0.21258302637543136</c:v>
                </c:pt>
                <c:pt idx="25">
                  <c:v>0.30257685404279455</c:v>
                </c:pt>
                <c:pt idx="26">
                  <c:v>0.20585383888816558</c:v>
                </c:pt>
                <c:pt idx="27">
                  <c:v>0.29500761334634562</c:v>
                </c:pt>
                <c:pt idx="28">
                  <c:v>0.19953691461685158</c:v>
                </c:pt>
                <c:pt idx="29">
                  <c:v>0.28782634254504652</c:v>
                </c:pt>
                <c:pt idx="30">
                  <c:v>0.19359478114853412</c:v>
                </c:pt>
                <c:pt idx="31">
                  <c:v>0.28100322391151811</c:v>
                </c:pt>
                <c:pt idx="32">
                  <c:v>0.19209038752045468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6A-0049-B15C-9AE163588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671432"/>
        <c:axId val="527040072"/>
      </c:scatterChart>
      <c:valAx>
        <c:axId val="450671432"/>
        <c:scaling>
          <c:orientation val="minMax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nb-NO" sz="1400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7040072"/>
        <c:crosses val="autoZero"/>
        <c:crossBetween val="midCat"/>
      </c:valAx>
      <c:valAx>
        <c:axId val="527040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nb-NO" sz="1400"/>
                  <a:t>mg/l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4506714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016728453690353"/>
          <c:y val="7.9156553960166742E-2"/>
          <c:w val="0.29766582922270901"/>
          <c:h val="0.23527651690597498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200" b="1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/>
            </a:pPr>
            <a:r>
              <a:rPr lang="nb-NO" sz="1200"/>
              <a:t>COPPER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'Process water'!$A$21:$A$36</c:f>
              <c:numCache>
                <c:formatCode>General</c:formatCode>
                <c:ptCount val="16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  <c:pt idx="12">
                  <c:v>2027</c:v>
                </c:pt>
                <c:pt idx="13">
                  <c:v>2028</c:v>
                </c:pt>
                <c:pt idx="14">
                  <c:v>2029</c:v>
                </c:pt>
                <c:pt idx="15">
                  <c:v>2030</c:v>
                </c:pt>
              </c:numCache>
            </c:numRef>
          </c:xVal>
          <c:yVal>
            <c:numRef>
              <c:f>'Process water'!$AI$21:$AI$36</c:f>
              <c:numCache>
                <c:formatCode>0.0</c:formatCode>
                <c:ptCount val="16"/>
                <c:pt idx="0">
                  <c:v>10.512507605307533</c:v>
                </c:pt>
                <c:pt idx="1">
                  <c:v>12.23397300958033</c:v>
                </c:pt>
                <c:pt idx="2">
                  <c:v>13.143669012637048</c:v>
                </c:pt>
                <c:pt idx="3">
                  <c:v>13.134802873113864</c:v>
                </c:pt>
                <c:pt idx="4">
                  <c:v>12.66815749296536</c:v>
                </c:pt>
                <c:pt idx="5">
                  <c:v>12.149410545710689</c:v>
                </c:pt>
                <c:pt idx="6">
                  <c:v>11.656230882673826</c:v>
                </c:pt>
                <c:pt idx="7">
                  <c:v>11.199777655370287</c:v>
                </c:pt>
                <c:pt idx="8">
                  <c:v>10.778527464661211</c:v>
                </c:pt>
                <c:pt idx="9">
                  <c:v>10.389018781011286</c:v>
                </c:pt>
                <c:pt idx="10">
                  <c:v>10.027875117649861</c:v>
                </c:pt>
                <c:pt idx="11">
                  <c:v>9.6921165424036797</c:v>
                </c:pt>
                <c:pt idx="12">
                  <c:v>9.3791545436227839</c:v>
                </c:pt>
                <c:pt idx="13">
                  <c:v>9.0867391740165093</c:v>
                </c:pt>
                <c:pt idx="14">
                  <c:v>8.8129071365707308</c:v>
                </c:pt>
                <c:pt idx="15">
                  <c:v>8.5559378182833186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9A-4641-892E-19553992D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573272"/>
        <c:axId val="526010360"/>
      </c:scatterChart>
      <c:valAx>
        <c:axId val="510573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10360"/>
        <c:crosses val="autoZero"/>
        <c:crossBetween val="midCat"/>
      </c:valAx>
      <c:valAx>
        <c:axId val="5260103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ug/l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crossAx val="510573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COPPER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0448605197837"/>
          <c:y val="0.15419847328244299"/>
          <c:w val="0.83258905528249505"/>
          <c:h val="0.646393280038467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water'!$AI$41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water'!$AI$43:$AI$75</c:f>
              <c:numCache>
                <c:formatCode>0.0</c:formatCode>
                <c:ptCount val="33"/>
                <c:pt idx="0" formatCode="General">
                  <c:v>2.5</c:v>
                </c:pt>
                <c:pt idx="1">
                  <c:v>7.6461471635247715</c:v>
                </c:pt>
                <c:pt idx="2">
                  <c:v>8.5189432293734253</c:v>
                </c:pt>
                <c:pt idx="3">
                  <c:v>9.162471662311324</c:v>
                </c:pt>
                <c:pt idx="4">
                  <c:v>8.829041102921785</c:v>
                </c:pt>
                <c:pt idx="5">
                  <c:v>8.9259040152841091</c:v>
                </c:pt>
                <c:pt idx="6">
                  <c:v>8.4463123755651264</c:v>
                </c:pt>
                <c:pt idx="7">
                  <c:v>8.6047035717844569</c:v>
                </c:pt>
                <c:pt idx="8">
                  <c:v>8.0589009318081786</c:v>
                </c:pt>
                <c:pt idx="9">
                  <c:v>6.682849131129645</c:v>
                </c:pt>
                <c:pt idx="10">
                  <c:v>7.0721417699288702</c:v>
                </c:pt>
                <c:pt idx="11">
                  <c:v>7.9310317929826342</c:v>
                </c:pt>
                <c:pt idx="12">
                  <c:v>7.3463482557666993</c:v>
                </c:pt>
                <c:pt idx="13">
                  <c:v>7.7584191983439608</c:v>
                </c:pt>
                <c:pt idx="14">
                  <c:v>7.0837869870000869</c:v>
                </c:pt>
                <c:pt idx="15">
                  <c:v>7.5218983621770183</c:v>
                </c:pt>
                <c:pt idx="16">
                  <c:v>6.813451643234977</c:v>
                </c:pt>
                <c:pt idx="17">
                  <c:v>8.1601968549950872</c:v>
                </c:pt>
                <c:pt idx="18">
                  <c:v>6.8790814443613471</c:v>
                </c:pt>
                <c:pt idx="19">
                  <c:v>7.1294406698711903</c:v>
                </c:pt>
                <c:pt idx="20">
                  <c:v>6.3454328372530826</c:v>
                </c:pt>
                <c:pt idx="21">
                  <c:v>6.891113589678727</c:v>
                </c:pt>
                <c:pt idx="22">
                  <c:v>6.1147749936579787</c:v>
                </c:pt>
                <c:pt idx="23">
                  <c:v>6.7036048356907028</c:v>
                </c:pt>
                <c:pt idx="24">
                  <c:v>5.9130872700006716</c:v>
                </c:pt>
                <c:pt idx="25">
                  <c:v>6.5288014751399057</c:v>
                </c:pt>
                <c:pt idx="26">
                  <c:v>5.7254673059778938</c:v>
                </c:pt>
                <c:pt idx="27">
                  <c:v>6.3639647529761154</c:v>
                </c:pt>
                <c:pt idx="28">
                  <c:v>5.5499794742664728</c:v>
                </c:pt>
                <c:pt idx="29">
                  <c:v>6.2081742599492271</c:v>
                </c:pt>
                <c:pt idx="30">
                  <c:v>5.3854620195884548</c:v>
                </c:pt>
                <c:pt idx="31">
                  <c:v>6.0606837300939382</c:v>
                </c:pt>
                <c:pt idx="32">
                  <c:v>5.2309200187803704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FB-6246-9965-B94ED2395DC8}"/>
            </c:ext>
          </c:extLst>
        </c:ser>
        <c:ser>
          <c:idx val="1"/>
          <c:order val="1"/>
          <c:tx>
            <c:strRef>
              <c:f>'Process water'!$AJ$41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water'!$AJ$43:$AJ$75</c:f>
              <c:numCache>
                <c:formatCode>0.0</c:formatCode>
                <c:ptCount val="33"/>
                <c:pt idx="0" formatCode="General">
                  <c:v>2.5</c:v>
                </c:pt>
                <c:pt idx="1">
                  <c:v>7.5406741390811094</c:v>
                </c:pt>
                <c:pt idx="2">
                  <c:v>8.3827580272829181</c:v>
                </c:pt>
                <c:pt idx="3">
                  <c:v>9.0504010100097432</c:v>
                </c:pt>
                <c:pt idx="4">
                  <c:v>8.7000647036992422</c:v>
                </c:pt>
                <c:pt idx="5">
                  <c:v>8.8175008209859254</c:v>
                </c:pt>
                <c:pt idx="6">
                  <c:v>8.3236706541438998</c:v>
                </c:pt>
                <c:pt idx="7">
                  <c:v>8.499715944881352</c:v>
                </c:pt>
                <c:pt idx="8">
                  <c:v>7.9418804637362284</c:v>
                </c:pt>
                <c:pt idx="9">
                  <c:v>6.6001353947002617</c:v>
                </c:pt>
                <c:pt idx="10">
                  <c:v>6.9601518713632196</c:v>
                </c:pt>
                <c:pt idx="11">
                  <c:v>7.832220345117304</c:v>
                </c:pt>
                <c:pt idx="12">
                  <c:v>7.2388936824754238</c:v>
                </c:pt>
                <c:pt idx="13">
                  <c:v>7.6624104674746079</c:v>
                </c:pt>
                <c:pt idx="14">
                  <c:v>6.9804478839085418</c:v>
                </c:pt>
                <c:pt idx="15">
                  <c:v>7.4285257235963611</c:v>
                </c:pt>
                <c:pt idx="16">
                  <c:v>6.7138685442308956</c:v>
                </c:pt>
                <c:pt idx="17">
                  <c:v>8.0594295299460743</c:v>
                </c:pt>
                <c:pt idx="18">
                  <c:v>6.7829438642818598</c:v>
                </c:pt>
                <c:pt idx="19">
                  <c:v>7.040898568290566</c:v>
                </c:pt>
                <c:pt idx="20">
                  <c:v>6.2524704671144304</c:v>
                </c:pt>
                <c:pt idx="21">
                  <c:v>6.804790851175694</c:v>
                </c:pt>
                <c:pt idx="22">
                  <c:v>6.0247508143256558</c:v>
                </c:pt>
                <c:pt idx="23">
                  <c:v>6.6193851464157891</c:v>
                </c:pt>
                <c:pt idx="24">
                  <c:v>5.8257921011815217</c:v>
                </c:pt>
                <c:pt idx="25">
                  <c:v>6.4465777836174558</c:v>
                </c:pt>
                <c:pt idx="26">
                  <c:v>5.6407154439124829</c:v>
                </c:pt>
                <c:pt idx="27">
                  <c:v>6.2836382925504015</c:v>
                </c:pt>
                <c:pt idx="28">
                  <c:v>5.4676051655984637</c:v>
                </c:pt>
                <c:pt idx="29">
                  <c:v>6.1296536981651188</c:v>
                </c:pt>
                <c:pt idx="30">
                  <c:v>5.3053165848546584</c:v>
                </c:pt>
                <c:pt idx="31">
                  <c:v>5.9838844256357309</c:v>
                </c:pt>
                <c:pt idx="32">
                  <c:v>5.1528694859248301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FB-6246-9965-B94ED2395DC8}"/>
            </c:ext>
          </c:extLst>
        </c:ser>
        <c:ser>
          <c:idx val="2"/>
          <c:order val="2"/>
          <c:tx>
            <c:strRef>
              <c:f>'Process water'!$AK$41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water'!$A$43:$A$75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water'!$AK$43:$AK$75</c:f>
              <c:numCache>
                <c:formatCode>0.0</c:formatCode>
                <c:ptCount val="33"/>
                <c:pt idx="0" formatCode="General">
                  <c:v>2.5</c:v>
                </c:pt>
                <c:pt idx="1">
                  <c:v>5.622982785559981</c:v>
                </c:pt>
                <c:pt idx="2">
                  <c:v>5.906663443819177</c:v>
                </c:pt>
                <c:pt idx="3">
                  <c:v>7.0127527863446195</c:v>
                </c:pt>
                <c:pt idx="4">
                  <c:v>6.3550392632893633</c:v>
                </c:pt>
                <c:pt idx="5">
                  <c:v>6.8465336519280591</c:v>
                </c:pt>
                <c:pt idx="6">
                  <c:v>6.0938211737579682</c:v>
                </c:pt>
                <c:pt idx="7">
                  <c:v>6.590850001188552</c:v>
                </c:pt>
                <c:pt idx="8">
                  <c:v>5.8142355897007727</c:v>
                </c:pt>
                <c:pt idx="9">
                  <c:v>5.0962492778023947</c:v>
                </c:pt>
                <c:pt idx="10">
                  <c:v>4.9239718974423043</c:v>
                </c:pt>
                <c:pt idx="11">
                  <c:v>6.0356485657476435</c:v>
                </c:pt>
                <c:pt idx="12">
                  <c:v>5.2851741680885969</c:v>
                </c:pt>
                <c:pt idx="13">
                  <c:v>5.9167971789409535</c:v>
                </c:pt>
                <c:pt idx="14">
                  <c:v>5.1015551004259043</c:v>
                </c:pt>
                <c:pt idx="15">
                  <c:v>5.730841385766225</c:v>
                </c:pt>
                <c:pt idx="16">
                  <c:v>4.9032667441566984</c:v>
                </c:pt>
                <c:pt idx="17">
                  <c:v>6.2272963472368028</c:v>
                </c:pt>
                <c:pt idx="18">
                  <c:v>5.0349878628366307</c:v>
                </c:pt>
                <c:pt idx="19">
                  <c:v>5.431042175915576</c:v>
                </c:pt>
                <c:pt idx="20">
                  <c:v>4.5622455555025754</c:v>
                </c:pt>
                <c:pt idx="21">
                  <c:v>5.2352865147569601</c:v>
                </c:pt>
                <c:pt idx="22">
                  <c:v>4.3879475537379689</c:v>
                </c:pt>
                <c:pt idx="23">
                  <c:v>5.0881180686900978</c:v>
                </c:pt>
                <c:pt idx="24">
                  <c:v>4.2386072135606208</c:v>
                </c:pt>
                <c:pt idx="25">
                  <c:v>4.9516015741183512</c:v>
                </c:pt>
                <c:pt idx="26">
                  <c:v>4.0997724972686509</c:v>
                </c:pt>
                <c:pt idx="27">
                  <c:v>4.823157193901034</c:v>
                </c:pt>
                <c:pt idx="28">
                  <c:v>3.9698904625437565</c:v>
                </c:pt>
                <c:pt idx="29">
                  <c:v>4.7020071202722642</c:v>
                </c:pt>
                <c:pt idx="30">
                  <c:v>3.8481268624219975</c:v>
                </c:pt>
                <c:pt idx="31">
                  <c:v>4.5875334354864803</c:v>
                </c:pt>
                <c:pt idx="32">
                  <c:v>3.7337688885513667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FB-6246-9965-B94ED2395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075896"/>
        <c:axId val="450221592"/>
      </c:scatterChart>
      <c:valAx>
        <c:axId val="527075896"/>
        <c:scaling>
          <c:orientation val="minMax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nb-NO" sz="1400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450221592"/>
        <c:crosses val="autoZero"/>
        <c:crossBetween val="midCat"/>
      </c:valAx>
      <c:valAx>
        <c:axId val="450221592"/>
        <c:scaling>
          <c:orientation val="minMax"/>
          <c:max val="1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µg/l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707589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65772407037637037"/>
          <c:y val="0.15681613271623501"/>
          <c:w val="0.32026975097012395"/>
          <c:h val="0.224863256596742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nb-NO"/>
        </a:p>
      </c:txPr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CHLORIDE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water'!$AI$120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water'!$AI$122:$AI$154</c:f>
              <c:numCache>
                <c:formatCode>0.0</c:formatCode>
                <c:ptCount val="33"/>
                <c:pt idx="0" formatCode="General">
                  <c:v>170</c:v>
                </c:pt>
                <c:pt idx="1">
                  <c:v>83.264644579915654</c:v>
                </c:pt>
                <c:pt idx="2">
                  <c:v>86.260736447595704</c:v>
                </c:pt>
                <c:pt idx="3">
                  <c:v>66.846895815387185</c:v>
                </c:pt>
                <c:pt idx="4">
                  <c:v>77.566536945109576</c:v>
                </c:pt>
                <c:pt idx="5">
                  <c:v>69.574439392573083</c:v>
                </c:pt>
                <c:pt idx="6">
                  <c:v>76.293833573685504</c:v>
                </c:pt>
                <c:pt idx="7">
                  <c:v>70.790922465142188</c:v>
                </c:pt>
                <c:pt idx="8">
                  <c:v>74.616278547807184</c:v>
                </c:pt>
                <c:pt idx="9">
                  <c:v>56.458428112722537</c:v>
                </c:pt>
                <c:pt idx="10">
                  <c:v>67.468608997071726</c:v>
                </c:pt>
                <c:pt idx="11">
                  <c:v>64.965606817034256</c:v>
                </c:pt>
                <c:pt idx="12">
                  <c:v>68.718183864897753</c:v>
                </c:pt>
                <c:pt idx="13">
                  <c:v>65.282379585110107</c:v>
                </c:pt>
                <c:pt idx="14">
                  <c:v>67.12733793015704</c:v>
                </c:pt>
                <c:pt idx="15">
                  <c:v>63.980167187637512</c:v>
                </c:pt>
                <c:pt idx="16">
                  <c:v>65.075469614028833</c:v>
                </c:pt>
                <c:pt idx="17">
                  <c:v>69.521159017047324</c:v>
                </c:pt>
                <c:pt idx="18">
                  <c:v>65.476926898482517</c:v>
                </c:pt>
                <c:pt idx="19">
                  <c:v>62.268772353783447</c:v>
                </c:pt>
                <c:pt idx="20">
                  <c:v>61.579439334475524</c:v>
                </c:pt>
                <c:pt idx="21">
                  <c:v>59.658687721611194</c:v>
                </c:pt>
                <c:pt idx="22">
                  <c:v>59.373364801851743</c:v>
                </c:pt>
                <c:pt idx="23">
                  <c:v>58.025109887354567</c:v>
                </c:pt>
                <c:pt idx="24">
                  <c:v>57.580932514264724</c:v>
                </c:pt>
                <c:pt idx="25">
                  <c:v>56.636146832244279</c:v>
                </c:pt>
                <c:pt idx="26">
                  <c:v>55.944660814584843</c:v>
                </c:pt>
                <c:pt idx="27">
                  <c:v>55.344386602176421</c:v>
                </c:pt>
                <c:pt idx="28">
                  <c:v>54.408409436389519</c:v>
                </c:pt>
                <c:pt idx="29">
                  <c:v>54.117814939671547</c:v>
                </c:pt>
                <c:pt idx="30">
                  <c:v>52.955845252011962</c:v>
                </c:pt>
                <c:pt idx="31">
                  <c:v>52.947183250212497</c:v>
                </c:pt>
                <c:pt idx="32">
                  <c:v>51.578869192826026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3-1540-AEB4-87FA0C99DE6E}"/>
            </c:ext>
          </c:extLst>
        </c:ser>
        <c:ser>
          <c:idx val="1"/>
          <c:order val="1"/>
          <c:tx>
            <c:strRef>
              <c:f>'Process water'!$AJ$120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water'!$AJ$122:$AJ$154</c:f>
              <c:numCache>
                <c:formatCode>0.0</c:formatCode>
                <c:ptCount val="33"/>
                <c:pt idx="0" formatCode="General">
                  <c:v>170</c:v>
                </c:pt>
                <c:pt idx="1">
                  <c:v>109.38002262600774</c:v>
                </c:pt>
                <c:pt idx="2">
                  <c:v>119.40087842078485</c:v>
                </c:pt>
                <c:pt idx="3">
                  <c:v>94.742422722625818</c:v>
                </c:pt>
                <c:pt idx="4">
                  <c:v>109.36785671131224</c:v>
                </c:pt>
                <c:pt idx="5">
                  <c:v>101.61916128742284</c:v>
                </c:pt>
                <c:pt idx="6">
                  <c:v>106.87927127199633</c:v>
                </c:pt>
                <c:pt idx="7">
                  <c:v>103.4061511953025</c:v>
                </c:pt>
                <c:pt idx="8">
                  <c:v>104.09147977808144</c:v>
                </c:pt>
                <c:pt idx="9">
                  <c:v>82.562351499446052</c:v>
                </c:pt>
                <c:pt idx="10">
                  <c:v>95.925094451260321</c:v>
                </c:pt>
                <c:pt idx="11">
                  <c:v>95.914676951617324</c:v>
                </c:pt>
                <c:pt idx="12">
                  <c:v>96.235819358071424</c:v>
                </c:pt>
                <c:pt idx="13">
                  <c:v>95.465337788906908</c:v>
                </c:pt>
                <c:pt idx="14">
                  <c:v>93.776282749803912</c:v>
                </c:pt>
                <c:pt idx="15">
                  <c:v>93.436814745179802</c:v>
                </c:pt>
                <c:pt idx="16">
                  <c:v>90.917730419539907</c:v>
                </c:pt>
                <c:pt idx="17">
                  <c:v>101.2542528546779</c:v>
                </c:pt>
                <c:pt idx="18">
                  <c:v>90.56760957846862</c:v>
                </c:pt>
                <c:pt idx="19">
                  <c:v>90.379955898613375</c:v>
                </c:pt>
                <c:pt idx="20">
                  <c:v>85.967766892666006</c:v>
                </c:pt>
                <c:pt idx="21">
                  <c:v>87.145374795009218</c:v>
                </c:pt>
                <c:pt idx="22">
                  <c:v>83.103512068147083</c:v>
                </c:pt>
                <c:pt idx="23">
                  <c:v>84.916337283149574</c:v>
                </c:pt>
                <c:pt idx="24">
                  <c:v>80.692716040538755</c:v>
                </c:pt>
                <c:pt idx="25">
                  <c:v>82.958893944962185</c:v>
                </c:pt>
                <c:pt idx="26">
                  <c:v>78.474113242428018</c:v>
                </c:pt>
                <c:pt idx="27">
                  <c:v>81.123769286688031</c:v>
                </c:pt>
                <c:pt idx="28">
                  <c:v>76.388260925405717</c:v>
                </c:pt>
                <c:pt idx="29">
                  <c:v>79.377256823367944</c:v>
                </c:pt>
                <c:pt idx="30">
                  <c:v>74.415929555696181</c:v>
                </c:pt>
                <c:pt idx="31">
                  <c:v>77.708567589919625</c:v>
                </c:pt>
                <c:pt idx="32">
                  <c:v>72.546468195493347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D3-1540-AEB4-87FA0C99DE6E}"/>
            </c:ext>
          </c:extLst>
        </c:ser>
        <c:ser>
          <c:idx val="2"/>
          <c:order val="2"/>
          <c:tx>
            <c:strRef>
              <c:f>'Process water'!$AK$120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water'!$AK$122:$AK$154</c:f>
              <c:numCache>
                <c:formatCode>0.0</c:formatCode>
                <c:ptCount val="33"/>
                <c:pt idx="0" formatCode="General">
                  <c:v>170</c:v>
                </c:pt>
                <c:pt idx="1">
                  <c:v>92.950407275767702</c:v>
                </c:pt>
                <c:pt idx="2">
                  <c:v>98.551868143741615</c:v>
                </c:pt>
                <c:pt idx="3">
                  <c:v>77.192886343358865</c:v>
                </c:pt>
                <c:pt idx="4">
                  <c:v>89.361121581284891</c:v>
                </c:pt>
                <c:pt idx="5">
                  <c:v>81.45929786103143</c:v>
                </c:pt>
                <c:pt idx="6">
                  <c:v>87.637467618414007</c:v>
                </c:pt>
                <c:pt idx="7">
                  <c:v>82.887372502883082</c:v>
                </c:pt>
                <c:pt idx="8">
                  <c:v>85.548144210446637</c:v>
                </c:pt>
                <c:pt idx="9">
                  <c:v>66.139942464468263</c:v>
                </c:pt>
                <c:pt idx="10">
                  <c:v>78.022649791762831</c:v>
                </c:pt>
                <c:pt idx="11">
                  <c:v>76.444106130801984</c:v>
                </c:pt>
                <c:pt idx="12">
                  <c:v>78.924020704304297</c:v>
                </c:pt>
                <c:pt idx="13">
                  <c:v>76.476740628049043</c:v>
                </c:pt>
                <c:pt idx="14">
                  <c:v>77.010991736063914</c:v>
                </c:pt>
                <c:pt idx="15">
                  <c:v>74.90515159927989</c:v>
                </c:pt>
                <c:pt idx="16">
                  <c:v>74.659937633014806</c:v>
                </c:pt>
                <c:pt idx="17">
                  <c:v>81.290439782350546</c:v>
                </c:pt>
                <c:pt idx="18">
                  <c:v>74.782646995137839</c:v>
                </c:pt>
                <c:pt idx="19">
                  <c:v>72.694746369331227</c:v>
                </c:pt>
                <c:pt idx="20">
                  <c:v>70.624667508481949</c:v>
                </c:pt>
                <c:pt idx="21">
                  <c:v>69.853046302911352</c:v>
                </c:pt>
                <c:pt idx="22">
                  <c:v>68.174484768535606</c:v>
                </c:pt>
                <c:pt idx="23">
                  <c:v>67.998622302000285</c:v>
                </c:pt>
                <c:pt idx="24">
                  <c:v>66.15271157556343</c:v>
                </c:pt>
                <c:pt idx="25">
                  <c:v>66.398819292383578</c:v>
                </c:pt>
                <c:pt idx="26">
                  <c:v>64.300462882563338</c:v>
                </c:pt>
                <c:pt idx="27">
                  <c:v>64.905534163856103</c:v>
                </c:pt>
                <c:pt idx="28">
                  <c:v>62.560373587049703</c:v>
                </c:pt>
                <c:pt idx="29">
                  <c:v>63.486125039695523</c:v>
                </c:pt>
                <c:pt idx="30">
                  <c:v>60.915036332133745</c:v>
                </c:pt>
                <c:pt idx="31">
                  <c:v>62.13077202736514</c:v>
                </c:pt>
                <c:pt idx="32">
                  <c:v>59.355405603027798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D3-1540-AEB4-87FA0C99D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2068936"/>
        <c:axId val="526077000"/>
      </c:scatterChart>
      <c:valAx>
        <c:axId val="512068936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77000"/>
        <c:crosses val="autoZero"/>
        <c:crossBetween val="midCat"/>
      </c:valAx>
      <c:valAx>
        <c:axId val="526077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12068936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66063318777292579"/>
          <c:y val="0.20103129300814501"/>
          <c:w val="0.29634030189457761"/>
          <c:h val="0.163077860253142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NICKEL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13941026747799"/>
          <c:y val="0.12194797283577399"/>
          <c:w val="0.81626512659452499"/>
          <c:h val="0.650012860140332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water'!$AI$159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water'!$AI$161:$AI$193</c:f>
              <c:numCache>
                <c:formatCode>0.0</c:formatCode>
                <c:ptCount val="33"/>
                <c:pt idx="0" formatCode="General">
                  <c:v>1.07</c:v>
                </c:pt>
                <c:pt idx="1">
                  <c:v>0.80602346262134994</c:v>
                </c:pt>
                <c:pt idx="2">
                  <c:v>0.56724720431373232</c:v>
                </c:pt>
                <c:pt idx="3">
                  <c:v>0.68469219138681048</c:v>
                </c:pt>
                <c:pt idx="4">
                  <c:v>0.50611961948628648</c:v>
                </c:pt>
                <c:pt idx="5">
                  <c:v>0.66862190350098727</c:v>
                </c:pt>
                <c:pt idx="6">
                  <c:v>0.56799442592768901</c:v>
                </c:pt>
                <c:pt idx="7">
                  <c:v>0.67560539049077528</c:v>
                </c:pt>
                <c:pt idx="8">
                  <c:v>0.56076403579205625</c:v>
                </c:pt>
                <c:pt idx="9">
                  <c:v>0.52213752896765031</c:v>
                </c:pt>
                <c:pt idx="10">
                  <c:v>0.48821035049144451</c:v>
                </c:pt>
                <c:pt idx="11">
                  <c:v>0.64057709714954481</c:v>
                </c:pt>
                <c:pt idx="12">
                  <c:v>0.52771805687995954</c:v>
                </c:pt>
                <c:pt idx="13">
                  <c:v>0.63591099126337058</c:v>
                </c:pt>
                <c:pt idx="14">
                  <c:v>0.51719776233727877</c:v>
                </c:pt>
                <c:pt idx="15">
                  <c:v>0.624042472293317</c:v>
                </c:pt>
                <c:pt idx="16">
                  <c:v>0.50420446766320082</c:v>
                </c:pt>
                <c:pt idx="17">
                  <c:v>0.69817682919299218</c:v>
                </c:pt>
                <c:pt idx="18">
                  <c:v>0.52585079257661815</c:v>
                </c:pt>
                <c:pt idx="19">
                  <c:v>0.60591676847614984</c:v>
                </c:pt>
                <c:pt idx="20">
                  <c:v>0.48168594226452305</c:v>
                </c:pt>
                <c:pt idx="21">
                  <c:v>0.59023091429781682</c:v>
                </c:pt>
                <c:pt idx="22">
                  <c:v>0.46838039164590056</c:v>
                </c:pt>
                <c:pt idx="23">
                  <c:v>0.57947193978740541</c:v>
                </c:pt>
                <c:pt idx="24">
                  <c:v>0.45736424266533393</c:v>
                </c:pt>
                <c:pt idx="25">
                  <c:v>0.56937888769406952</c:v>
                </c:pt>
                <c:pt idx="26">
                  <c:v>0.4469291516244685</c:v>
                </c:pt>
                <c:pt idx="27">
                  <c:v>0.55968166216063919</c:v>
                </c:pt>
                <c:pt idx="28">
                  <c:v>0.43694734535182528</c:v>
                </c:pt>
                <c:pt idx="29">
                  <c:v>0.5503444416337393</c:v>
                </c:pt>
                <c:pt idx="30">
                  <c:v>0.42738495991360465</c:v>
                </c:pt>
                <c:pt idx="31">
                  <c:v>0.54134639437667331</c:v>
                </c:pt>
                <c:pt idx="32">
                  <c:v>0.41821572756119862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98-FF45-A4E2-C273BCC69205}"/>
            </c:ext>
          </c:extLst>
        </c:ser>
        <c:ser>
          <c:idx val="1"/>
          <c:order val="1"/>
          <c:tx>
            <c:strRef>
              <c:f>'Process water'!$AJ$159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chemeClr val="tx2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rgbClr val="000000"/>
                </a:solidFill>
              </a:ln>
            </c:spPr>
          </c:marker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water'!$AJ$161:$AJ$193</c:f>
              <c:numCache>
                <c:formatCode>0.0</c:formatCode>
                <c:ptCount val="33"/>
                <c:pt idx="0" formatCode="General">
                  <c:v>1.07</c:v>
                </c:pt>
                <c:pt idx="1">
                  <c:v>0.9163239630723341</c:v>
                </c:pt>
                <c:pt idx="2">
                  <c:v>0.69971946715102729</c:v>
                </c:pt>
                <c:pt idx="3">
                  <c:v>0.80251130060214626</c:v>
                </c:pt>
                <c:pt idx="4">
                  <c:v>0.63359478739202102</c:v>
                </c:pt>
                <c:pt idx="5">
                  <c:v>0.80201415582850966</c:v>
                </c:pt>
                <c:pt idx="6">
                  <c:v>0.72343071378633017</c:v>
                </c:pt>
                <c:pt idx="7">
                  <c:v>0.80645063083094781</c:v>
                </c:pt>
                <c:pt idx="8">
                  <c:v>0.71182724669095199</c:v>
                </c:pt>
                <c:pt idx="9">
                  <c:v>0.62386694570560342</c:v>
                </c:pt>
                <c:pt idx="10">
                  <c:v>0.63519296980387863</c:v>
                </c:pt>
                <c:pt idx="11">
                  <c:v>0.76663383745172231</c:v>
                </c:pt>
                <c:pt idx="12">
                  <c:v>0.67088202690015042</c:v>
                </c:pt>
                <c:pt idx="13">
                  <c:v>0.75971379725849231</c:v>
                </c:pt>
                <c:pt idx="14">
                  <c:v>0.65677868533981709</c:v>
                </c:pt>
                <c:pt idx="15">
                  <c:v>0.74567743214207327</c:v>
                </c:pt>
                <c:pt idx="16">
                  <c:v>0.64041510534900825</c:v>
                </c:pt>
                <c:pt idx="17">
                  <c:v>0.83367311962764368</c:v>
                </c:pt>
                <c:pt idx="18">
                  <c:v>0.65888399894459393</c:v>
                </c:pt>
                <c:pt idx="19">
                  <c:v>0.72345454782028518</c:v>
                </c:pt>
                <c:pt idx="20">
                  <c:v>0.61171713677003925</c:v>
                </c:pt>
                <c:pt idx="21">
                  <c:v>0.70583042548856545</c:v>
                </c:pt>
                <c:pt idx="22">
                  <c:v>0.59556965669404904</c:v>
                </c:pt>
                <c:pt idx="23">
                  <c:v>0.69320133225599412</c:v>
                </c:pt>
                <c:pt idx="24">
                  <c:v>0.5818581120760582</c:v>
                </c:pt>
                <c:pt idx="25">
                  <c:v>0.68130263340138397</c:v>
                </c:pt>
                <c:pt idx="26">
                  <c:v>0.5688621433004255</c:v>
                </c:pt>
                <c:pt idx="27">
                  <c:v>0.66986082040893447</c:v>
                </c:pt>
                <c:pt idx="28">
                  <c:v>0.5564432809707115</c:v>
                </c:pt>
                <c:pt idx="29">
                  <c:v>0.65883690026744113</c:v>
                </c:pt>
                <c:pt idx="30">
                  <c:v>0.5445581063213637</c:v>
                </c:pt>
                <c:pt idx="31">
                  <c:v>0.64820708986342057</c:v>
                </c:pt>
                <c:pt idx="32">
                  <c:v>0.53317178812170751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98-FF45-A4E2-C273BCC69205}"/>
            </c:ext>
          </c:extLst>
        </c:ser>
        <c:ser>
          <c:idx val="2"/>
          <c:order val="2"/>
          <c:tx>
            <c:strRef>
              <c:f>'Process water'!$AK$159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water'!$A$161:$A$193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water'!$AK$161:$AK$193</c:f>
              <c:numCache>
                <c:formatCode>0.0</c:formatCode>
                <c:ptCount val="33"/>
                <c:pt idx="0" formatCode="General">
                  <c:v>1.07</c:v>
                </c:pt>
                <c:pt idx="1">
                  <c:v>0.84827567045539654</c:v>
                </c:pt>
                <c:pt idx="2">
                  <c:v>0.61799262757801876</c:v>
                </c:pt>
                <c:pt idx="3">
                  <c:v>0.72982451144913674</c:v>
                </c:pt>
                <c:pt idx="4">
                  <c:v>0.55495083299856385</c:v>
                </c:pt>
                <c:pt idx="5">
                  <c:v>0.71971974209419132</c:v>
                </c:pt>
                <c:pt idx="6">
                  <c:v>0.62753655232515249</c:v>
                </c:pt>
                <c:pt idx="7">
                  <c:v>0.7257275591694704</c:v>
                </c:pt>
                <c:pt idx="8">
                  <c:v>0.61863099157993973</c:v>
                </c:pt>
                <c:pt idx="9">
                  <c:v>0.56110645876646292</c:v>
                </c:pt>
                <c:pt idx="10">
                  <c:v>0.54451417643773981</c:v>
                </c:pt>
                <c:pt idx="11">
                  <c:v>0.68886496137820152</c:v>
                </c:pt>
                <c:pt idx="12">
                  <c:v>0.5825590937828552</c:v>
                </c:pt>
                <c:pt idx="13">
                  <c:v>0.68333545323730838</c:v>
                </c:pt>
                <c:pt idx="14">
                  <c:v>0.57066626106808982</c:v>
                </c:pt>
                <c:pt idx="15">
                  <c:v>0.67063650933215502</c:v>
                </c:pt>
                <c:pt idx="16">
                  <c:v>0.5563819296799416</c:v>
                </c:pt>
                <c:pt idx="17">
                  <c:v>0.75008065012562075</c:v>
                </c:pt>
                <c:pt idx="18">
                  <c:v>0.57681109340306047</c:v>
                </c:pt>
                <c:pt idx="19">
                  <c:v>0.65094132104749192</c:v>
                </c:pt>
                <c:pt idx="20">
                  <c:v>0.5314962788694586</c:v>
                </c:pt>
                <c:pt idx="21">
                  <c:v>0.63451298511685372</c:v>
                </c:pt>
                <c:pt idx="22">
                  <c:v>0.51710208591837681</c:v>
                </c:pt>
                <c:pt idx="23">
                  <c:v>0.62303763448303418</c:v>
                </c:pt>
                <c:pt idx="24">
                  <c:v>0.5050534265121841</c:v>
                </c:pt>
                <c:pt idx="25">
                  <c:v>0.61225290318679071</c:v>
                </c:pt>
                <c:pt idx="26">
                  <c:v>0.49363735408098425</c:v>
                </c:pt>
                <c:pt idx="27">
                  <c:v>0.6018873881025264</c:v>
                </c:pt>
                <c:pt idx="28">
                  <c:v>0.48272199810905991</c:v>
                </c:pt>
                <c:pt idx="29">
                  <c:v>0.59190405280390723</c:v>
                </c:pt>
                <c:pt idx="30">
                  <c:v>0.47226983454560911</c:v>
                </c:pt>
                <c:pt idx="31">
                  <c:v>0.58228093498651612</c:v>
                </c:pt>
                <c:pt idx="32">
                  <c:v>0.46225131527590962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98-FF45-A4E2-C273BCC69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790216"/>
        <c:axId val="497992280"/>
      </c:scatterChart>
      <c:valAx>
        <c:axId val="511790216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992280"/>
        <c:crosses val="autoZero"/>
        <c:crossBetween val="midCat"/>
      </c:valAx>
      <c:valAx>
        <c:axId val="497992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117902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121242536990579"/>
          <c:y val="0.116643728989464"/>
          <c:w val="0.26152859738686512"/>
          <c:h val="0.17118200482819301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ZINC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1685604989357397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water'!$AI$198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water'!$AI$200:$AI$232</c:f>
              <c:numCache>
                <c:formatCode>0.0</c:formatCode>
                <c:ptCount val="33"/>
                <c:pt idx="0" formatCode="General">
                  <c:v>2.6</c:v>
                </c:pt>
                <c:pt idx="1">
                  <c:v>4.6068060525913817</c:v>
                </c:pt>
                <c:pt idx="2">
                  <c:v>6.5686831860500101</c:v>
                </c:pt>
                <c:pt idx="3">
                  <c:v>5.7651467358132464</c:v>
                </c:pt>
                <c:pt idx="4">
                  <c:v>6.8196866011392059</c:v>
                </c:pt>
                <c:pt idx="5">
                  <c:v>5.6417158404539629</c:v>
                </c:pt>
                <c:pt idx="6">
                  <c:v>6.5785227803973738</c:v>
                </c:pt>
                <c:pt idx="7">
                  <c:v>5.45604805471738</c:v>
                </c:pt>
                <c:pt idx="8">
                  <c:v>6.3286181229771623</c:v>
                </c:pt>
                <c:pt idx="9">
                  <c:v>4.2836150503527675</c:v>
                </c:pt>
                <c:pt idx="10">
                  <c:v>5.7213195236272067</c:v>
                </c:pt>
                <c:pt idx="11">
                  <c:v>5.0605388286617536</c:v>
                </c:pt>
                <c:pt idx="12">
                  <c:v>5.8603413786475915</c:v>
                </c:pt>
                <c:pt idx="13">
                  <c:v>4.9547601368968568</c:v>
                </c:pt>
                <c:pt idx="14">
                  <c:v>5.6777055810329946</c:v>
                </c:pt>
                <c:pt idx="15">
                  <c:v>4.8112563807564106</c:v>
                </c:pt>
                <c:pt idx="16">
                  <c:v>5.4909698866777914</c:v>
                </c:pt>
                <c:pt idx="17">
                  <c:v>5.2130969340306583</c:v>
                </c:pt>
                <c:pt idx="18">
                  <c:v>5.5076928526947997</c:v>
                </c:pt>
                <c:pt idx="19">
                  <c:v>4.5695825473511844</c:v>
                </c:pt>
                <c:pt idx="20">
                  <c:v>5.1597483211074087</c:v>
                </c:pt>
                <c:pt idx="21">
                  <c:v>4.4229687885768518</c:v>
                </c:pt>
                <c:pt idx="22">
                  <c:v>4.9965843080662484</c:v>
                </c:pt>
                <c:pt idx="23">
                  <c:v>4.3059697419540317</c:v>
                </c:pt>
                <c:pt idx="24">
                  <c:v>4.8505918363493876</c:v>
                </c:pt>
                <c:pt idx="25">
                  <c:v>4.1960715595548583</c:v>
                </c:pt>
                <c:pt idx="26">
                  <c:v>4.7132378069107865</c:v>
                </c:pt>
                <c:pt idx="27">
                  <c:v>4.0917978912919963</c:v>
                </c:pt>
                <c:pt idx="28">
                  <c:v>4.5834784984840766</c:v>
                </c:pt>
                <c:pt idx="29">
                  <c:v>3.9926822962032484</c:v>
                </c:pt>
                <c:pt idx="30">
                  <c:v>4.4606814286769776</c:v>
                </c:pt>
                <c:pt idx="31">
                  <c:v>3.8983433613154643</c:v>
                </c:pt>
                <c:pt idx="32">
                  <c:v>4.344294983894101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1E-F146-AFED-77782152CB98}"/>
            </c:ext>
          </c:extLst>
        </c:ser>
        <c:ser>
          <c:idx val="1"/>
          <c:order val="1"/>
          <c:tx>
            <c:strRef>
              <c:f>'Process water'!$AJ$198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water'!$AJ$200:$AJ$232</c:f>
              <c:numCache>
                <c:formatCode>0.0</c:formatCode>
                <c:ptCount val="33"/>
                <c:pt idx="0" formatCode="General">
                  <c:v>2.6</c:v>
                </c:pt>
                <c:pt idx="1">
                  <c:v>28.087978143414201</c:v>
                </c:pt>
                <c:pt idx="2">
                  <c:v>34.407376712388128</c:v>
                </c:pt>
                <c:pt idx="3">
                  <c:v>31.043589554425736</c:v>
                </c:pt>
                <c:pt idx="4">
                  <c:v>33.693991799583095</c:v>
                </c:pt>
                <c:pt idx="5">
                  <c:v>30.262661978607216</c:v>
                </c:pt>
                <c:pt idx="6">
                  <c:v>32.482291487283582</c:v>
                </c:pt>
                <c:pt idx="7">
                  <c:v>29.404590256947436</c:v>
                </c:pt>
                <c:pt idx="8">
                  <c:v>31.337481198106762</c:v>
                </c:pt>
                <c:pt idx="9">
                  <c:v>23.44482686762904</c:v>
                </c:pt>
                <c:pt idx="10">
                  <c:v>29.839368107688152</c:v>
                </c:pt>
                <c:pt idx="11">
                  <c:v>27.731524373882433</c:v>
                </c:pt>
                <c:pt idx="12">
                  <c:v>29.278977671845599</c:v>
                </c:pt>
                <c:pt idx="13">
                  <c:v>27.094753150568842</c:v>
                </c:pt>
                <c:pt idx="14">
                  <c:v>28.391883482392977</c:v>
                </c:pt>
                <c:pt idx="15">
                  <c:v>26.414468103398651</c:v>
                </c:pt>
                <c:pt idx="16">
                  <c:v>27.546191281409421</c:v>
                </c:pt>
                <c:pt idx="17">
                  <c:v>28.479966227385887</c:v>
                </c:pt>
                <c:pt idx="18">
                  <c:v>26.979054451233274</c:v>
                </c:pt>
                <c:pt idx="19">
                  <c:v>25.195398224107461</c:v>
                </c:pt>
                <c:pt idx="20">
                  <c:v>26.023659059078383</c:v>
                </c:pt>
                <c:pt idx="21">
                  <c:v>24.567794453359266</c:v>
                </c:pt>
                <c:pt idx="22">
                  <c:v>25.31708539951531</c:v>
                </c:pt>
                <c:pt idx="23">
                  <c:v>24.00930842630606</c:v>
                </c:pt>
                <c:pt idx="24">
                  <c:v>24.660624664289667</c:v>
                </c:pt>
                <c:pt idx="25">
                  <c:v>23.478915073472265</c:v>
                </c:pt>
                <c:pt idx="26">
                  <c:v>24.041553225431162</c:v>
                </c:pt>
                <c:pt idx="27">
                  <c:v>22.97294829779468</c:v>
                </c:pt>
                <c:pt idx="28">
                  <c:v>23.456215556790809</c:v>
                </c:pt>
                <c:pt idx="29">
                  <c:v>22.489628865849632</c:v>
                </c:pt>
                <c:pt idx="30">
                  <c:v>22.901728900631493</c:v>
                </c:pt>
                <c:pt idx="31">
                  <c:v>22.027411965690948</c:v>
                </c:pt>
                <c:pt idx="32">
                  <c:v>22.375555255760386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1E-F146-AFED-77782152CB98}"/>
            </c:ext>
          </c:extLst>
        </c:ser>
        <c:ser>
          <c:idx val="2"/>
          <c:order val="2"/>
          <c:tx>
            <c:strRef>
              <c:f>'Process water'!$AK$198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water'!$A$200:$A$232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water'!$AK$200:$AK$232</c:f>
              <c:numCache>
                <c:formatCode>0.0</c:formatCode>
                <c:ptCount val="33"/>
                <c:pt idx="0" formatCode="General">
                  <c:v>2.6</c:v>
                </c:pt>
                <c:pt idx="1">
                  <c:v>3.4255232735679386</c:v>
                </c:pt>
                <c:pt idx="2">
                  <c:v>5.0842353699667804</c:v>
                </c:pt>
                <c:pt idx="3">
                  <c:v>4.6182305434423965</c:v>
                </c:pt>
                <c:pt idx="4">
                  <c:v>5.4769727339406327</c:v>
                </c:pt>
                <c:pt idx="5">
                  <c:v>4.576916964477153</c:v>
                </c:pt>
                <c:pt idx="6">
                  <c:v>5.2750503016954218</c:v>
                </c:pt>
                <c:pt idx="7">
                  <c:v>4.4149195954955296</c:v>
                </c:pt>
                <c:pt idx="8">
                  <c:v>5.0567333464139619</c:v>
                </c:pt>
                <c:pt idx="9">
                  <c:v>3.4440948843280723</c:v>
                </c:pt>
                <c:pt idx="10">
                  <c:v>4.4125624862966237</c:v>
                </c:pt>
                <c:pt idx="11">
                  <c:v>4.0184584211603029</c:v>
                </c:pt>
                <c:pt idx="12">
                  <c:v>4.6424714154073659</c:v>
                </c:pt>
                <c:pt idx="13">
                  <c:v>3.9686793970599088</c:v>
                </c:pt>
                <c:pt idx="14">
                  <c:v>4.4894932702844939</c:v>
                </c:pt>
                <c:pt idx="15">
                  <c:v>3.8448909483950273</c:v>
                </c:pt>
                <c:pt idx="16">
                  <c:v>4.3280312611306408</c:v>
                </c:pt>
                <c:pt idx="17">
                  <c:v>4.1661841401234652</c:v>
                </c:pt>
                <c:pt idx="18">
                  <c:v>4.4005950049453242</c:v>
                </c:pt>
                <c:pt idx="19">
                  <c:v>3.6567107446812273</c:v>
                </c:pt>
                <c:pt idx="20">
                  <c:v>4.0449576318892317</c:v>
                </c:pt>
                <c:pt idx="21">
                  <c:v>3.5075939187721028</c:v>
                </c:pt>
                <c:pt idx="22">
                  <c:v>3.9021527585325346</c:v>
                </c:pt>
                <c:pt idx="23">
                  <c:v>3.405346949816126</c:v>
                </c:pt>
                <c:pt idx="24">
                  <c:v>3.7768987651236849</c:v>
                </c:pt>
                <c:pt idx="25">
                  <c:v>3.3105211402658359</c:v>
                </c:pt>
                <c:pt idx="26">
                  <c:v>3.6594593282910988</c:v>
                </c:pt>
                <c:pt idx="27">
                  <c:v>3.2208782304229522</c:v>
                </c:pt>
                <c:pt idx="28">
                  <c:v>3.5487960360194104</c:v>
                </c:pt>
                <c:pt idx="29">
                  <c:v>3.1359355654575816</c:v>
                </c:pt>
                <c:pt idx="30">
                  <c:v>3.4443297963383874</c:v>
                </c:pt>
                <c:pt idx="31">
                  <c:v>3.0553285597968611</c:v>
                </c:pt>
                <c:pt idx="32">
                  <c:v>3.3455593498099345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1E-F146-AFED-77782152C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748520"/>
        <c:axId val="497948392"/>
      </c:scatterChart>
      <c:valAx>
        <c:axId val="509748520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948392"/>
        <c:crosses val="autoZero"/>
        <c:crossBetween val="midCat"/>
      </c:valAx>
      <c:valAx>
        <c:axId val="497948392"/>
        <c:scaling>
          <c:orientation val="minMax"/>
          <c:max val="4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09748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8441730537563075"/>
          <c:y val="0.125239717528146"/>
          <c:w val="0.26446706356827349"/>
          <c:h val="0.15972068677661699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MOLYBDENUM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26307845734784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water'!$AI$277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water'!$AI$279:$AI$311</c:f>
              <c:numCache>
                <c:formatCode>0.0</c:formatCode>
                <c:ptCount val="33"/>
                <c:pt idx="0" formatCode="General">
                  <c:v>19.2</c:v>
                </c:pt>
                <c:pt idx="1">
                  <c:v>13.415812201085618</c:v>
                </c:pt>
                <c:pt idx="2">
                  <c:v>15.559609469553068</c:v>
                </c:pt>
                <c:pt idx="3">
                  <c:v>13.048793923185791</c:v>
                </c:pt>
                <c:pt idx="4">
                  <c:v>14.959024185675162</c:v>
                </c:pt>
                <c:pt idx="5">
                  <c:v>12.616367425424849</c:v>
                </c:pt>
                <c:pt idx="6">
                  <c:v>14.3709472802626</c:v>
                </c:pt>
                <c:pt idx="7">
                  <c:v>12.205642187335838</c:v>
                </c:pt>
                <c:pt idx="8">
                  <c:v>13.825300580900123</c:v>
                </c:pt>
                <c:pt idx="9">
                  <c:v>9.5956858487935737</c:v>
                </c:pt>
                <c:pt idx="10">
                  <c:v>12.482277643672466</c:v>
                </c:pt>
                <c:pt idx="11">
                  <c:v>11.288929485840738</c:v>
                </c:pt>
                <c:pt idx="12">
                  <c:v>12.786493189251317</c:v>
                </c:pt>
                <c:pt idx="13">
                  <c:v>11.110619942227977</c:v>
                </c:pt>
                <c:pt idx="14">
                  <c:v>12.408649292301302</c:v>
                </c:pt>
                <c:pt idx="15">
                  <c:v>10.805034971696184</c:v>
                </c:pt>
                <c:pt idx="16">
                  <c:v>12.004935780067914</c:v>
                </c:pt>
                <c:pt idx="17">
                  <c:v>11.715092566543188</c:v>
                </c:pt>
                <c:pt idx="18">
                  <c:v>12.054123848613447</c:v>
                </c:pt>
                <c:pt idx="19">
                  <c:v>10.30891679974048</c:v>
                </c:pt>
                <c:pt idx="20">
                  <c:v>11.29476744263749</c:v>
                </c:pt>
                <c:pt idx="21">
                  <c:v>9.962653334749751</c:v>
                </c:pt>
                <c:pt idx="22">
                  <c:v>10.930076478933788</c:v>
                </c:pt>
                <c:pt idx="23">
                  <c:v>9.7041183061562979</c:v>
                </c:pt>
                <c:pt idx="24">
                  <c:v>10.610924066555759</c:v>
                </c:pt>
                <c:pt idx="25">
                  <c:v>9.4636565380100528</c:v>
                </c:pt>
                <c:pt idx="26">
                  <c:v>10.311443280984646</c:v>
                </c:pt>
                <c:pt idx="27">
                  <c:v>9.2355534777555093</c:v>
                </c:pt>
                <c:pt idx="28">
                  <c:v>10.028499262412661</c:v>
                </c:pt>
                <c:pt idx="29">
                  <c:v>9.0185991396920322</c:v>
                </c:pt>
                <c:pt idx="30">
                  <c:v>9.7606554533585737</c:v>
                </c:pt>
                <c:pt idx="31">
                  <c:v>8.8119676677170897</c:v>
                </c:pt>
                <c:pt idx="32">
                  <c:v>9.5067185559231948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0E-3641-9152-D8045B093B1B}"/>
            </c:ext>
          </c:extLst>
        </c:ser>
        <c:ser>
          <c:idx val="1"/>
          <c:order val="1"/>
          <c:tx>
            <c:strRef>
              <c:f>'Process water'!$AJ$277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water'!$AJ$279:$AJ$311</c:f>
              <c:numCache>
                <c:formatCode>0.0</c:formatCode>
                <c:ptCount val="33"/>
                <c:pt idx="0" formatCode="General">
                  <c:v>19.2</c:v>
                </c:pt>
                <c:pt idx="1">
                  <c:v>32.762875788254213</c:v>
                </c:pt>
                <c:pt idx="2">
                  <c:v>38.795671701094712</c:v>
                </c:pt>
                <c:pt idx="3">
                  <c:v>33.714645741198346</c:v>
                </c:pt>
                <c:pt idx="4">
                  <c:v>37.31857984656007</c:v>
                </c:pt>
                <c:pt idx="5">
                  <c:v>32.703806921578511</c:v>
                </c:pt>
                <c:pt idx="6">
                  <c:v>35.930341001231739</c:v>
                </c:pt>
                <c:pt idx="7">
                  <c:v>31.748719375269324</c:v>
                </c:pt>
                <c:pt idx="8">
                  <c:v>34.650528186714453</c:v>
                </c:pt>
                <c:pt idx="9">
                  <c:v>25.237182459942218</c:v>
                </c:pt>
                <c:pt idx="10">
                  <c:v>32.630829630946693</c:v>
                </c:pt>
                <c:pt idx="11">
                  <c:v>29.83364280178969</c:v>
                </c:pt>
                <c:pt idx="12">
                  <c:v>32.308801043567094</c:v>
                </c:pt>
                <c:pt idx="13">
                  <c:v>29.196278234469307</c:v>
                </c:pt>
                <c:pt idx="14">
                  <c:v>31.349233452964182</c:v>
                </c:pt>
                <c:pt idx="15">
                  <c:v>28.455487209133928</c:v>
                </c:pt>
                <c:pt idx="16">
                  <c:v>30.403326485657345</c:v>
                </c:pt>
                <c:pt idx="17">
                  <c:v>30.729593657785529</c:v>
                </c:pt>
                <c:pt idx="18">
                  <c:v>29.945606983379282</c:v>
                </c:pt>
                <c:pt idx="19">
                  <c:v>27.153165675197531</c:v>
                </c:pt>
                <c:pt idx="20">
                  <c:v>28.710994038790766</c:v>
                </c:pt>
                <c:pt idx="21">
                  <c:v>26.432703309265179</c:v>
                </c:pt>
                <c:pt idx="22">
                  <c:v>27.899564901727011</c:v>
                </c:pt>
                <c:pt idx="23">
                  <c:v>25.817368255199675</c:v>
                </c:pt>
                <c:pt idx="24">
                  <c:v>27.159476929733039</c:v>
                </c:pt>
                <c:pt idx="25">
                  <c:v>25.236272541361668</c:v>
                </c:pt>
                <c:pt idx="26">
                  <c:v>26.462496016863337</c:v>
                </c:pt>
                <c:pt idx="27">
                  <c:v>24.682584980398314</c:v>
                </c:pt>
                <c:pt idx="28">
                  <c:v>25.80341346592121</c:v>
                </c:pt>
                <c:pt idx="29">
                  <c:v>24.154081602235923</c:v>
                </c:pt>
                <c:pt idx="30">
                  <c:v>25.178967262851906</c:v>
                </c:pt>
                <c:pt idx="31">
                  <c:v>23.64901355921177</c:v>
                </c:pt>
                <c:pt idx="32">
                  <c:v>24.586350167456889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0E-3641-9152-D8045B093B1B}"/>
            </c:ext>
          </c:extLst>
        </c:ser>
        <c:ser>
          <c:idx val="2"/>
          <c:order val="2"/>
          <c:tx>
            <c:strRef>
              <c:f>'Process water'!$AK$277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water'!$AK$279:$AK$311</c:f>
              <c:numCache>
                <c:formatCode>0.0</c:formatCode>
                <c:ptCount val="33"/>
                <c:pt idx="0" formatCode="General">
                  <c:v>19.2</c:v>
                </c:pt>
                <c:pt idx="1">
                  <c:v>14.038476316534721</c:v>
                </c:pt>
                <c:pt idx="2">
                  <c:v>16.307436759763601</c:v>
                </c:pt>
                <c:pt idx="3">
                  <c:v>13.713901797788496</c:v>
                </c:pt>
                <c:pt idx="4">
                  <c:v>15.678642069013986</c:v>
                </c:pt>
                <c:pt idx="5">
                  <c:v>13.262859731048184</c:v>
                </c:pt>
                <c:pt idx="6">
                  <c:v>15.064812825305284</c:v>
                </c:pt>
                <c:pt idx="7">
                  <c:v>12.834614786487723</c:v>
                </c:pt>
                <c:pt idx="8">
                  <c:v>14.495537791202194</c:v>
                </c:pt>
                <c:pt idx="9">
                  <c:v>10.099090337428242</c:v>
                </c:pt>
                <c:pt idx="10">
                  <c:v>13.130736788090486</c:v>
                </c:pt>
                <c:pt idx="11">
                  <c:v>11.885770833940247</c:v>
                </c:pt>
                <c:pt idx="12">
                  <c:v>13.414797350079871</c:v>
                </c:pt>
                <c:pt idx="13">
                  <c:v>11.692687105656432</c:v>
                </c:pt>
                <c:pt idx="14">
                  <c:v>13.018231311265167</c:v>
                </c:pt>
                <c:pt idx="15">
                  <c:v>11.37309550347579</c:v>
                </c:pt>
                <c:pt idx="16">
                  <c:v>12.597067894730563</c:v>
                </c:pt>
                <c:pt idx="17">
                  <c:v>12.32705352120386</c:v>
                </c:pt>
                <c:pt idx="18">
                  <c:v>12.629941696628901</c:v>
                </c:pt>
                <c:pt idx="19">
                  <c:v>10.85103055665174</c:v>
                </c:pt>
                <c:pt idx="20">
                  <c:v>11.855289677915987</c:v>
                </c:pt>
                <c:pt idx="21">
                  <c:v>10.492723908642201</c:v>
                </c:pt>
                <c:pt idx="22">
                  <c:v>11.476220933920237</c:v>
                </c:pt>
                <c:pt idx="23">
                  <c:v>10.222705660838155</c:v>
                </c:pt>
                <c:pt idx="24">
                  <c:v>11.143521170198245</c:v>
                </c:pt>
                <c:pt idx="25">
                  <c:v>9.9712809611064248</c:v>
                </c:pt>
                <c:pt idx="26">
                  <c:v>10.831247277081893</c:v>
                </c:pt>
                <c:pt idx="27">
                  <c:v>9.7326993192198774</c:v>
                </c:pt>
                <c:pt idx="28">
                  <c:v>10.536197650571555</c:v>
                </c:pt>
                <c:pt idx="29">
                  <c:v>9.5057181154980395</c:v>
                </c:pt>
                <c:pt idx="30">
                  <c:v>10.256876982859509</c:v>
                </c:pt>
                <c:pt idx="31">
                  <c:v>9.2894817883628971</c:v>
                </c:pt>
                <c:pt idx="32">
                  <c:v>9.9920400330760017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0E-3641-9152-D8045B093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082264"/>
        <c:axId val="498291624"/>
      </c:scatterChart>
      <c:valAx>
        <c:axId val="585082264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291624"/>
        <c:crosses val="autoZero"/>
        <c:crossBetween val="midCat"/>
      </c:valAx>
      <c:valAx>
        <c:axId val="4982916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85082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50797853808087"/>
          <c:y val="0.125239717528146"/>
          <c:w val="0.27534265904814997"/>
          <c:h val="0.17118200482819301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COBALT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813941026747799"/>
          <c:y val="0.12194797283577399"/>
          <c:w val="0.82887188723337701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water'!$AI$238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water'!$AI$240:$AI$272</c:f>
              <c:numCache>
                <c:formatCode>0.0</c:formatCode>
                <c:ptCount val="33"/>
                <c:pt idx="0" formatCode="General">
                  <c:v>0.27</c:v>
                </c:pt>
                <c:pt idx="1">
                  <c:v>0.51133439733020269</c:v>
                </c:pt>
                <c:pt idx="2">
                  <c:v>0.78769279828826066</c:v>
                </c:pt>
                <c:pt idx="3">
                  <c:v>0.62394615417203703</c:v>
                </c:pt>
                <c:pt idx="4">
                  <c:v>0.80708354532817006</c:v>
                </c:pt>
                <c:pt idx="5">
                  <c:v>0.60942786438118557</c:v>
                </c:pt>
                <c:pt idx="6">
                  <c:v>0.77806157675635579</c:v>
                </c:pt>
                <c:pt idx="7">
                  <c:v>0.58891361099433637</c:v>
                </c:pt>
                <c:pt idx="8">
                  <c:v>0.74859183326038481</c:v>
                </c:pt>
                <c:pt idx="9">
                  <c:v>0.46147709585445112</c:v>
                </c:pt>
                <c:pt idx="10">
                  <c:v>0.68057628433880091</c:v>
                </c:pt>
                <c:pt idx="11">
                  <c:v>0.54547999481722598</c:v>
                </c:pt>
                <c:pt idx="12">
                  <c:v>0.69366719438200553</c:v>
                </c:pt>
                <c:pt idx="13">
                  <c:v>0.53379219438443526</c:v>
                </c:pt>
                <c:pt idx="14">
                  <c:v>0.67202623564145691</c:v>
                </c:pt>
                <c:pt idx="15">
                  <c:v>0.51804196038688388</c:v>
                </c:pt>
                <c:pt idx="16">
                  <c:v>0.65007326122284192</c:v>
                </c:pt>
                <c:pt idx="17">
                  <c:v>0.56162572599369454</c:v>
                </c:pt>
                <c:pt idx="18">
                  <c:v>0.65036254531038884</c:v>
                </c:pt>
                <c:pt idx="19">
                  <c:v>0.49153590703007055</c:v>
                </c:pt>
                <c:pt idx="20">
                  <c:v>0.61109237854457144</c:v>
                </c:pt>
                <c:pt idx="21">
                  <c:v>0.47550482549160578</c:v>
                </c:pt>
                <c:pt idx="22">
                  <c:v>0.59200990095389394</c:v>
                </c:pt>
                <c:pt idx="23">
                  <c:v>0.46270848318516145</c:v>
                </c:pt>
                <c:pt idx="24">
                  <c:v>0.57487693712309273</c:v>
                </c:pt>
                <c:pt idx="25">
                  <c:v>0.45069643170019152</c:v>
                </c:pt>
                <c:pt idx="26">
                  <c:v>0.55875753827267227</c:v>
                </c:pt>
                <c:pt idx="27">
                  <c:v>0.43930653565319355</c:v>
                </c:pt>
                <c:pt idx="28">
                  <c:v>0.5435313094339157</c:v>
                </c:pt>
                <c:pt idx="29">
                  <c:v>0.42848673116172897</c:v>
                </c:pt>
                <c:pt idx="30">
                  <c:v>0.5291234353668598</c:v>
                </c:pt>
                <c:pt idx="31">
                  <c:v>0.41819439590778812</c:v>
                </c:pt>
                <c:pt idx="32">
                  <c:v>0.51546861978084468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C-4647-87EC-4814E2BA561B}"/>
            </c:ext>
          </c:extLst>
        </c:ser>
        <c:ser>
          <c:idx val="1"/>
          <c:order val="1"/>
          <c:tx>
            <c:strRef>
              <c:f>'Process water'!$AJ$238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water'!$AJ$240:$AJ$272</c:f>
              <c:numCache>
                <c:formatCode>0.00</c:formatCode>
                <c:ptCount val="33"/>
                <c:pt idx="0" formatCode="General">
                  <c:v>0.27</c:v>
                </c:pt>
                <c:pt idx="1">
                  <c:v>0.5455809236799033</c:v>
                </c:pt>
                <c:pt idx="2">
                  <c:v>0.82882329924984022</c:v>
                </c:pt>
                <c:pt idx="3">
                  <c:v>0.66052708727518572</c:v>
                </c:pt>
                <c:pt idx="4">
                  <c:v>0.84666252891180538</c:v>
                </c:pt>
                <c:pt idx="5">
                  <c:v>0.64498494119046912</c:v>
                </c:pt>
                <c:pt idx="6">
                  <c:v>0.81622418173370348</c:v>
                </c:pt>
                <c:pt idx="7">
                  <c:v>0.62350710394768993</c:v>
                </c:pt>
                <c:pt idx="8">
                  <c:v>0.78545487982699869</c:v>
                </c:pt>
                <c:pt idx="9">
                  <c:v>0.48916434272935788</c:v>
                </c:pt>
                <c:pt idx="10">
                  <c:v>0.71624153728179218</c:v>
                </c:pt>
                <c:pt idx="11">
                  <c:v>0.57830626896269877</c:v>
                </c:pt>
                <c:pt idx="12">
                  <c:v>0.72822392322757579</c:v>
                </c:pt>
                <c:pt idx="13">
                  <c:v>0.56580588837300028</c:v>
                </c:pt>
                <c:pt idx="14">
                  <c:v>0.70555324668446939</c:v>
                </c:pt>
                <c:pt idx="15">
                  <c:v>0.5492852896347622</c:v>
                </c:pt>
                <c:pt idx="16">
                  <c:v>0.6826405275292875</c:v>
                </c:pt>
                <c:pt idx="17">
                  <c:v>0.59528357850003166</c:v>
                </c:pt>
                <c:pt idx="18">
                  <c:v>0.68203252695123884</c:v>
                </c:pt>
                <c:pt idx="19">
                  <c:v>0.52135216366018977</c:v>
                </c:pt>
                <c:pt idx="20">
                  <c:v>0.64192110148488879</c:v>
                </c:pt>
                <c:pt idx="21">
                  <c:v>0.5046587070556906</c:v>
                </c:pt>
                <c:pt idx="22">
                  <c:v>0.62204784597814866</c:v>
                </c:pt>
                <c:pt idx="23">
                  <c:v>0.49123078769266348</c:v>
                </c:pt>
                <c:pt idx="24">
                  <c:v>0.60416977782342951</c:v>
                </c:pt>
                <c:pt idx="25">
                  <c:v>0.47861577497049207</c:v>
                </c:pt>
                <c:pt idx="26">
                  <c:v>0.58734675805802083</c:v>
                </c:pt>
                <c:pt idx="27">
                  <c:v>0.46664955693373367</c:v>
                </c:pt>
                <c:pt idx="28">
                  <c:v>0.57145472078265491</c:v>
                </c:pt>
                <c:pt idx="29">
                  <c:v>0.45527827483105954</c:v>
                </c:pt>
                <c:pt idx="30">
                  <c:v>0.55641561948941121</c:v>
                </c:pt>
                <c:pt idx="31">
                  <c:v>0.44445767254330748</c:v>
                </c:pt>
                <c:pt idx="32">
                  <c:v>0.54216130102424909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C-4647-87EC-4814E2BA561B}"/>
            </c:ext>
          </c:extLst>
        </c:ser>
        <c:ser>
          <c:idx val="2"/>
          <c:order val="2"/>
          <c:tx>
            <c:strRef>
              <c:f>'Process water'!$AK$238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water'!$A$240:$A$272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water'!$AK$240:$AK$272</c:f>
              <c:numCache>
                <c:formatCode>0.00</c:formatCode>
                <c:ptCount val="33"/>
                <c:pt idx="0" formatCode="General">
                  <c:v>0.27</c:v>
                </c:pt>
                <c:pt idx="1">
                  <c:v>0.52022959897947563</c:v>
                </c:pt>
                <c:pt idx="2">
                  <c:v>0.79837604529126849</c:v>
                </c:pt>
                <c:pt idx="3">
                  <c:v>0.63344769523778988</c:v>
                </c:pt>
                <c:pt idx="4">
                  <c:v>0.81736380080443893</c:v>
                </c:pt>
                <c:pt idx="5">
                  <c:v>0.61866346874723344</c:v>
                </c:pt>
                <c:pt idx="6">
                  <c:v>0.78797394168553692</c:v>
                </c:pt>
                <c:pt idx="7">
                  <c:v>0.59789893383936332</c:v>
                </c:pt>
                <c:pt idx="8">
                  <c:v>0.75816665055041443</c:v>
                </c:pt>
                <c:pt idx="9">
                  <c:v>0.46866858854923216</c:v>
                </c:pt>
                <c:pt idx="10">
                  <c:v>0.68983998640191546</c:v>
                </c:pt>
                <c:pt idx="11">
                  <c:v>0.55400629979007621</c:v>
                </c:pt>
                <c:pt idx="12">
                  <c:v>0.70264296810812754</c:v>
                </c:pt>
                <c:pt idx="13">
                  <c:v>0.54210743957627028</c:v>
                </c:pt>
                <c:pt idx="14">
                  <c:v>0.68073455019808349</c:v>
                </c:pt>
                <c:pt idx="15">
                  <c:v>0.52615711084087813</c:v>
                </c:pt>
                <c:pt idx="16">
                  <c:v>0.65853229143230829</c:v>
                </c:pt>
                <c:pt idx="17">
                  <c:v>0.57036802534598996</c:v>
                </c:pt>
                <c:pt idx="18">
                  <c:v>0.65858851456775247</c:v>
                </c:pt>
                <c:pt idx="19">
                  <c:v>0.49928038927165996</c:v>
                </c:pt>
                <c:pt idx="20">
                  <c:v>0.61909983904854993</c:v>
                </c:pt>
                <c:pt idx="21">
                  <c:v>0.48307726226149794</c:v>
                </c:pt>
                <c:pt idx="22">
                  <c:v>0.5998119645965575</c:v>
                </c:pt>
                <c:pt idx="23">
                  <c:v>0.47011687396633073</c:v>
                </c:pt>
                <c:pt idx="24">
                  <c:v>0.58248546717512828</c:v>
                </c:pt>
                <c:pt idx="25">
                  <c:v>0.45794820917299683</c:v>
                </c:pt>
                <c:pt idx="26">
                  <c:v>0.56618330964549013</c:v>
                </c:pt>
                <c:pt idx="27">
                  <c:v>0.44640861910268437</c:v>
                </c:pt>
                <c:pt idx="28">
                  <c:v>0.55078414355047134</c:v>
                </c:pt>
                <c:pt idx="29">
                  <c:v>0.43544557367324338</c:v>
                </c:pt>
                <c:pt idx="30">
                  <c:v>0.53621231435973038</c:v>
                </c:pt>
                <c:pt idx="31">
                  <c:v>0.42501602620272821</c:v>
                </c:pt>
                <c:pt idx="32">
                  <c:v>0.52240178374017043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C-4647-87EC-4814E2BA5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354008"/>
        <c:axId val="496844216"/>
      </c:scatterChart>
      <c:valAx>
        <c:axId val="498354008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6844216"/>
        <c:crosses val="autoZero"/>
        <c:crossBetween val="midCat"/>
      </c:valAx>
      <c:valAx>
        <c:axId val="496844216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498354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686051992946561"/>
          <c:y val="0.125239717528146"/>
          <c:w val="0.27777083296960392"/>
          <c:h val="0.17118200482819301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SULFATE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336245776461"/>
          <c:y val="0.12194797283577399"/>
          <c:w val="0.82297188276796196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water'!$AI$319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water'!$A$321:$A$353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water'!$AI$321:$AI$353</c:f>
              <c:numCache>
                <c:formatCode>0</c:formatCode>
                <c:ptCount val="33"/>
                <c:pt idx="0" formatCode="General">
                  <c:v>461</c:v>
                </c:pt>
                <c:pt idx="1">
                  <c:v>216.73531161697221</c:v>
                </c:pt>
                <c:pt idx="2">
                  <c:v>230.9640929788228</c:v>
                </c:pt>
                <c:pt idx="3">
                  <c:v>173.83603545348484</c:v>
                </c:pt>
                <c:pt idx="4">
                  <c:v>209.79965092387491</c:v>
                </c:pt>
                <c:pt idx="5">
                  <c:v>185.57696478252862</c:v>
                </c:pt>
                <c:pt idx="6">
                  <c:v>209.61838584259687</c:v>
                </c:pt>
                <c:pt idx="7">
                  <c:v>188.11845111708789</c:v>
                </c:pt>
                <c:pt idx="8">
                  <c:v>206.32002783682813</c:v>
                </c:pt>
                <c:pt idx="9">
                  <c:v>149.86047981044194</c:v>
                </c:pt>
                <c:pt idx="10">
                  <c:v>188.58468785913036</c:v>
                </c:pt>
                <c:pt idx="11">
                  <c:v>178.10490068256985</c:v>
                </c:pt>
                <c:pt idx="12">
                  <c:v>195.15142235169463</c:v>
                </c:pt>
                <c:pt idx="13">
                  <c:v>176.85740092462041</c:v>
                </c:pt>
                <c:pt idx="14">
                  <c:v>191.32690197075587</c:v>
                </c:pt>
                <c:pt idx="15">
                  <c:v>173.61102777702521</c:v>
                </c:pt>
                <c:pt idx="16">
                  <c:v>187.02947299773433</c:v>
                </c:pt>
                <c:pt idx="17">
                  <c:v>189.92214530143889</c:v>
                </c:pt>
                <c:pt idx="18">
                  <c:v>189.66071055336215</c:v>
                </c:pt>
                <c:pt idx="19">
                  <c:v>168.68205543254317</c:v>
                </c:pt>
                <c:pt idx="20">
                  <c:v>179.59564385840011</c:v>
                </c:pt>
                <c:pt idx="21">
                  <c:v>164.57613062598259</c:v>
                </c:pt>
                <c:pt idx="22">
                  <c:v>175.59868555038568</c:v>
                </c:pt>
                <c:pt idx="23">
                  <c:v>161.77344632150277</c:v>
                </c:pt>
                <c:pt idx="24">
                  <c:v>172.20558065338074</c:v>
                </c:pt>
                <c:pt idx="25">
                  <c:v>159.18747402208436</c:v>
                </c:pt>
                <c:pt idx="26">
                  <c:v>169.03249364203813</c:v>
                </c:pt>
                <c:pt idx="27">
                  <c:v>156.73611353147783</c:v>
                </c:pt>
                <c:pt idx="28">
                  <c:v>166.03895271807755</c:v>
                </c:pt>
                <c:pt idx="29">
                  <c:v>154.40502932130397</c:v>
                </c:pt>
                <c:pt idx="30">
                  <c:v>163.20873148094276</c:v>
                </c:pt>
                <c:pt idx="31">
                  <c:v>152.18517709302805</c:v>
                </c:pt>
                <c:pt idx="32">
                  <c:v>160.52863684082305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71-4A4A-B8CD-4EA19BB47B8D}"/>
            </c:ext>
          </c:extLst>
        </c:ser>
        <c:ser>
          <c:idx val="1"/>
          <c:order val="1"/>
          <c:tx>
            <c:strRef>
              <c:f>'Process water'!$AJ$319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water'!$A$122:$A$154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water'!$AJ$321:$AJ$353</c:f>
              <c:numCache>
                <c:formatCode>0</c:formatCode>
                <c:ptCount val="33"/>
                <c:pt idx="0" formatCode="General">
                  <c:v>461</c:v>
                </c:pt>
                <c:pt idx="1">
                  <c:v>471.01355231680321</c:v>
                </c:pt>
                <c:pt idx="2">
                  <c:v>543.90781674529717</c:v>
                </c:pt>
                <c:pt idx="3">
                  <c:v>433.29235775506817</c:v>
                </c:pt>
                <c:pt idx="4">
                  <c:v>506.75512083650455</c:v>
                </c:pt>
                <c:pt idx="5">
                  <c:v>481.09574859942865</c:v>
                </c:pt>
                <c:pt idx="6">
                  <c:v>496.10081167215753</c:v>
                </c:pt>
                <c:pt idx="7">
                  <c:v>488.5329769552352</c:v>
                </c:pt>
                <c:pt idx="8">
                  <c:v>482.58699294375452</c:v>
                </c:pt>
                <c:pt idx="9">
                  <c:v>390.18934051418614</c:v>
                </c:pt>
                <c:pt idx="10">
                  <c:v>452.63347045635624</c:v>
                </c:pt>
                <c:pt idx="11">
                  <c:v>462.33419027776722</c:v>
                </c:pt>
                <c:pt idx="12">
                  <c:v>452.39463786238872</c:v>
                </c:pt>
                <c:pt idx="13">
                  <c:v>454.30618255868495</c:v>
                </c:pt>
                <c:pt idx="14">
                  <c:v>440.36780412112131</c:v>
                </c:pt>
                <c:pt idx="15">
                  <c:v>444.23828680094022</c:v>
                </c:pt>
                <c:pt idx="16">
                  <c:v>428.32597485348407</c:v>
                </c:pt>
                <c:pt idx="17">
                  <c:v>481.2881655695648</c:v>
                </c:pt>
                <c:pt idx="18">
                  <c:v>424.94317836901337</c:v>
                </c:pt>
                <c:pt idx="19">
                  <c:v>426.88779434823869</c:v>
                </c:pt>
                <c:pt idx="20">
                  <c:v>407.02155758944173</c:v>
                </c:pt>
                <c:pt idx="21">
                  <c:v>416.68942948180393</c:v>
                </c:pt>
                <c:pt idx="22">
                  <c:v>396.64799161784288</c:v>
                </c:pt>
                <c:pt idx="23">
                  <c:v>408.28663074744014</c:v>
                </c:pt>
                <c:pt idx="24">
                  <c:v>387.33589618195208</c:v>
                </c:pt>
                <c:pt idx="25">
                  <c:v>400.37433091628844</c:v>
                </c:pt>
                <c:pt idx="26">
                  <c:v>378.59944593118325</c:v>
                </c:pt>
                <c:pt idx="27">
                  <c:v>392.83893619859384</c:v>
                </c:pt>
                <c:pt idx="28">
                  <c:v>370.36142937119092</c:v>
                </c:pt>
                <c:pt idx="29">
                  <c:v>385.6485324416654</c:v>
                </c:pt>
                <c:pt idx="30">
                  <c:v>362.57682279667898</c:v>
                </c:pt>
                <c:pt idx="31">
                  <c:v>378.77883005856052</c:v>
                </c:pt>
                <c:pt idx="32">
                  <c:v>355.2073029589389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71-4A4A-B8CD-4EA19BB47B8D}"/>
            </c:ext>
          </c:extLst>
        </c:ser>
        <c:ser>
          <c:idx val="2"/>
          <c:order val="2"/>
          <c:tx>
            <c:strRef>
              <c:f>'Process water'!$AK$319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water'!$A$321:$A$353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water'!$AK$321:$AK$353</c:f>
              <c:numCache>
                <c:formatCode>0</c:formatCode>
                <c:ptCount val="33"/>
                <c:pt idx="0" formatCode="General">
                  <c:v>461</c:v>
                </c:pt>
                <c:pt idx="1">
                  <c:v>214.65983869215563</c:v>
                </c:pt>
                <c:pt idx="2">
                  <c:v>228.33033951492362</c:v>
                </c:pt>
                <c:pt idx="3">
                  <c:v>171.61908838431808</c:v>
                </c:pt>
                <c:pt idx="4">
                  <c:v>207.27229795844212</c:v>
                </c:pt>
                <c:pt idx="5">
                  <c:v>183.03026786860093</c:v>
                </c:pt>
                <c:pt idx="6">
                  <c:v>207.18766292813348</c:v>
                </c:pt>
                <c:pt idx="7">
                  <c:v>185.52641419360637</c:v>
                </c:pt>
                <c:pt idx="8">
                  <c:v>203.97753897838678</c:v>
                </c:pt>
                <c:pt idx="9">
                  <c:v>147.78591722417528</c:v>
                </c:pt>
                <c:pt idx="10">
                  <c:v>186.32315961353623</c:v>
                </c:pt>
                <c:pt idx="11">
                  <c:v>175.64527873112004</c:v>
                </c:pt>
                <c:pt idx="12">
                  <c:v>192.96450752625137</c:v>
                </c:pt>
                <c:pt idx="13">
                  <c:v>174.45866434756263</c:v>
                </c:pt>
                <c:pt idx="14">
                  <c:v>189.20902478167244</c:v>
                </c:pt>
                <c:pt idx="15">
                  <c:v>171.2700134385139</c:v>
                </c:pt>
                <c:pt idx="16">
                  <c:v>184.97570557674487</c:v>
                </c:pt>
                <c:pt idx="17">
                  <c:v>187.40021446955788</c:v>
                </c:pt>
                <c:pt idx="18">
                  <c:v>187.66667345860645</c:v>
                </c:pt>
                <c:pt idx="19">
                  <c:v>166.44796943811986</c:v>
                </c:pt>
                <c:pt idx="20">
                  <c:v>177.65742517976386</c:v>
                </c:pt>
                <c:pt idx="21">
                  <c:v>162.39167537080462</c:v>
                </c:pt>
                <c:pt idx="22">
                  <c:v>173.71277457233356</c:v>
                </c:pt>
                <c:pt idx="23">
                  <c:v>159.63631415835528</c:v>
                </c:pt>
                <c:pt idx="24">
                  <c:v>170.36881302672251</c:v>
                </c:pt>
                <c:pt idx="25">
                  <c:v>157.09552081187931</c:v>
                </c:pt>
                <c:pt idx="26">
                  <c:v>167.24200573708018</c:v>
                </c:pt>
                <c:pt idx="27">
                  <c:v>154.68734323660564</c:v>
                </c:pt>
                <c:pt idx="28">
                  <c:v>164.29214336397101</c:v>
                </c:pt>
                <c:pt idx="29">
                  <c:v>152.39758039090509</c:v>
                </c:pt>
                <c:pt idx="30">
                  <c:v>161.5032296935297</c:v>
                </c:pt>
                <c:pt idx="31">
                  <c:v>150.21731039443625</c:v>
                </c:pt>
                <c:pt idx="32">
                  <c:v>158.86227444118092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171-4A4A-B8CD-4EA19BB47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323528"/>
        <c:axId val="493393800"/>
      </c:scatterChart>
      <c:valAx>
        <c:axId val="526323528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3393800"/>
        <c:crosses val="autoZero"/>
        <c:crossBetween val="midCat"/>
      </c:valAx>
      <c:valAx>
        <c:axId val="493393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263235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584227579959589"/>
          <c:y val="0.125239717528146"/>
          <c:w val="0.29525416347292871"/>
          <c:h val="0.16831667531529901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CALCIUM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water'!$AI$359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water'!$A$122:$A$153</c:f>
              <c:numCache>
                <c:formatCode>General</c:formatCode>
                <c:ptCount val="32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</c:numCache>
            </c:numRef>
          </c:xVal>
          <c:yVal>
            <c:numRef>
              <c:f>'Process water'!$AF$361:$AF$392</c:f>
              <c:numCache>
                <c:formatCode>0.0</c:formatCode>
                <c:ptCount val="32"/>
                <c:pt idx="0" formatCode="General">
                  <c:v>174</c:v>
                </c:pt>
                <c:pt idx="1">
                  <c:v>84.756001393484468</c:v>
                </c:pt>
                <c:pt idx="2">
                  <c:v>90.759903621973351</c:v>
                </c:pt>
                <c:pt idx="3">
                  <c:v>68.770494001193541</c:v>
                </c:pt>
                <c:pt idx="4">
                  <c:v>83.040795698509285</c:v>
                </c:pt>
                <c:pt idx="5">
                  <c:v>72.181616892958459</c:v>
                </c:pt>
                <c:pt idx="6">
                  <c:v>82.77191480869503</c:v>
                </c:pt>
                <c:pt idx="7">
                  <c:v>72.930785349796096</c:v>
                </c:pt>
                <c:pt idx="8">
                  <c:v>81.619140232715225</c:v>
                </c:pt>
                <c:pt idx="9">
                  <c:v>58.292362576867291</c:v>
                </c:pt>
                <c:pt idx="10">
                  <c:v>75.012451419646894</c:v>
                </c:pt>
                <c:pt idx="11">
                  <c:v>69.571710069905507</c:v>
                </c:pt>
                <c:pt idx="12">
                  <c:v>77.861524725870993</c:v>
                </c:pt>
                <c:pt idx="13">
                  <c:v>69.353119985020541</c:v>
                </c:pt>
                <c:pt idx="14">
                  <c:v>76.645424197625147</c:v>
                </c:pt>
                <c:pt idx="15">
                  <c:v>68.340926205063056</c:v>
                </c:pt>
                <c:pt idx="16">
                  <c:v>75.227260382943484</c:v>
                </c:pt>
                <c:pt idx="17">
                  <c:v>75.055784892557469</c:v>
                </c:pt>
                <c:pt idx="18">
                  <c:v>76.533918853269228</c:v>
                </c:pt>
                <c:pt idx="19">
                  <c:v>66.892724914622136</c:v>
                </c:pt>
                <c:pt idx="20">
                  <c:v>72.798604681608722</c:v>
                </c:pt>
                <c:pt idx="21">
                  <c:v>65.498886172976157</c:v>
                </c:pt>
                <c:pt idx="22">
                  <c:v>71.450272997365801</c:v>
                </c:pt>
                <c:pt idx="23">
                  <c:v>64.608949545246972</c:v>
                </c:pt>
                <c:pt idx="24">
                  <c:v>70.327315884829275</c:v>
                </c:pt>
                <c:pt idx="25">
                  <c:v>63.793754143448304</c:v>
                </c:pt>
                <c:pt idx="26">
                  <c:v>69.278955589977414</c:v>
                </c:pt>
                <c:pt idx="27">
                  <c:v>63.021628183014236</c:v>
                </c:pt>
                <c:pt idx="28">
                  <c:v>68.290199745328138</c:v>
                </c:pt>
                <c:pt idx="29">
                  <c:v>62.287641683391492</c:v>
                </c:pt>
                <c:pt idx="30">
                  <c:v>67.355542486261967</c:v>
                </c:pt>
                <c:pt idx="31">
                  <c:v>61.588887584439419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442-4D40-9AFC-747F6D46F3DA}"/>
            </c:ext>
          </c:extLst>
        </c:ser>
        <c:ser>
          <c:idx val="1"/>
          <c:order val="1"/>
          <c:tx>
            <c:strRef>
              <c:f>'Process water'!$AJ$359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water'!$A$361:$A$393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water'!$AJ$361:$AJ$393</c:f>
              <c:numCache>
                <c:formatCode>0.0</c:formatCode>
                <c:ptCount val="33"/>
                <c:pt idx="0" formatCode="General">
                  <c:v>174</c:v>
                </c:pt>
                <c:pt idx="1">
                  <c:v>169.56458848197403</c:v>
                </c:pt>
                <c:pt idx="2">
                  <c:v>198.38111483697605</c:v>
                </c:pt>
                <c:pt idx="3">
                  <c:v>159.36003932258953</c:v>
                </c:pt>
                <c:pt idx="4">
                  <c:v>186.31423834830798</c:v>
                </c:pt>
                <c:pt idx="5">
                  <c:v>176.24549767420822</c:v>
                </c:pt>
                <c:pt idx="6">
                  <c:v>182.09683180199573</c:v>
                </c:pt>
                <c:pt idx="7">
                  <c:v>178.84736298045064</c:v>
                </c:pt>
                <c:pt idx="8">
                  <c:v>177.33861119256716</c:v>
                </c:pt>
                <c:pt idx="9">
                  <c:v>143.06375114290336</c:v>
                </c:pt>
                <c:pt idx="10">
                  <c:v>167.42368592731765</c:v>
                </c:pt>
                <c:pt idx="11">
                  <c:v>170.07750804012971</c:v>
                </c:pt>
                <c:pt idx="12">
                  <c:v>167.22388364226234</c:v>
                </c:pt>
                <c:pt idx="13">
                  <c:v>167.37100182066123</c:v>
                </c:pt>
                <c:pt idx="14">
                  <c:v>163.18674684531968</c:v>
                </c:pt>
                <c:pt idx="15">
                  <c:v>164.00014489642695</c:v>
                </c:pt>
                <c:pt idx="16">
                  <c:v>159.14891076914583</c:v>
                </c:pt>
                <c:pt idx="17">
                  <c:v>178.10766672118842</c:v>
                </c:pt>
                <c:pt idx="18">
                  <c:v>158.01485102356489</c:v>
                </c:pt>
                <c:pt idx="19">
                  <c:v>158.18260605723785</c:v>
                </c:pt>
                <c:pt idx="20">
                  <c:v>151.99866826142406</c:v>
                </c:pt>
                <c:pt idx="21">
                  <c:v>154.76074140341052</c:v>
                </c:pt>
                <c:pt idx="22">
                  <c:v>148.51292388085338</c:v>
                </c:pt>
                <c:pt idx="23">
                  <c:v>151.93707462494217</c:v>
                </c:pt>
                <c:pt idx="24">
                  <c:v>145.38185664234422</c:v>
                </c:pt>
                <c:pt idx="25">
                  <c:v>149.2757635165149</c:v>
                </c:pt>
                <c:pt idx="26">
                  <c:v>142.44240070306233</c:v>
                </c:pt>
                <c:pt idx="27">
                  <c:v>146.73908452724905</c:v>
                </c:pt>
                <c:pt idx="28">
                  <c:v>139.6688390247713</c:v>
                </c:pt>
                <c:pt idx="29">
                  <c:v>144.31661223933057</c:v>
                </c:pt>
                <c:pt idx="30">
                  <c:v>137.04625978635767</c:v>
                </c:pt>
                <c:pt idx="31">
                  <c:v>142.00043730427407</c:v>
                </c:pt>
                <c:pt idx="32">
                  <c:v>134.56197484784207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442-4D40-9AFC-747F6D46F3DA}"/>
            </c:ext>
          </c:extLst>
        </c:ser>
        <c:ser>
          <c:idx val="2"/>
          <c:order val="2"/>
          <c:tx>
            <c:strRef>
              <c:f>'Process water'!$AK$359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water'!$A$361:$A$393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water'!$AK$361:$AK$393</c:f>
              <c:numCache>
                <c:formatCode>0.0</c:formatCode>
                <c:ptCount val="33"/>
                <c:pt idx="0" formatCode="General">
                  <c:v>174</c:v>
                </c:pt>
                <c:pt idx="1">
                  <c:v>97.655155685136364</c:v>
                </c:pt>
                <c:pt idx="2">
                  <c:v>107.12879569027652</c:v>
                </c:pt>
                <c:pt idx="3">
                  <c:v>82.548916239168463</c:v>
                </c:pt>
                <c:pt idx="4">
                  <c:v>98.748404051657019</c:v>
                </c:pt>
                <c:pt idx="5">
                  <c:v>88.009448725421478</c:v>
                </c:pt>
                <c:pt idx="6">
                  <c:v>97.878963201864039</c:v>
                </c:pt>
                <c:pt idx="7">
                  <c:v>89.04040730913853</c:v>
                </c:pt>
                <c:pt idx="8">
                  <c:v>96.177810138843142</c:v>
                </c:pt>
                <c:pt idx="9">
                  <c:v>71.185859074927492</c:v>
                </c:pt>
                <c:pt idx="10">
                  <c:v>89.067947603691394</c:v>
                </c:pt>
                <c:pt idx="11">
                  <c:v>84.858367232001669</c:v>
                </c:pt>
                <c:pt idx="12">
                  <c:v>91.45329526587274</c:v>
                </c:pt>
                <c:pt idx="13">
                  <c:v>84.261371903185477</c:v>
                </c:pt>
                <c:pt idx="14">
                  <c:v>89.808122831803274</c:v>
                </c:pt>
                <c:pt idx="15">
                  <c:v>82.890431905839492</c:v>
                </c:pt>
                <c:pt idx="16">
                  <c:v>87.991514026412247</c:v>
                </c:pt>
                <c:pt idx="17">
                  <c:v>90.72969445039044</c:v>
                </c:pt>
                <c:pt idx="18">
                  <c:v>88.926945927232978</c:v>
                </c:pt>
                <c:pt idx="19">
                  <c:v>80.777666316799838</c:v>
                </c:pt>
                <c:pt idx="20">
                  <c:v>84.844717877183129</c:v>
                </c:pt>
                <c:pt idx="21">
                  <c:v>79.075370377047264</c:v>
                </c:pt>
                <c:pt idx="22">
                  <c:v>83.17129156394823</c:v>
                </c:pt>
                <c:pt idx="23">
                  <c:v>77.891318678791336</c:v>
                </c:pt>
                <c:pt idx="24">
                  <c:v>81.742906389952282</c:v>
                </c:pt>
                <c:pt idx="25">
                  <c:v>76.795334123941501</c:v>
                </c:pt>
                <c:pt idx="26">
                  <c:v>80.40691561645184</c:v>
                </c:pt>
                <c:pt idx="27">
                  <c:v>75.754824470816573</c:v>
                </c:pt>
                <c:pt idx="28">
                  <c:v>79.146695682856418</c:v>
                </c:pt>
                <c:pt idx="29">
                  <c:v>74.764023897876427</c:v>
                </c:pt>
                <c:pt idx="30">
                  <c:v>77.95531010427284</c:v>
                </c:pt>
                <c:pt idx="31">
                  <c:v>73.819264510595772</c:v>
                </c:pt>
                <c:pt idx="32">
                  <c:v>76.82709738475404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442-4D40-9AFC-747F6D46F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82312"/>
        <c:axId val="493640184"/>
      </c:scatterChart>
      <c:valAx>
        <c:axId val="526082312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3640184"/>
        <c:crosses val="autoZero"/>
        <c:crossBetween val="midCat"/>
      </c:valAx>
      <c:valAx>
        <c:axId val="493640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26082312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NO3-N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water'!$AI$395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water'!$A$397:$A$429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water'!$AI$397:$AI$429</c:f>
              <c:numCache>
                <c:formatCode>0.0</c:formatCode>
                <c:ptCount val="33"/>
                <c:pt idx="0" formatCode="General">
                  <c:v>7.5</c:v>
                </c:pt>
                <c:pt idx="1">
                  <c:v>6.3260517313113835</c:v>
                </c:pt>
                <c:pt idx="2">
                  <c:v>6.1096998007732308</c:v>
                </c:pt>
                <c:pt idx="3">
                  <c:v>5.9942886246489335</c:v>
                </c:pt>
                <c:pt idx="4">
                  <c:v>5.8075588070960658</c:v>
                </c:pt>
                <c:pt idx="5">
                  <c:v>6.0214923105139153</c:v>
                </c:pt>
                <c:pt idx="6">
                  <c:v>5.6545664790967773</c:v>
                </c:pt>
                <c:pt idx="7">
                  <c:v>5.9149183698112218</c:v>
                </c:pt>
                <c:pt idx="8">
                  <c:v>5.4642077558342823</c:v>
                </c:pt>
                <c:pt idx="9">
                  <c:v>4.6683763758678323</c:v>
                </c:pt>
                <c:pt idx="10">
                  <c:v>4.8738615464220514</c:v>
                </c:pt>
                <c:pt idx="11">
                  <c:v>5.4861388185250899</c:v>
                </c:pt>
                <c:pt idx="12">
                  <c:v>5.0391907635558253</c:v>
                </c:pt>
                <c:pt idx="13">
                  <c:v>5.397600908541734</c:v>
                </c:pt>
                <c:pt idx="14">
                  <c:v>4.8864321283489645</c:v>
                </c:pt>
                <c:pt idx="15">
                  <c:v>5.2501992627573326</c:v>
                </c:pt>
                <c:pt idx="16">
                  <c:v>4.7212012574726838</c:v>
                </c:pt>
                <c:pt idx="17">
                  <c:v>5.6822444190978247</c:v>
                </c:pt>
                <c:pt idx="18">
                  <c:v>4.7625749960119546</c:v>
                </c:pt>
                <c:pt idx="19">
                  <c:v>5.0092763259615776</c:v>
                </c:pt>
                <c:pt idx="20">
                  <c:v>4.4315864868262453</c:v>
                </c:pt>
                <c:pt idx="21">
                  <c:v>4.844069134888521</c:v>
                </c:pt>
                <c:pt idx="22">
                  <c:v>4.2815291871659431</c:v>
                </c:pt>
                <c:pt idx="23">
                  <c:v>4.7195059572568763</c:v>
                </c:pt>
                <c:pt idx="24">
                  <c:v>4.1510784728377352</c:v>
                </c:pt>
                <c:pt idx="25">
                  <c:v>4.6033767902045293</c:v>
                </c:pt>
                <c:pt idx="26">
                  <c:v>4.0287734668341422</c:v>
                </c:pt>
                <c:pt idx="27">
                  <c:v>4.4931130642920287</c:v>
                </c:pt>
                <c:pt idx="28">
                  <c:v>3.9132946487253299</c:v>
                </c:pt>
                <c:pt idx="29">
                  <c:v>4.3881587240442723</c:v>
                </c:pt>
                <c:pt idx="30">
                  <c:v>3.804049755692636</c:v>
                </c:pt>
                <c:pt idx="31">
                  <c:v>4.2881259868889465</c:v>
                </c:pt>
                <c:pt idx="32">
                  <c:v>3.7005467183085492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45-604C-A47E-4066C95BF535}"/>
            </c:ext>
          </c:extLst>
        </c:ser>
        <c:ser>
          <c:idx val="1"/>
          <c:order val="1"/>
          <c:tx>
            <c:strRef>
              <c:f>'Process water'!$AJ$395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water'!$A$397:$A$429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water'!$AJ$397:$AJ$435</c:f>
              <c:numCache>
                <c:formatCode>0.0</c:formatCode>
                <c:ptCount val="39"/>
                <c:pt idx="0" formatCode="General">
                  <c:v>7.5</c:v>
                </c:pt>
                <c:pt idx="1">
                  <c:v>9.413798603815243</c:v>
                </c:pt>
                <c:pt idx="2">
                  <c:v>10.028018331389374</c:v>
                </c:pt>
                <c:pt idx="3">
                  <c:v>9.2925110670984097</c:v>
                </c:pt>
                <c:pt idx="4">
                  <c:v>9.5675819427474096</c:v>
                </c:pt>
                <c:pt idx="5">
                  <c:v>9.810294051635351</c:v>
                </c:pt>
                <c:pt idx="6">
                  <c:v>9.2708300242937778</c:v>
                </c:pt>
                <c:pt idx="7">
                  <c:v>9.7711738806373507</c:v>
                </c:pt>
                <c:pt idx="8">
                  <c:v>8.9492026984527833</c:v>
                </c:pt>
                <c:pt idx="9">
                  <c:v>7.7547689088488836</c:v>
                </c:pt>
                <c:pt idx="10">
                  <c:v>8.2384088184754543</c:v>
                </c:pt>
                <c:pt idx="11">
                  <c:v>9.1453963772821805</c:v>
                </c:pt>
                <c:pt idx="12">
                  <c:v>8.2927332848544069</c:v>
                </c:pt>
                <c:pt idx="13">
                  <c:v>8.9662773654630321</c:v>
                </c:pt>
                <c:pt idx="14">
                  <c:v>8.037265169217223</c:v>
                </c:pt>
                <c:pt idx="15">
                  <c:v>8.733000515326605</c:v>
                </c:pt>
                <c:pt idx="16">
                  <c:v>7.7766561637663436</c:v>
                </c:pt>
                <c:pt idx="17">
                  <c:v>9.434200874757007</c:v>
                </c:pt>
                <c:pt idx="18">
                  <c:v>7.7291672022353293</c:v>
                </c:pt>
                <c:pt idx="19">
                  <c:v>8.3329968908997252</c:v>
                </c:pt>
                <c:pt idx="20">
                  <c:v>7.3151358656823913</c:v>
                </c:pt>
                <c:pt idx="21">
                  <c:v>8.093952475523416</c:v>
                </c:pt>
                <c:pt idx="22">
                  <c:v>7.0872587414629367</c:v>
                </c:pt>
                <c:pt idx="23">
                  <c:v>7.8989852335134652</c:v>
                </c:pt>
                <c:pt idx="24">
                  <c:v>6.8836959051906881</c:v>
                </c:pt>
                <c:pt idx="25">
                  <c:v>7.7156419057833219</c:v>
                </c:pt>
                <c:pt idx="26">
                  <c:v>6.6925390899286556</c:v>
                </c:pt>
                <c:pt idx="27">
                  <c:v>7.5411335876285559</c:v>
                </c:pt>
                <c:pt idx="28">
                  <c:v>6.5120783069027341</c:v>
                </c:pt>
                <c:pt idx="29">
                  <c:v>7.3747041433723162</c:v>
                </c:pt>
                <c:pt idx="30">
                  <c:v>6.3413788372559683</c:v>
                </c:pt>
                <c:pt idx="31">
                  <c:v>7.2157836650146381</c:v>
                </c:pt>
                <c:pt idx="32">
                  <c:v>6.1796468917823599</c:v>
                </c:pt>
                <c:pt idx="33" formatCode="General">
                  <c:v>0</c:v>
                </c:pt>
                <c:pt idx="34" formatCode="General">
                  <c:v>0</c:v>
                </c:pt>
                <c:pt idx="35" formatCode="General">
                  <c:v>0</c:v>
                </c:pt>
                <c:pt idx="36" formatCode="General">
                  <c:v>0.04</c:v>
                </c:pt>
                <c:pt idx="37" formatCode="0.000">
                  <c:v>6.0517248289033369E-2</c:v>
                </c:pt>
                <c:pt idx="38" formatCode="0.000">
                  <c:v>8.9968466392893173E-2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45-604C-A47E-4066C95BF535}"/>
            </c:ext>
          </c:extLst>
        </c:ser>
        <c:ser>
          <c:idx val="2"/>
          <c:order val="2"/>
          <c:tx>
            <c:strRef>
              <c:f>'Process water'!$AK$395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water'!$A$397:$A$429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water'!$AK$397:$AK$429</c:f>
              <c:numCache>
                <c:formatCode>0.0</c:formatCode>
                <c:ptCount val="33"/>
                <c:pt idx="0" formatCode="General">
                  <c:v>7.5</c:v>
                </c:pt>
                <c:pt idx="1">
                  <c:v>6.3260517313113835</c:v>
                </c:pt>
                <c:pt idx="2">
                  <c:v>6.1096998007732308</c:v>
                </c:pt>
                <c:pt idx="3">
                  <c:v>5.9942886246489335</c:v>
                </c:pt>
                <c:pt idx="4">
                  <c:v>5.8075588070960658</c:v>
                </c:pt>
                <c:pt idx="5">
                  <c:v>6.0214923105139153</c:v>
                </c:pt>
                <c:pt idx="6">
                  <c:v>5.6545664790967773</c:v>
                </c:pt>
                <c:pt idx="7">
                  <c:v>5.9149183698112218</c:v>
                </c:pt>
                <c:pt idx="8">
                  <c:v>5.4642077558342823</c:v>
                </c:pt>
                <c:pt idx="9">
                  <c:v>4.6683763758678323</c:v>
                </c:pt>
                <c:pt idx="10">
                  <c:v>4.8738615464220514</c:v>
                </c:pt>
                <c:pt idx="11">
                  <c:v>5.4861388185250899</c:v>
                </c:pt>
                <c:pt idx="12">
                  <c:v>5.0391907635558253</c:v>
                </c:pt>
                <c:pt idx="13">
                  <c:v>5.397600908541734</c:v>
                </c:pt>
                <c:pt idx="14">
                  <c:v>4.8864321283489645</c:v>
                </c:pt>
                <c:pt idx="15">
                  <c:v>5.2501992627573326</c:v>
                </c:pt>
                <c:pt idx="16">
                  <c:v>4.7212012574726838</c:v>
                </c:pt>
                <c:pt idx="17">
                  <c:v>5.6822444190978247</c:v>
                </c:pt>
                <c:pt idx="18">
                  <c:v>4.7625749960119546</c:v>
                </c:pt>
                <c:pt idx="19">
                  <c:v>5.0092763259615776</c:v>
                </c:pt>
                <c:pt idx="20">
                  <c:v>4.4315864868262453</c:v>
                </c:pt>
                <c:pt idx="21">
                  <c:v>4.844069134888521</c:v>
                </c:pt>
                <c:pt idx="22">
                  <c:v>4.2815291871659431</c:v>
                </c:pt>
                <c:pt idx="23">
                  <c:v>4.7195059572568763</c:v>
                </c:pt>
                <c:pt idx="24">
                  <c:v>4.1510784728377352</c:v>
                </c:pt>
                <c:pt idx="25">
                  <c:v>4.6033767902045293</c:v>
                </c:pt>
                <c:pt idx="26">
                  <c:v>4.0287734668341422</c:v>
                </c:pt>
                <c:pt idx="27">
                  <c:v>4.4931130642920287</c:v>
                </c:pt>
                <c:pt idx="28">
                  <c:v>3.9132946487253299</c:v>
                </c:pt>
                <c:pt idx="29">
                  <c:v>4.3881587240442723</c:v>
                </c:pt>
                <c:pt idx="30">
                  <c:v>3.804049755692636</c:v>
                </c:pt>
                <c:pt idx="31">
                  <c:v>4.2881259868889465</c:v>
                </c:pt>
                <c:pt idx="32">
                  <c:v>3.7005467183085492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45-604C-A47E-4066C95BF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381480"/>
        <c:axId val="497315480"/>
      </c:scatterChart>
      <c:valAx>
        <c:axId val="510381480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7315480"/>
        <c:crosses val="autoZero"/>
        <c:crossBetween val="midCat"/>
      </c:valAx>
      <c:valAx>
        <c:axId val="497315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510381480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PO4-P IN DISCHARGE WATER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'Process water'!$AI$431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water'!$AI$433:$AI$465</c:f>
              <c:numCache>
                <c:formatCode>0.000</c:formatCode>
                <c:ptCount val="33"/>
                <c:pt idx="0" formatCode="General">
                  <c:v>0.04</c:v>
                </c:pt>
                <c:pt idx="1">
                  <c:v>5.7848687794251494E-2</c:v>
                </c:pt>
                <c:pt idx="2">
                  <c:v>8.6582090997330052E-2</c:v>
                </c:pt>
                <c:pt idx="3">
                  <c:v>6.9446513167627608E-2</c:v>
                </c:pt>
                <c:pt idx="4">
                  <c:v>8.8348239211494428E-2</c:v>
                </c:pt>
                <c:pt idx="5">
                  <c:v>7.3947105244383582E-2</c:v>
                </c:pt>
                <c:pt idx="6">
                  <c:v>8.7601619190803073E-2</c:v>
                </c:pt>
                <c:pt idx="7">
                  <c:v>7.3919761723989966E-2</c:v>
                </c:pt>
                <c:pt idx="8">
                  <c:v>8.5346308148775196E-2</c:v>
                </c:pt>
                <c:pt idx="9">
                  <c:v>5.8436158362051141E-2</c:v>
                </c:pt>
                <c:pt idx="10">
                  <c:v>7.7677351838445569E-2</c:v>
                </c:pt>
                <c:pt idx="11">
                  <c:v>6.9052711891308849E-2</c:v>
                </c:pt>
                <c:pt idx="12">
                  <c:v>7.958781755261049E-2</c:v>
                </c:pt>
                <c:pt idx="13">
                  <c:v>6.8155748254901505E-2</c:v>
                </c:pt>
                <c:pt idx="14">
                  <c:v>7.7478797661260757E-2</c:v>
                </c:pt>
                <c:pt idx="15">
                  <c:v>6.6501793904427203E-2</c:v>
                </c:pt>
                <c:pt idx="16">
                  <c:v>7.5226741464153701E-2</c:v>
                </c:pt>
                <c:pt idx="17">
                  <c:v>7.2360035710573839E-2</c:v>
                </c:pt>
                <c:pt idx="18">
                  <c:v>7.5667465827758226E-2</c:v>
                </c:pt>
                <c:pt idx="19">
                  <c:v>6.3861449622647851E-2</c:v>
                </c:pt>
                <c:pt idx="20">
                  <c:v>7.1282648711989943E-2</c:v>
                </c:pt>
                <c:pt idx="21">
                  <c:v>6.1944346699036916E-2</c:v>
                </c:pt>
                <c:pt idx="22">
                  <c:v>6.9254155406346843E-2</c:v>
                </c:pt>
                <c:pt idx="23">
                  <c:v>6.054503727821689E-2</c:v>
                </c:pt>
                <c:pt idx="24">
                  <c:v>6.7486601529385432E-2</c:v>
                </c:pt>
                <c:pt idx="25">
                  <c:v>5.9245948327248228E-2</c:v>
                </c:pt>
                <c:pt idx="26">
                  <c:v>6.5830364291284305E-2</c:v>
                </c:pt>
                <c:pt idx="27">
                  <c:v>5.801428637815137E-2</c:v>
                </c:pt>
                <c:pt idx="28">
                  <c:v>6.4267613185687855E-2</c:v>
                </c:pt>
                <c:pt idx="29">
                  <c:v>5.6843348089403459E-2</c:v>
                </c:pt>
                <c:pt idx="30">
                  <c:v>6.2790067788424872E-2</c:v>
                </c:pt>
                <c:pt idx="31">
                  <c:v>5.5728579418648755E-2</c:v>
                </c:pt>
                <c:pt idx="32">
                  <c:v>6.1390837686370749E-2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63-8146-B639-F3384CF0E73E}"/>
            </c:ext>
          </c:extLst>
        </c:ser>
        <c:ser>
          <c:idx val="1"/>
          <c:order val="1"/>
          <c:tx>
            <c:strRef>
              <c:f>'Process water'!$AJ$431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water'!$AJ$433:$AJ$465</c:f>
              <c:numCache>
                <c:formatCode>0.000</c:formatCode>
                <c:ptCount val="33"/>
                <c:pt idx="0" formatCode="General">
                  <c:v>0.04</c:v>
                </c:pt>
                <c:pt idx="1">
                  <c:v>6.0517248289033369E-2</c:v>
                </c:pt>
                <c:pt idx="2">
                  <c:v>8.9968466392893173E-2</c:v>
                </c:pt>
                <c:pt idx="3">
                  <c:v>7.2296975487353476E-2</c:v>
                </c:pt>
                <c:pt idx="4">
                  <c:v>9.1597809080260439E-2</c:v>
                </c:pt>
                <c:pt idx="5">
                  <c:v>7.7221546792345927E-2</c:v>
                </c:pt>
                <c:pt idx="6">
                  <c:v>9.0726945985355745E-2</c:v>
                </c:pt>
                <c:pt idx="7">
                  <c:v>7.7252499651963569E-2</c:v>
                </c:pt>
                <c:pt idx="8">
                  <c:v>8.8358187105305408E-2</c:v>
                </c:pt>
                <c:pt idx="9">
                  <c:v>6.1103548379751724E-2</c:v>
                </c:pt>
                <c:pt idx="10">
                  <c:v>8.0585134860745963E-2</c:v>
                </c:pt>
                <c:pt idx="11">
                  <c:v>7.2215195917602337E-2</c:v>
                </c:pt>
                <c:pt idx="12">
                  <c:v>8.239966560846812E-2</c:v>
                </c:pt>
                <c:pt idx="13">
                  <c:v>7.1239948289691227E-2</c:v>
                </c:pt>
                <c:pt idx="14">
                  <c:v>8.0201879871589832E-2</c:v>
                </c:pt>
                <c:pt idx="15">
                  <c:v>6.9511776981908746E-2</c:v>
                </c:pt>
                <c:pt idx="16">
                  <c:v>7.7867393885869496E-2</c:v>
                </c:pt>
                <c:pt idx="17">
                  <c:v>7.560263401578883E-2</c:v>
                </c:pt>
                <c:pt idx="18">
                  <c:v>7.8231319372927863E-2</c:v>
                </c:pt>
                <c:pt idx="19">
                  <c:v>6.6733948490437386E-2</c:v>
                </c:pt>
                <c:pt idx="20">
                  <c:v>7.3774733158966807E-2</c:v>
                </c:pt>
                <c:pt idx="21">
                  <c:v>6.4753032337324185E-2</c:v>
                </c:pt>
                <c:pt idx="22">
                  <c:v>7.1678984693459818E-2</c:v>
                </c:pt>
                <c:pt idx="23">
                  <c:v>6.3292876767959694E-2</c:v>
                </c:pt>
                <c:pt idx="24">
                  <c:v>6.9848244250900401E-2</c:v>
                </c:pt>
                <c:pt idx="25">
                  <c:v>6.1935698517161478E-2</c:v>
                </c:pt>
                <c:pt idx="26">
                  <c:v>6.8132502388305136E-2</c:v>
                </c:pt>
                <c:pt idx="27">
                  <c:v>6.0648513693962555E-2</c:v>
                </c:pt>
                <c:pt idx="28">
                  <c:v>6.6513591140180392E-2</c:v>
                </c:pt>
                <c:pt idx="29">
                  <c:v>5.942444603912881E-2</c:v>
                </c:pt>
                <c:pt idx="30">
                  <c:v>6.4982934117467722E-2</c:v>
                </c:pt>
                <c:pt idx="31">
                  <c:v>5.8258784109862891E-2</c:v>
                </c:pt>
                <c:pt idx="32">
                  <c:v>6.3533380148141416E-2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63-8146-B639-F3384CF0E73E}"/>
            </c:ext>
          </c:extLst>
        </c:ser>
        <c:ser>
          <c:idx val="2"/>
          <c:order val="2"/>
          <c:tx>
            <c:strRef>
              <c:f>'Process water'!$AK$431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water'!$A$433:$A$465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water'!$AK$433:$AK$465</c:f>
              <c:numCache>
                <c:formatCode>0.000</c:formatCode>
                <c:ptCount val="33"/>
                <c:pt idx="0" formatCode="General">
                  <c:v>0.04</c:v>
                </c:pt>
                <c:pt idx="1">
                  <c:v>9.2984734308879546E-2</c:v>
                </c:pt>
                <c:pt idx="2">
                  <c:v>0.13116936703891094</c:v>
                </c:pt>
                <c:pt idx="3">
                  <c:v>0.10697760037735157</c:v>
                </c:pt>
                <c:pt idx="4">
                  <c:v>0.1311342424835803</c:v>
                </c:pt>
                <c:pt idx="5">
                  <c:v>0.11706058562588791</c:v>
                </c:pt>
                <c:pt idx="6">
                  <c:v>0.12875175531908006</c:v>
                </c:pt>
                <c:pt idx="7">
                  <c:v>0.11780081110897583</c:v>
                </c:pt>
                <c:pt idx="8">
                  <c:v>0.12500271440975633</c:v>
                </c:pt>
                <c:pt idx="9">
                  <c:v>9.3556793595108836E-2</c:v>
                </c:pt>
                <c:pt idx="10">
                  <c:v>0.11596316163206728</c:v>
                </c:pt>
                <c:pt idx="11">
                  <c:v>0.11069208490417314</c:v>
                </c:pt>
                <c:pt idx="12">
                  <c:v>0.11661048362140244</c:v>
                </c:pt>
                <c:pt idx="13">
                  <c:v>0.10876438204629979</c:v>
                </c:pt>
                <c:pt idx="14">
                  <c:v>0.11333271343059351</c:v>
                </c:pt>
                <c:pt idx="15">
                  <c:v>0.10613323775793422</c:v>
                </c:pt>
                <c:pt idx="16">
                  <c:v>0.10999533168341177</c:v>
                </c:pt>
                <c:pt idx="17">
                  <c:v>0.11505424672923793</c:v>
                </c:pt>
                <c:pt idx="18">
                  <c:v>0.10942487083915853</c:v>
                </c:pt>
                <c:pt idx="19">
                  <c:v>0.10168268471521015</c:v>
                </c:pt>
                <c:pt idx="20">
                  <c:v>0.10409509393051868</c:v>
                </c:pt>
                <c:pt idx="21">
                  <c:v>9.8925374269819302E-2</c:v>
                </c:pt>
                <c:pt idx="22">
                  <c:v>0.10118107435333459</c:v>
                </c:pt>
                <c:pt idx="23">
                  <c:v>9.6724923893164005E-2</c:v>
                </c:pt>
                <c:pt idx="24">
                  <c:v>9.8581564029332602E-2</c:v>
                </c:pt>
                <c:pt idx="25">
                  <c:v>9.4660992494439392E-2</c:v>
                </c:pt>
                <c:pt idx="26">
                  <c:v>9.6141849235391832E-2</c:v>
                </c:pt>
                <c:pt idx="27">
                  <c:v>9.2698279369665335E-2</c:v>
                </c:pt>
                <c:pt idx="28">
                  <c:v>9.3839656253172907E-2</c:v>
                </c:pt>
                <c:pt idx="29">
                  <c:v>9.0827804427453931E-2</c:v>
                </c:pt>
                <c:pt idx="30">
                  <c:v>9.1662807787489073E-2</c:v>
                </c:pt>
                <c:pt idx="31">
                  <c:v>8.90429411863016E-2</c:v>
                </c:pt>
                <c:pt idx="32">
                  <c:v>8.9600980099684549E-2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63-8146-B639-F3384CF0E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8182488"/>
        <c:axId val="527038200"/>
      </c:scatterChart>
      <c:valAx>
        <c:axId val="498182488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038200"/>
        <c:crosses val="autoZero"/>
        <c:crossBetween val="midCat"/>
      </c:valAx>
      <c:valAx>
        <c:axId val="5270382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98182488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ARSENIC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26307845734784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water'!$AI$277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water'!$AI$507:$AI$539</c:f>
              <c:numCache>
                <c:formatCode>0.0</c:formatCode>
                <c:ptCount val="33"/>
                <c:pt idx="0" formatCode="General">
                  <c:v>0.34</c:v>
                </c:pt>
                <c:pt idx="1">
                  <c:v>16.66775322696747</c:v>
                </c:pt>
                <c:pt idx="2">
                  <c:v>25.120417085360586</c:v>
                </c:pt>
                <c:pt idx="3">
                  <c:v>24.519465813150415</c:v>
                </c:pt>
                <c:pt idx="4">
                  <c:v>26.160690435149359</c:v>
                </c:pt>
                <c:pt idx="5">
                  <c:v>23.768775707663075</c:v>
                </c:pt>
                <c:pt idx="6">
                  <c:v>25.022944120675973</c:v>
                </c:pt>
                <c:pt idx="7">
                  <c:v>22.835576743832416</c:v>
                </c:pt>
                <c:pt idx="8">
                  <c:v>24.01952171408718</c:v>
                </c:pt>
                <c:pt idx="9">
                  <c:v>17.400690590506496</c:v>
                </c:pt>
                <c:pt idx="10">
                  <c:v>21.064929611742564</c:v>
                </c:pt>
                <c:pt idx="11">
                  <c:v>20.837647844746488</c:v>
                </c:pt>
                <c:pt idx="12">
                  <c:v>22.21583112899399</c:v>
                </c:pt>
                <c:pt idx="13">
                  <c:v>20.502565077549978</c:v>
                </c:pt>
                <c:pt idx="14">
                  <c:v>21.4656255695825</c:v>
                </c:pt>
                <c:pt idx="15">
                  <c:v>19.821420052202544</c:v>
                </c:pt>
                <c:pt idx="16">
                  <c:v>20.724732743905115</c:v>
                </c:pt>
                <c:pt idx="17">
                  <c:v>21.662091113920773</c:v>
                </c:pt>
                <c:pt idx="18">
                  <c:v>21.065877721106013</c:v>
                </c:pt>
                <c:pt idx="19">
                  <c:v>18.775560998559431</c:v>
                </c:pt>
                <c:pt idx="20">
                  <c:v>19.40859472458639</c:v>
                </c:pt>
                <c:pt idx="21">
                  <c:v>18.035970140484483</c:v>
                </c:pt>
                <c:pt idx="22">
                  <c:v>18.789084710648726</c:v>
                </c:pt>
                <c:pt idx="23">
                  <c:v>17.514832570969752</c:v>
                </c:pt>
                <c:pt idx="24">
                  <c:v>18.224386437512184</c:v>
                </c:pt>
                <c:pt idx="25">
                  <c:v>17.021201245959084</c:v>
                </c:pt>
                <c:pt idx="26">
                  <c:v>17.690858891587443</c:v>
                </c:pt>
                <c:pt idx="27">
                  <c:v>16.554518518418472</c:v>
                </c:pt>
                <c:pt idx="28">
                  <c:v>17.187602003873522</c:v>
                </c:pt>
                <c:pt idx="29">
                  <c:v>16.112994573781609</c:v>
                </c:pt>
                <c:pt idx="30">
                  <c:v>16.712166404488556</c:v>
                </c:pt>
                <c:pt idx="31">
                  <c:v>15.69464159896776</c:v>
                </c:pt>
                <c:pt idx="32">
                  <c:v>16.26230416869932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BA-854A-BE66-9E787E9BAEF1}"/>
            </c:ext>
          </c:extLst>
        </c:ser>
        <c:ser>
          <c:idx val="1"/>
          <c:order val="1"/>
          <c:tx>
            <c:strRef>
              <c:f>'Process water'!$AJ$277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water'!$AJ$507:$AJ$539</c:f>
              <c:numCache>
                <c:formatCode>0.0</c:formatCode>
                <c:ptCount val="33"/>
                <c:pt idx="0" formatCode="General">
                  <c:v>0.34</c:v>
                </c:pt>
                <c:pt idx="1">
                  <c:v>9.2980096409774191</c:v>
                </c:pt>
                <c:pt idx="2">
                  <c:v>17.455187360702588</c:v>
                </c:pt>
                <c:pt idx="3">
                  <c:v>16.690064590187472</c:v>
                </c:pt>
                <c:pt idx="4">
                  <c:v>18.784607130926407</c:v>
                </c:pt>
                <c:pt idx="5">
                  <c:v>16.196445572964834</c:v>
                </c:pt>
                <c:pt idx="6">
                  <c:v>17.910822283988445</c:v>
                </c:pt>
                <c:pt idx="7">
                  <c:v>15.502316662457485</c:v>
                </c:pt>
                <c:pt idx="8">
                  <c:v>17.149590308490954</c:v>
                </c:pt>
                <c:pt idx="9">
                  <c:v>11.665061608131817</c:v>
                </c:pt>
                <c:pt idx="10">
                  <c:v>14.418223381457846</c:v>
                </c:pt>
                <c:pt idx="11">
                  <c:v>13.935926422285721</c:v>
                </c:pt>
                <c:pt idx="12">
                  <c:v>15.775713480501313</c:v>
                </c:pt>
                <c:pt idx="13">
                  <c:v>13.796386679535685</c:v>
                </c:pt>
                <c:pt idx="14">
                  <c:v>15.217409875202904</c:v>
                </c:pt>
                <c:pt idx="15">
                  <c:v>13.299015332245137</c:v>
                </c:pt>
                <c:pt idx="16">
                  <c:v>14.655378568612967</c:v>
                </c:pt>
                <c:pt idx="17">
                  <c:v>14.622006282705778</c:v>
                </c:pt>
                <c:pt idx="18">
                  <c:v>15.163744778947628</c:v>
                </c:pt>
                <c:pt idx="19">
                  <c:v>12.589596316914758</c:v>
                </c:pt>
                <c:pt idx="20">
                  <c:v>13.6632418129818</c:v>
                </c:pt>
                <c:pt idx="21">
                  <c:v>12.00446148564945</c:v>
                </c:pt>
                <c:pt idx="22">
                  <c:v>13.191104047037626</c:v>
                </c:pt>
                <c:pt idx="23">
                  <c:v>11.629626065049484</c:v>
                </c:pt>
                <c:pt idx="24">
                  <c:v>12.765266125176685</c:v>
                </c:pt>
                <c:pt idx="25">
                  <c:v>11.274803063626868</c:v>
                </c:pt>
                <c:pt idx="26">
                  <c:v>12.362867931590678</c:v>
                </c:pt>
                <c:pt idx="27">
                  <c:v>10.940023670196705</c:v>
                </c:pt>
                <c:pt idx="28">
                  <c:v>11.983693525244837</c:v>
                </c:pt>
                <c:pt idx="29">
                  <c:v>10.624025171286878</c:v>
                </c:pt>
                <c:pt idx="30">
                  <c:v>11.625895727103972</c:v>
                </c:pt>
                <c:pt idx="31">
                  <c:v>10.32529311603917</c:v>
                </c:pt>
                <c:pt idx="32">
                  <c:v>11.287759027883029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BA-854A-BE66-9E787E9BAEF1}"/>
            </c:ext>
          </c:extLst>
        </c:ser>
        <c:ser>
          <c:idx val="2"/>
          <c:order val="2"/>
          <c:tx>
            <c:strRef>
              <c:f>'Process water'!$AK$277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water'!$AK$507:$AK$539</c:f>
              <c:numCache>
                <c:formatCode>0.0</c:formatCode>
                <c:ptCount val="33"/>
                <c:pt idx="0" formatCode="General">
                  <c:v>0.34</c:v>
                </c:pt>
                <c:pt idx="1">
                  <c:v>10.068366113380559</c:v>
                </c:pt>
                <c:pt idx="2">
                  <c:v>18.256430885928161</c:v>
                </c:pt>
                <c:pt idx="3">
                  <c:v>17.508468899207987</c:v>
                </c:pt>
                <c:pt idx="4">
                  <c:v>19.555626291646576</c:v>
                </c:pt>
                <c:pt idx="5">
                  <c:v>16.987978339658028</c:v>
                </c:pt>
                <c:pt idx="6">
                  <c:v>18.654249653677038</c:v>
                </c:pt>
                <c:pt idx="7">
                  <c:v>16.268859528106432</c:v>
                </c:pt>
                <c:pt idx="8">
                  <c:v>17.867701605243173</c:v>
                </c:pt>
                <c:pt idx="9">
                  <c:v>12.264604707334746</c:v>
                </c:pt>
                <c:pt idx="10">
                  <c:v>15.113001036191438</c:v>
                </c:pt>
                <c:pt idx="11">
                  <c:v>14.657360717316465</c:v>
                </c:pt>
                <c:pt idx="12">
                  <c:v>16.448896509960473</c:v>
                </c:pt>
                <c:pt idx="13">
                  <c:v>14.49738093716784</c:v>
                </c:pt>
                <c:pt idx="14">
                  <c:v>15.870533466949899</c:v>
                </c:pt>
                <c:pt idx="15">
                  <c:v>13.980799797745913</c:v>
                </c:pt>
                <c:pt idx="16">
                  <c:v>15.289805834322946</c:v>
                </c:pt>
                <c:pt idx="17">
                  <c:v>15.357903651822326</c:v>
                </c:pt>
                <c:pt idx="18">
                  <c:v>15.780692473249898</c:v>
                </c:pt>
                <c:pt idx="19">
                  <c:v>13.236212834159845</c:v>
                </c:pt>
                <c:pt idx="20">
                  <c:v>14.263801350780192</c:v>
                </c:pt>
                <c:pt idx="21">
                  <c:v>12.634932773611304</c:v>
                </c:pt>
                <c:pt idx="22">
                  <c:v>13.776258820237393</c:v>
                </c:pt>
                <c:pt idx="23">
                  <c:v>12.244804445459268</c:v>
                </c:pt>
                <c:pt idx="24">
                  <c:v>13.33590587907935</c:v>
                </c:pt>
                <c:pt idx="25">
                  <c:v>11.875471863173793</c:v>
                </c:pt>
                <c:pt idx="26">
                  <c:v>12.919800784552013</c:v>
                </c:pt>
                <c:pt idx="27">
                  <c:v>11.526904664784347</c:v>
                </c:pt>
                <c:pt idx="28">
                  <c:v>12.527656083986512</c:v>
                </c:pt>
                <c:pt idx="29">
                  <c:v>11.197785039143469</c:v>
                </c:pt>
                <c:pt idx="30">
                  <c:v>12.157561651569258</c:v>
                </c:pt>
                <c:pt idx="31">
                  <c:v>10.886549055021252</c:v>
                </c:pt>
                <c:pt idx="32">
                  <c:v>11.807746324832467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BA-854A-BE66-9E787E9BA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978536"/>
        <c:axId val="529082664"/>
      </c:scatterChart>
      <c:valAx>
        <c:axId val="277978536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082664"/>
        <c:crosses val="autoZero"/>
        <c:crossBetween val="midCat"/>
      </c:valAx>
      <c:valAx>
        <c:axId val="529082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#\ ##0" sourceLinked="0"/>
        <c:majorTickMark val="out"/>
        <c:minorTickMark val="none"/>
        <c:tickLblPos val="nextTo"/>
        <c:crossAx val="27797853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767132001512898"/>
          <c:y val="0.125239717528146"/>
          <c:w val="0.26317934876044424"/>
          <c:h val="0.1711820048281930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b-NO"/>
              <a:t>CHROMIUM IN DISCHARGE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692273342958801"/>
          <c:y val="0.12194797283577399"/>
          <c:w val="0.826307845734784"/>
          <c:h val="0.6872621438079550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'Process water'!$AI$277</c:f>
              <c:strCache>
                <c:ptCount val="1"/>
                <c:pt idx="0">
                  <c:v>Gruv.-Mert.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water'!$AI$544:$AI$576</c:f>
              <c:numCache>
                <c:formatCode>0.0</c:formatCode>
                <c:ptCount val="33"/>
                <c:pt idx="0" formatCode="General">
                  <c:v>5.0999999999999997E-2</c:v>
                </c:pt>
                <c:pt idx="1">
                  <c:v>0.30976261262200028</c:v>
                </c:pt>
                <c:pt idx="2">
                  <c:v>0.43480799648933843</c:v>
                </c:pt>
                <c:pt idx="3">
                  <c:v>0.40805998797610521</c:v>
                </c:pt>
                <c:pt idx="4">
                  <c:v>0.46008154569740384</c:v>
                </c:pt>
                <c:pt idx="5">
                  <c:v>0.40370104378764121</c:v>
                </c:pt>
                <c:pt idx="6">
                  <c:v>0.44564578899004975</c:v>
                </c:pt>
                <c:pt idx="7">
                  <c:v>0.39137964876156361</c:v>
                </c:pt>
                <c:pt idx="8">
                  <c:v>0.42911290528981361</c:v>
                </c:pt>
                <c:pt idx="9">
                  <c:v>0.3079081144707449</c:v>
                </c:pt>
                <c:pt idx="10">
                  <c:v>0.38671758082919605</c:v>
                </c:pt>
                <c:pt idx="11">
                  <c:v>0.36215400643225998</c:v>
                </c:pt>
                <c:pt idx="12">
                  <c:v>0.39699828441943208</c:v>
                </c:pt>
                <c:pt idx="13">
                  <c:v>0.35646477555869877</c:v>
                </c:pt>
                <c:pt idx="14">
                  <c:v>0.38539982938482892</c:v>
                </c:pt>
                <c:pt idx="15">
                  <c:v>0.34669536352157199</c:v>
                </c:pt>
                <c:pt idx="16">
                  <c:v>0.37293870039654781</c:v>
                </c:pt>
                <c:pt idx="17">
                  <c:v>0.37580262567758538</c:v>
                </c:pt>
                <c:pt idx="18">
                  <c:v>0.37493318065900166</c:v>
                </c:pt>
                <c:pt idx="19">
                  <c:v>0.3308262120810595</c:v>
                </c:pt>
                <c:pt idx="20">
                  <c:v>0.3510412351894428</c:v>
                </c:pt>
                <c:pt idx="21">
                  <c:v>0.31974708764973309</c:v>
                </c:pt>
                <c:pt idx="22">
                  <c:v>0.33974824685531485</c:v>
                </c:pt>
                <c:pt idx="23">
                  <c:v>0.31147190611138209</c:v>
                </c:pt>
                <c:pt idx="24">
                  <c:v>0.32989027162910195</c:v>
                </c:pt>
                <c:pt idx="25">
                  <c:v>0.30377316259836334</c:v>
                </c:pt>
                <c:pt idx="26">
                  <c:v>0.32064200374158863</c:v>
                </c:pt>
                <c:pt idx="27">
                  <c:v>0.29646833909285963</c:v>
                </c:pt>
                <c:pt idx="28">
                  <c:v>0.31190493166599953</c:v>
                </c:pt>
                <c:pt idx="29">
                  <c:v>0.28951894854722093</c:v>
                </c:pt>
                <c:pt idx="30">
                  <c:v>0.30363464725532158</c:v>
                </c:pt>
                <c:pt idx="31">
                  <c:v>0.28289875664185971</c:v>
                </c:pt>
                <c:pt idx="32">
                  <c:v>0.29579434093041385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90-6048-B45E-351F4752DA54}"/>
            </c:ext>
          </c:extLst>
        </c:ser>
        <c:ser>
          <c:idx val="1"/>
          <c:order val="1"/>
          <c:tx>
            <c:strRef>
              <c:f>'Process water'!$AJ$277</c:f>
              <c:strCache>
                <c:ptCount val="1"/>
                <c:pt idx="0">
                  <c:v>Gruv.-Kir.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square"/>
            <c:size val="6"/>
            <c:spPr>
              <a:solidFill>
                <a:srgbClr val="0000FF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water'!$AJ$544:$AJ$576</c:f>
              <c:numCache>
                <c:formatCode>0.0</c:formatCode>
                <c:ptCount val="33"/>
                <c:pt idx="0" formatCode="General">
                  <c:v>5.0999999999999997E-2</c:v>
                </c:pt>
                <c:pt idx="1">
                  <c:v>0.18904484268397864</c:v>
                </c:pt>
                <c:pt idx="2">
                  <c:v>0.28982446438407677</c:v>
                </c:pt>
                <c:pt idx="3">
                  <c:v>0.27911351844598759</c:v>
                </c:pt>
                <c:pt idx="4">
                  <c:v>0.32056705637834976</c:v>
                </c:pt>
                <c:pt idx="5">
                  <c:v>0.27836363075774562</c:v>
                </c:pt>
                <c:pt idx="6">
                  <c:v>0.31112398316225037</c:v>
                </c:pt>
                <c:pt idx="7">
                  <c:v>0.26943883406249863</c:v>
                </c:pt>
                <c:pt idx="8">
                  <c:v>0.29917199597823435</c:v>
                </c:pt>
                <c:pt idx="9">
                  <c:v>0.21031156805512832</c:v>
                </c:pt>
                <c:pt idx="10">
                  <c:v>0.26099885083043878</c:v>
                </c:pt>
                <c:pt idx="11">
                  <c:v>0.24644257427849223</c:v>
                </c:pt>
                <c:pt idx="12">
                  <c:v>0.27518706187403597</c:v>
                </c:pt>
                <c:pt idx="13">
                  <c:v>0.24361765914417222</c:v>
                </c:pt>
                <c:pt idx="14">
                  <c:v>0.26721832494634284</c:v>
                </c:pt>
                <c:pt idx="15">
                  <c:v>0.2365637550270307</c:v>
                </c:pt>
                <c:pt idx="16">
                  <c:v>0.25814026153163377</c:v>
                </c:pt>
                <c:pt idx="17">
                  <c:v>0.25715990980099079</c:v>
                </c:pt>
                <c:pt idx="18">
                  <c:v>0.26329763787073607</c:v>
                </c:pt>
                <c:pt idx="19">
                  <c:v>0.22572498308242236</c:v>
                </c:pt>
                <c:pt idx="20">
                  <c:v>0.24237109897211656</c:v>
                </c:pt>
                <c:pt idx="21">
                  <c:v>0.2169807068636635</c:v>
                </c:pt>
                <c:pt idx="22">
                  <c:v>0.23386557426476748</c:v>
                </c:pt>
                <c:pt idx="23">
                  <c:v>0.2109318116656014</c:v>
                </c:pt>
                <c:pt idx="24">
                  <c:v>0.22663406490069968</c:v>
                </c:pt>
                <c:pt idx="25">
                  <c:v>0.2053584847618696</c:v>
                </c:pt>
                <c:pt idx="26">
                  <c:v>0.2198660353553703</c:v>
                </c:pt>
                <c:pt idx="27">
                  <c:v>0.20008517547943475</c:v>
                </c:pt>
                <c:pt idx="28">
                  <c:v>0.2134759139997654</c:v>
                </c:pt>
                <c:pt idx="29">
                  <c:v>0.19507972361873513</c:v>
                </c:pt>
                <c:pt idx="30">
                  <c:v>0.2074306827898546</c:v>
                </c:pt>
                <c:pt idx="31">
                  <c:v>0.19032165395030617</c:v>
                </c:pt>
                <c:pt idx="32">
                  <c:v>0.20170360248685185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590-6048-B45E-351F4752DA54}"/>
            </c:ext>
          </c:extLst>
        </c:ser>
        <c:ser>
          <c:idx val="2"/>
          <c:order val="2"/>
          <c:tx>
            <c:strRef>
              <c:f>'Process water'!$AK$277</c:f>
              <c:strCache>
                <c:ptCount val="1"/>
                <c:pt idx="0">
                  <c:v>Gruv.-Lev.</c:v>
                </c:pt>
              </c:strCache>
            </c:strRef>
          </c:tx>
          <c:marker>
            <c:spPr>
              <a:ln>
                <a:solidFill>
                  <a:schemeClr val="tx1"/>
                </a:solidFill>
              </a:ln>
            </c:spPr>
          </c:marker>
          <c:xVal>
            <c:numRef>
              <c:f>'Process water'!$A$279:$A$311</c:f>
              <c:numCache>
                <c:formatCode>General</c:formatCode>
                <c:ptCount val="33"/>
                <c:pt idx="0">
                  <c:v>2014.5</c:v>
                </c:pt>
                <c:pt idx="1">
                  <c:v>2015</c:v>
                </c:pt>
                <c:pt idx="2">
                  <c:v>2015.5</c:v>
                </c:pt>
                <c:pt idx="3">
                  <c:v>2016</c:v>
                </c:pt>
                <c:pt idx="4">
                  <c:v>2016.5</c:v>
                </c:pt>
                <c:pt idx="5">
                  <c:v>2017</c:v>
                </c:pt>
                <c:pt idx="6">
                  <c:v>2017.5</c:v>
                </c:pt>
                <c:pt idx="7">
                  <c:v>2018</c:v>
                </c:pt>
                <c:pt idx="8">
                  <c:v>2018.5</c:v>
                </c:pt>
                <c:pt idx="9">
                  <c:v>2019</c:v>
                </c:pt>
                <c:pt idx="10">
                  <c:v>2019.5</c:v>
                </c:pt>
                <c:pt idx="11">
                  <c:v>2020</c:v>
                </c:pt>
                <c:pt idx="12">
                  <c:v>2020.5</c:v>
                </c:pt>
                <c:pt idx="13">
                  <c:v>2021</c:v>
                </c:pt>
                <c:pt idx="14">
                  <c:v>2021.5</c:v>
                </c:pt>
                <c:pt idx="15">
                  <c:v>2022</c:v>
                </c:pt>
                <c:pt idx="16">
                  <c:v>2022.5</c:v>
                </c:pt>
                <c:pt idx="17">
                  <c:v>2023</c:v>
                </c:pt>
                <c:pt idx="18">
                  <c:v>2023.5</c:v>
                </c:pt>
                <c:pt idx="19">
                  <c:v>2024</c:v>
                </c:pt>
                <c:pt idx="20">
                  <c:v>2024.5</c:v>
                </c:pt>
                <c:pt idx="21">
                  <c:v>2025</c:v>
                </c:pt>
                <c:pt idx="22">
                  <c:v>2025.5</c:v>
                </c:pt>
                <c:pt idx="23">
                  <c:v>2026</c:v>
                </c:pt>
                <c:pt idx="24">
                  <c:v>2026.5</c:v>
                </c:pt>
                <c:pt idx="25">
                  <c:v>2027</c:v>
                </c:pt>
                <c:pt idx="26">
                  <c:v>2027.5</c:v>
                </c:pt>
                <c:pt idx="27">
                  <c:v>2028</c:v>
                </c:pt>
                <c:pt idx="28">
                  <c:v>2028.5</c:v>
                </c:pt>
                <c:pt idx="29">
                  <c:v>2029</c:v>
                </c:pt>
                <c:pt idx="30">
                  <c:v>2029.5</c:v>
                </c:pt>
                <c:pt idx="31">
                  <c:v>2030</c:v>
                </c:pt>
                <c:pt idx="32">
                  <c:v>2030.5</c:v>
                </c:pt>
              </c:numCache>
            </c:numRef>
          </c:xVal>
          <c:yVal>
            <c:numRef>
              <c:f>'Process water'!$AK$544:$AK$576</c:f>
              <c:numCache>
                <c:formatCode>0.0</c:formatCode>
                <c:ptCount val="33"/>
                <c:pt idx="0" formatCode="General">
                  <c:v>5.0999999999999997E-2</c:v>
                </c:pt>
                <c:pt idx="1">
                  <c:v>0.21429327063751522</c:v>
                </c:pt>
                <c:pt idx="2">
                  <c:v>0.32014813807924497</c:v>
                </c:pt>
                <c:pt idx="3">
                  <c:v>0.30608299980292114</c:v>
                </c:pt>
                <c:pt idx="4">
                  <c:v>0.34974686589483683</c:v>
                </c:pt>
                <c:pt idx="5">
                  <c:v>0.30457826878819222</c:v>
                </c:pt>
                <c:pt idx="6">
                  <c:v>0.33925956025555332</c:v>
                </c:pt>
                <c:pt idx="7">
                  <c:v>0.29494306493178662</c:v>
                </c:pt>
                <c:pt idx="8">
                  <c:v>0.32634946693926059</c:v>
                </c:pt>
                <c:pt idx="9">
                  <c:v>0.23072413342933804</c:v>
                </c:pt>
                <c:pt idx="10">
                  <c:v>0.28729324227267145</c:v>
                </c:pt>
                <c:pt idx="11">
                  <c:v>0.27064391397881055</c:v>
                </c:pt>
                <c:pt idx="12">
                  <c:v>0.30066418821549062</c:v>
                </c:pt>
                <c:pt idx="13">
                  <c:v>0.26721991993824873</c:v>
                </c:pt>
                <c:pt idx="14">
                  <c:v>0.29193628653383452</c:v>
                </c:pt>
                <c:pt idx="15">
                  <c:v>0.259598060447924</c:v>
                </c:pt>
                <c:pt idx="16">
                  <c:v>0.28215064636849224</c:v>
                </c:pt>
                <c:pt idx="17">
                  <c:v>0.2819743349312766</c:v>
                </c:pt>
                <c:pt idx="18">
                  <c:v>0.28664649496601369</c:v>
                </c:pt>
                <c:pt idx="19">
                  <c:v>0.24770717186509003</c:v>
                </c:pt>
                <c:pt idx="20">
                  <c:v>0.26509973375714319</c:v>
                </c:pt>
                <c:pt idx="21">
                  <c:v>0.23847455621703489</c:v>
                </c:pt>
                <c:pt idx="22">
                  <c:v>0.25601120395791771</c:v>
                </c:pt>
                <c:pt idx="23">
                  <c:v>0.23196002758078391</c:v>
                </c:pt>
                <c:pt idx="24">
                  <c:v>0.24823036259304473</c:v>
                </c:pt>
                <c:pt idx="25">
                  <c:v>0.22594216439910089</c:v>
                </c:pt>
                <c:pt idx="26">
                  <c:v>0.24094358490382256</c:v>
                </c:pt>
                <c:pt idx="27">
                  <c:v>0.22024395876110814</c:v>
                </c:pt>
                <c:pt idx="28">
                  <c:v>0.23406259284878006</c:v>
                </c:pt>
                <c:pt idx="29">
                  <c:v>0.21483192719090946</c:v>
                </c:pt>
                <c:pt idx="30">
                  <c:v>0.22755198611494104</c:v>
                </c:pt>
                <c:pt idx="31">
                  <c:v>0.20968438993072494</c:v>
                </c:pt>
                <c:pt idx="32">
                  <c:v>0.22138291922627654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90-6048-B45E-351F4752D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256520"/>
        <c:axId val="283796824"/>
      </c:scatterChart>
      <c:valAx>
        <c:axId val="529256520"/>
        <c:scaling>
          <c:orientation val="minMax"/>
          <c:max val="2032"/>
          <c:min val="2014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83796824"/>
        <c:crosses val="autoZero"/>
        <c:crossBetween val="midCat"/>
      </c:valAx>
      <c:valAx>
        <c:axId val="283796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µg/l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925652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064078710387995"/>
          <c:y val="0.125239717528146"/>
          <c:w val="0.22935922397008907"/>
          <c:h val="0.17118200482819301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400"/>
      </a:pPr>
      <a:endParaRPr lang="nb-NO"/>
    </a:p>
  </c:txPr>
  <c:printSettings>
    <c:headerFooter/>
    <c:pageMargins b="1" l="0.78740157499999996" r="0.78740157499999996" t="1" header="0" footer="0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Leveaniemi Pit Filling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'Flow-Production'!$H$50:$H$62</c:f>
              <c:numCache>
                <c:formatCode>General</c:formatCode>
                <c:ptCount val="13"/>
                <c:pt idx="0">
                  <c:v>2179</c:v>
                </c:pt>
                <c:pt idx="1">
                  <c:v>2104</c:v>
                </c:pt>
                <c:pt idx="2">
                  <c:v>2077</c:v>
                </c:pt>
                <c:pt idx="3">
                  <c:v>2062</c:v>
                </c:pt>
                <c:pt idx="4">
                  <c:v>2052</c:v>
                </c:pt>
                <c:pt idx="5">
                  <c:v>2045</c:v>
                </c:pt>
                <c:pt idx="6">
                  <c:v>2039</c:v>
                </c:pt>
                <c:pt idx="7">
                  <c:v>2034</c:v>
                </c:pt>
                <c:pt idx="8">
                  <c:v>2032</c:v>
                </c:pt>
                <c:pt idx="9">
                  <c:v>2031</c:v>
                </c:pt>
                <c:pt idx="10">
                  <c:v>2030.5</c:v>
                </c:pt>
                <c:pt idx="11">
                  <c:v>2030</c:v>
                </c:pt>
                <c:pt idx="12">
                  <c:v>2029</c:v>
                </c:pt>
              </c:numCache>
            </c:numRef>
          </c:xVal>
          <c:yVal>
            <c:numRef>
              <c:f>'Flow-Production'!$B$50:$B$62</c:f>
              <c:numCache>
                <c:formatCode>General</c:formatCode>
                <c:ptCount val="13"/>
                <c:pt idx="0">
                  <c:v>340</c:v>
                </c:pt>
                <c:pt idx="1">
                  <c:v>310</c:v>
                </c:pt>
                <c:pt idx="2">
                  <c:v>280</c:v>
                </c:pt>
                <c:pt idx="3">
                  <c:v>250</c:v>
                </c:pt>
                <c:pt idx="4">
                  <c:v>220</c:v>
                </c:pt>
                <c:pt idx="5">
                  <c:v>190</c:v>
                </c:pt>
                <c:pt idx="6">
                  <c:v>160</c:v>
                </c:pt>
                <c:pt idx="7">
                  <c:v>130</c:v>
                </c:pt>
                <c:pt idx="8">
                  <c:v>100</c:v>
                </c:pt>
                <c:pt idx="9">
                  <c:v>85</c:v>
                </c:pt>
                <c:pt idx="10">
                  <c:v>75</c:v>
                </c:pt>
                <c:pt idx="11">
                  <c:v>70</c:v>
                </c:pt>
                <c:pt idx="12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69-3A49-85D0-85ECD5E33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072872"/>
        <c:axId val="526091160"/>
      </c:scatterChart>
      <c:valAx>
        <c:axId val="526072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91160"/>
        <c:crosses val="autoZero"/>
        <c:crossBetween val="midCat"/>
      </c:valAx>
      <c:valAx>
        <c:axId val="5260911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LEVEL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60728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Leveaniemi Pit Filling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rgbClr val="FF0000"/>
              </a:solidFill>
            </a:ln>
          </c:spPr>
          <c:marker>
            <c:symbol val="diamond"/>
            <c:size val="9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'Flow-Production'!$H$50:$H$62</c:f>
              <c:numCache>
                <c:formatCode>General</c:formatCode>
                <c:ptCount val="13"/>
                <c:pt idx="0">
                  <c:v>2179</c:v>
                </c:pt>
                <c:pt idx="1">
                  <c:v>2104</c:v>
                </c:pt>
                <c:pt idx="2">
                  <c:v>2077</c:v>
                </c:pt>
                <c:pt idx="3">
                  <c:v>2062</c:v>
                </c:pt>
                <c:pt idx="4">
                  <c:v>2052</c:v>
                </c:pt>
                <c:pt idx="5">
                  <c:v>2045</c:v>
                </c:pt>
                <c:pt idx="6">
                  <c:v>2039</c:v>
                </c:pt>
                <c:pt idx="7">
                  <c:v>2034</c:v>
                </c:pt>
                <c:pt idx="8">
                  <c:v>2032</c:v>
                </c:pt>
                <c:pt idx="9">
                  <c:v>2031</c:v>
                </c:pt>
                <c:pt idx="10">
                  <c:v>2030.5</c:v>
                </c:pt>
                <c:pt idx="11">
                  <c:v>2030</c:v>
                </c:pt>
                <c:pt idx="12">
                  <c:v>2029</c:v>
                </c:pt>
              </c:numCache>
            </c:numRef>
          </c:xVal>
          <c:yVal>
            <c:numRef>
              <c:f>'Flow-Production'!$E$50:$E$62</c:f>
              <c:numCache>
                <c:formatCode>0.00</c:formatCode>
                <c:ptCount val="13"/>
                <c:pt idx="0" formatCode="0">
                  <c:v>0.15767999999999999</c:v>
                </c:pt>
                <c:pt idx="1">
                  <c:v>0.53611200000000003</c:v>
                </c:pt>
                <c:pt idx="2">
                  <c:v>1.009152</c:v>
                </c:pt>
                <c:pt idx="3">
                  <c:v>1.4506559999999999</c:v>
                </c:pt>
                <c:pt idx="4">
                  <c:v>1.829088</c:v>
                </c:pt>
                <c:pt idx="5">
                  <c:v>2.2075200000000001</c:v>
                </c:pt>
                <c:pt idx="6">
                  <c:v>2.5228799999999998</c:v>
                </c:pt>
                <c:pt idx="7">
                  <c:v>2.8382399999999999</c:v>
                </c:pt>
                <c:pt idx="8">
                  <c:v>3.122064</c:v>
                </c:pt>
                <c:pt idx="9">
                  <c:v>3.248208</c:v>
                </c:pt>
                <c:pt idx="10">
                  <c:v>3.31128</c:v>
                </c:pt>
                <c:pt idx="11">
                  <c:v>3.374352</c:v>
                </c:pt>
                <c:pt idx="12">
                  <c:v>3.5635680000000001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89-B040-98A0-A5636313D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672312"/>
        <c:axId val="509890440"/>
      </c:scatterChart>
      <c:valAx>
        <c:axId val="525672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9890440"/>
        <c:crosses val="autoZero"/>
        <c:crossBetween val="midCat"/>
      </c:valAx>
      <c:valAx>
        <c:axId val="509890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nb-NO"/>
                  <a:t>Mm3/YEAR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5672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nb-NO" sz="1600"/>
              <a:t>Copper Speciation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8578521434821"/>
          <c:y val="5.0925925925925902E-2"/>
          <c:w val="0.81607392825896796"/>
          <c:h val="0.615227748430180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'PhreeC-InputPW'!$J$185</c:f>
              <c:strCache>
                <c:ptCount val="1"/>
                <c:pt idx="0">
                  <c:v>Current PW</c:v>
                </c:pt>
              </c:strCache>
            </c:strRef>
          </c:tx>
          <c:invertIfNegative val="0"/>
          <c:cat>
            <c:strRef>
              <c:f>'PhreeC-InputPW'!$I$186:$I$193</c:f>
              <c:strCache>
                <c:ptCount val="8"/>
                <c:pt idx="0">
                  <c:v>CuCO3</c:v>
                </c:pt>
                <c:pt idx="1">
                  <c:v>CuOH+</c:v>
                </c:pt>
                <c:pt idx="2">
                  <c:v>Cu+2</c:v>
                </c:pt>
                <c:pt idx="3">
                  <c:v>Cu(CO3)2-2</c:v>
                </c:pt>
                <c:pt idx="4">
                  <c:v>Cu(OH)2</c:v>
                </c:pt>
                <c:pt idx="5">
                  <c:v>CuNH3+2</c:v>
                </c:pt>
                <c:pt idx="6">
                  <c:v>CuSO4</c:v>
                </c:pt>
                <c:pt idx="7">
                  <c:v>CuHCO3+</c:v>
                </c:pt>
              </c:strCache>
            </c:strRef>
          </c:cat>
          <c:val>
            <c:numRef>
              <c:f>'PhreeC-InputPW'!$J$186:$J$193</c:f>
              <c:numCache>
                <c:formatCode>0.0</c:formatCode>
                <c:ptCount val="8"/>
                <c:pt idx="0">
                  <c:v>84.722928317234363</c:v>
                </c:pt>
                <c:pt idx="1">
                  <c:v>4.3848500254194205</c:v>
                </c:pt>
                <c:pt idx="2">
                  <c:v>3.5866802236908994</c:v>
                </c:pt>
                <c:pt idx="3">
                  <c:v>3.1977630910015251</c:v>
                </c:pt>
                <c:pt idx="4">
                  <c:v>2.0645653279105241</c:v>
                </c:pt>
                <c:pt idx="5">
                  <c:v>0.98068124046771732</c:v>
                </c:pt>
                <c:pt idx="6">
                  <c:v>0.85027961362480931</c:v>
                </c:pt>
                <c:pt idx="7">
                  <c:v>0.18258769700050836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D-A840-802E-8F31EE552FB8}"/>
            </c:ext>
          </c:extLst>
        </c:ser>
        <c:ser>
          <c:idx val="1"/>
          <c:order val="1"/>
          <c:tx>
            <c:strRef>
              <c:f>'PhreeC-InputPW'!$K$185</c:f>
              <c:strCache>
                <c:ptCount val="1"/>
                <c:pt idx="0">
                  <c:v>Calc. PW</c:v>
                </c:pt>
              </c:strCache>
            </c:strRef>
          </c:tx>
          <c:invertIfNegative val="0"/>
          <c:cat>
            <c:strRef>
              <c:f>'PhreeC-InputPW'!$I$186:$I$193</c:f>
              <c:strCache>
                <c:ptCount val="8"/>
                <c:pt idx="0">
                  <c:v>CuCO3</c:v>
                </c:pt>
                <c:pt idx="1">
                  <c:v>CuOH+</c:v>
                </c:pt>
                <c:pt idx="2">
                  <c:v>Cu+2</c:v>
                </c:pt>
                <c:pt idx="3">
                  <c:v>Cu(CO3)2-2</c:v>
                </c:pt>
                <c:pt idx="4">
                  <c:v>Cu(OH)2</c:v>
                </c:pt>
                <c:pt idx="5">
                  <c:v>CuNH3+2</c:v>
                </c:pt>
                <c:pt idx="6">
                  <c:v>CuSO4</c:v>
                </c:pt>
                <c:pt idx="7">
                  <c:v>CuHCO3+</c:v>
                </c:pt>
              </c:strCache>
            </c:strRef>
          </c:cat>
          <c:val>
            <c:numRef>
              <c:f>'PhreeC-InputPW'!$K$186:$K$193</c:f>
              <c:numCache>
                <c:formatCode>0.0</c:formatCode>
                <c:ptCount val="8"/>
                <c:pt idx="0">
                  <c:v>86.158192090395488</c:v>
                </c:pt>
                <c:pt idx="1">
                  <c:v>4.2923728813559325</c:v>
                </c:pt>
                <c:pt idx="2">
                  <c:v>3.3644067796610164</c:v>
                </c:pt>
                <c:pt idx="3">
                  <c:v>3.0543785310734464</c:v>
                </c:pt>
                <c:pt idx="4">
                  <c:v>2.0522598870056497</c:v>
                </c:pt>
                <c:pt idx="5">
                  <c:v>0.22789548022598871</c:v>
                </c:pt>
                <c:pt idx="6">
                  <c:v>0.68248587570621477</c:v>
                </c:pt>
                <c:pt idx="7">
                  <c:v>0.18170903954802259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6D-A840-802E-8F31EE552FB8}"/>
            </c:ext>
          </c:extLst>
        </c:ser>
        <c:ser>
          <c:idx val="2"/>
          <c:order val="2"/>
          <c:tx>
            <c:strRef>
              <c:f>'PhreeC-InputPW'!$L$185</c:f>
              <c:strCache>
                <c:ptCount val="1"/>
                <c:pt idx="0">
                  <c:v>Receiving Env.</c:v>
                </c:pt>
              </c:strCache>
            </c:strRef>
          </c:tx>
          <c:invertIfNegative val="0"/>
          <c:cat>
            <c:strRef>
              <c:f>'PhreeC-InputPW'!$I$186:$I$193</c:f>
              <c:strCache>
                <c:ptCount val="8"/>
                <c:pt idx="0">
                  <c:v>CuCO3</c:v>
                </c:pt>
                <c:pt idx="1">
                  <c:v>CuOH+</c:v>
                </c:pt>
                <c:pt idx="2">
                  <c:v>Cu+2</c:v>
                </c:pt>
                <c:pt idx="3">
                  <c:v>Cu(CO3)2-2</c:v>
                </c:pt>
                <c:pt idx="4">
                  <c:v>Cu(OH)2</c:v>
                </c:pt>
                <c:pt idx="5">
                  <c:v>CuNH3+2</c:v>
                </c:pt>
                <c:pt idx="6">
                  <c:v>CuSO4</c:v>
                </c:pt>
                <c:pt idx="7">
                  <c:v>CuHCO3+</c:v>
                </c:pt>
              </c:strCache>
            </c:strRef>
          </c:cat>
          <c:val>
            <c:numRef>
              <c:f>'PhreeC-InputPW'!$L$186:$L$193</c:f>
              <c:numCache>
                <c:formatCode>0.0</c:formatCode>
                <c:ptCount val="8"/>
                <c:pt idx="0">
                  <c:v>64.102981912986806</c:v>
                </c:pt>
                <c:pt idx="1">
                  <c:v>5.2859703438161967</c:v>
                </c:pt>
                <c:pt idx="2">
                  <c:v>26.071370376405412</c:v>
                </c:pt>
                <c:pt idx="3">
                  <c:v>0.15465211015153985</c:v>
                </c:pt>
                <c:pt idx="4">
                  <c:v>0.37379827277171257</c:v>
                </c:pt>
                <c:pt idx="5">
                  <c:v>1E-4</c:v>
                </c:pt>
                <c:pt idx="6">
                  <c:v>3.0764217044158384</c:v>
                </c:pt>
                <c:pt idx="7">
                  <c:v>0.90386182173700491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6D-A840-802E-8F31EE552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0624360"/>
        <c:axId val="529504440"/>
      </c:barChart>
      <c:catAx>
        <c:axId val="510624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29504440"/>
        <c:crosses val="autoZero"/>
        <c:auto val="1"/>
        <c:lblAlgn val="ctr"/>
        <c:lblOffset val="100"/>
        <c:noMultiLvlLbl val="0"/>
      </c:catAx>
      <c:valAx>
        <c:axId val="529504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Percent</a:t>
                </a:r>
              </a:p>
            </c:rich>
          </c:tx>
          <c:overlay val="0"/>
        </c:title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nb-NO"/>
          </a:p>
        </c:txPr>
        <c:crossAx val="510624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6590857654769211"/>
          <c:y val="0.17534995625546801"/>
          <c:w val="0.28236597670800134"/>
          <c:h val="0.23733645636067643"/>
        </c:manualLayout>
      </c:layout>
      <c:overlay val="0"/>
    </c:legend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nb-NO" sz="1400"/>
              <a:t>Copper / Process water</a:t>
            </a:r>
          </a:p>
        </c:rich>
      </c:tx>
      <c:layout>
        <c:manualLayout>
          <c:xMode val="edge"/>
          <c:yMode val="edge"/>
          <c:x val="0.34918404195064101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30976800749501"/>
          <c:y val="0.110930565497495"/>
          <c:w val="0.77015009976218396"/>
          <c:h val="0.51771250894774501"/>
        </c:manualLayout>
      </c:layout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Copper!$A$208:$A$216</c:f>
              <c:strCache>
                <c:ptCount val="9"/>
                <c:pt idx="0">
                  <c:v>   Cu(OH)+    </c:v>
                </c:pt>
                <c:pt idx="1">
                  <c:v>   Cu2+    </c:v>
                </c:pt>
                <c:pt idx="2">
                  <c:v>   CuCl+    </c:v>
                </c:pt>
                <c:pt idx="3">
                  <c:v>   Cu(SO4)   </c:v>
                </c:pt>
                <c:pt idx="4">
                  <c:v>   Cu(HPO4)   </c:v>
                </c:pt>
                <c:pt idx="5">
                  <c:v>   CuCl2     </c:v>
                </c:pt>
                <c:pt idx="6">
                  <c:v>   Cu(PO4)-  </c:v>
                </c:pt>
                <c:pt idx="7">
                  <c:v>   Cu(H2PO4)+ </c:v>
                </c:pt>
                <c:pt idx="8">
                  <c:v>   Cu+   </c:v>
                </c:pt>
              </c:strCache>
            </c:strRef>
          </c:cat>
          <c:val>
            <c:numRef>
              <c:f>Copper!$C$208:$C$216</c:f>
              <c:numCache>
                <c:formatCode>General</c:formatCode>
                <c:ptCount val="9"/>
                <c:pt idx="0">
                  <c:v>7.31</c:v>
                </c:pt>
                <c:pt idx="1">
                  <c:v>0.28070000000000001</c:v>
                </c:pt>
                <c:pt idx="2" formatCode="0.00E+00">
                  <c:v>4.9799999999999996E-4</c:v>
                </c:pt>
                <c:pt idx="3" formatCode="0.00E+00">
                  <c:v>2.5670000000000002E-6</c:v>
                </c:pt>
                <c:pt idx="4" formatCode="0.00E+00">
                  <c:v>1.3629999999999999E-6</c:v>
                </c:pt>
                <c:pt idx="5" formatCode="0.00E+00">
                  <c:v>1.814E-7</c:v>
                </c:pt>
                <c:pt idx="6" formatCode="0.00E+00">
                  <c:v>1.8959999999999999E-8</c:v>
                </c:pt>
                <c:pt idx="7" formatCode="0.00E+00">
                  <c:v>7.0539999999999996E-10</c:v>
                </c:pt>
                <c:pt idx="8" formatCode="0.00E+00">
                  <c:v>3.2609999999999998E-11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5-8542-AEC4-AD4640C04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767944"/>
        <c:axId val="525770680"/>
      </c:barChart>
      <c:catAx>
        <c:axId val="5257679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25770680"/>
        <c:crossesAt val="9.9999999999999998E-20"/>
        <c:auto val="1"/>
        <c:lblAlgn val="ctr"/>
        <c:lblOffset val="100"/>
        <c:noMultiLvlLbl val="0"/>
      </c:catAx>
      <c:valAx>
        <c:axId val="52577068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nb-NO" sz="1200"/>
                  <a:t>ug/l</a:t>
                </a:r>
              </a:p>
            </c:rich>
          </c:tx>
          <c:overlay val="0"/>
        </c:title>
        <c:numFmt formatCode="0E+00" sourceLinked="0"/>
        <c:majorTickMark val="out"/>
        <c:minorTickMark val="none"/>
        <c:tickLblPos val="nextTo"/>
        <c:crossAx val="5257679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8740157499999996" r="0.78740157499999996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63</xdr:row>
      <xdr:rowOff>0</xdr:rowOff>
    </xdr:from>
    <xdr:to>
      <xdr:col>9</xdr:col>
      <xdr:colOff>762000</xdr:colOff>
      <xdr:row>79</xdr:row>
      <xdr:rowOff>101600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63</xdr:row>
      <xdr:rowOff>0</xdr:rowOff>
    </xdr:from>
    <xdr:to>
      <xdr:col>4</xdr:col>
      <xdr:colOff>736600</xdr:colOff>
      <xdr:row>79</xdr:row>
      <xdr:rowOff>101600</xdr:rowOff>
    </xdr:to>
    <xdr:graphicFrame macro="">
      <xdr:nvGraphicFramePr>
        <xdr:cNvPr id="7" name="Diagra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203200</xdr:colOff>
      <xdr:row>80</xdr:row>
      <xdr:rowOff>76200</xdr:rowOff>
    </xdr:from>
    <xdr:to>
      <xdr:col>4</xdr:col>
      <xdr:colOff>711200</xdr:colOff>
      <xdr:row>97</xdr:row>
      <xdr:rowOff>12700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80</xdr:row>
      <xdr:rowOff>88900</xdr:rowOff>
    </xdr:from>
    <xdr:to>
      <xdr:col>9</xdr:col>
      <xdr:colOff>762000</xdr:colOff>
      <xdr:row>97</xdr:row>
      <xdr:rowOff>25400</xdr:rowOff>
    </xdr:to>
    <xdr:graphicFrame macro="">
      <xdr:nvGraphicFramePr>
        <xdr:cNvPr id="9" name="Diagra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39</xdr:row>
      <xdr:rowOff>76200</xdr:rowOff>
    </xdr:from>
    <xdr:to>
      <xdr:col>7</xdr:col>
      <xdr:colOff>800100</xdr:colOff>
      <xdr:row>57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863600</xdr:colOff>
      <xdr:row>58</xdr:row>
      <xdr:rowOff>0</xdr:rowOff>
    </xdr:from>
    <xdr:to>
      <xdr:col>11</xdr:col>
      <xdr:colOff>0</xdr:colOff>
      <xdr:row>79</xdr:row>
      <xdr:rowOff>127000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50800</xdr:colOff>
      <xdr:row>91</xdr:row>
      <xdr:rowOff>127000</xdr:rowOff>
    </xdr:from>
    <xdr:to>
      <xdr:col>23</xdr:col>
      <xdr:colOff>546100</xdr:colOff>
      <xdr:row>109</xdr:row>
      <xdr:rowOff>50800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141</xdr:row>
      <xdr:rowOff>0</xdr:rowOff>
    </xdr:from>
    <xdr:to>
      <xdr:col>23</xdr:col>
      <xdr:colOff>495300</xdr:colOff>
      <xdr:row>158</xdr:row>
      <xdr:rowOff>88900</xdr:rowOff>
    </xdr:to>
    <xdr:graphicFrame macro="">
      <xdr:nvGraphicFramePr>
        <xdr:cNvPr id="3" name="Diagram 3">
          <a:extLst>
            <a:ext uri="{FF2B5EF4-FFF2-40B4-BE49-F238E27FC236}">
              <a16:creationId xmlns:a16="http://schemas.microsoft.com/office/drawing/2014/main" id="{D3A0777A-1595-124A-992B-0C57BEA0F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74</xdr:row>
      <xdr:rowOff>38100</xdr:rowOff>
    </xdr:from>
    <xdr:to>
      <xdr:col>13</xdr:col>
      <xdr:colOff>533400</xdr:colOff>
      <xdr:row>91</xdr:row>
      <xdr:rowOff>127000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317500</xdr:colOff>
      <xdr:row>74</xdr:row>
      <xdr:rowOff>12700</xdr:rowOff>
    </xdr:from>
    <xdr:to>
      <xdr:col>6</xdr:col>
      <xdr:colOff>914400</xdr:colOff>
      <xdr:row>95</xdr:row>
      <xdr:rowOff>139700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469900</xdr:colOff>
      <xdr:row>54</xdr:row>
      <xdr:rowOff>76200</xdr:rowOff>
    </xdr:from>
    <xdr:to>
      <xdr:col>17</xdr:col>
      <xdr:colOff>838200</xdr:colOff>
      <xdr:row>72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723900</xdr:colOff>
      <xdr:row>74</xdr:row>
      <xdr:rowOff>50800</xdr:rowOff>
    </xdr:from>
    <xdr:to>
      <xdr:col>20</xdr:col>
      <xdr:colOff>419100</xdr:colOff>
      <xdr:row>91</xdr:row>
      <xdr:rowOff>139700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800100</xdr:colOff>
      <xdr:row>165</xdr:row>
      <xdr:rowOff>152400</xdr:rowOff>
    </xdr:from>
    <xdr:to>
      <xdr:col>14</xdr:col>
      <xdr:colOff>673100</xdr:colOff>
      <xdr:row>183</xdr:row>
      <xdr:rowOff>76200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165</xdr:row>
      <xdr:rowOff>152400</xdr:rowOff>
    </xdr:from>
    <xdr:to>
      <xdr:col>6</xdr:col>
      <xdr:colOff>546100</xdr:colOff>
      <xdr:row>183</xdr:row>
      <xdr:rowOff>76200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406400</xdr:colOff>
      <xdr:row>342</xdr:row>
      <xdr:rowOff>0</xdr:rowOff>
    </xdr:from>
    <xdr:to>
      <xdr:col>8</xdr:col>
      <xdr:colOff>965200</xdr:colOff>
      <xdr:row>359</xdr:row>
      <xdr:rowOff>88900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342</xdr:row>
      <xdr:rowOff>0</xdr:rowOff>
    </xdr:from>
    <xdr:to>
      <xdr:col>17</xdr:col>
      <xdr:colOff>508000</xdr:colOff>
      <xdr:row>359</xdr:row>
      <xdr:rowOff>88900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596900</xdr:colOff>
      <xdr:row>22</xdr:row>
      <xdr:rowOff>101600</xdr:rowOff>
    </xdr:from>
    <xdr:to>
      <xdr:col>33</xdr:col>
      <xdr:colOff>304800</xdr:colOff>
      <xdr:row>42</xdr:row>
      <xdr:rowOff>88900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50800</xdr:colOff>
      <xdr:row>19</xdr:row>
      <xdr:rowOff>215900</xdr:rowOff>
    </xdr:from>
    <xdr:to>
      <xdr:col>43</xdr:col>
      <xdr:colOff>495300</xdr:colOff>
      <xdr:row>38</xdr:row>
      <xdr:rowOff>152400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101600</xdr:colOff>
      <xdr:row>81</xdr:row>
      <xdr:rowOff>0</xdr:rowOff>
    </xdr:from>
    <xdr:to>
      <xdr:col>53</xdr:col>
      <xdr:colOff>381000</xdr:colOff>
      <xdr:row>107</xdr:row>
      <xdr:rowOff>25400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0</xdr:colOff>
      <xdr:row>20</xdr:row>
      <xdr:rowOff>0</xdr:rowOff>
    </xdr:from>
    <xdr:to>
      <xdr:col>51</xdr:col>
      <xdr:colOff>304800</xdr:colOff>
      <xdr:row>39</xdr:row>
      <xdr:rowOff>101600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381000</xdr:colOff>
      <xdr:row>49</xdr:row>
      <xdr:rowOff>101600</xdr:rowOff>
    </xdr:from>
    <xdr:to>
      <xdr:col>49</xdr:col>
      <xdr:colOff>368300</xdr:colOff>
      <xdr:row>69</xdr:row>
      <xdr:rowOff>127000</xdr:rowOff>
    </xdr:to>
    <xdr:graphicFrame macro="">
      <xdr:nvGraphicFramePr>
        <xdr:cNvPr id="6" name="Diagram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12700</xdr:colOff>
      <xdr:row>122</xdr:row>
      <xdr:rowOff>76200</xdr:rowOff>
    </xdr:from>
    <xdr:to>
      <xdr:col>49</xdr:col>
      <xdr:colOff>508000</xdr:colOff>
      <xdr:row>149</xdr:row>
      <xdr:rowOff>50800</xdr:rowOff>
    </xdr:to>
    <xdr:graphicFrame macro="">
      <xdr:nvGraphicFramePr>
        <xdr:cNvPr id="8" name="Diagram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736600</xdr:colOff>
      <xdr:row>159</xdr:row>
      <xdr:rowOff>215900</xdr:rowOff>
    </xdr:from>
    <xdr:to>
      <xdr:col>48</xdr:col>
      <xdr:colOff>457200</xdr:colOff>
      <xdr:row>182</xdr:row>
      <xdr:rowOff>114300</xdr:rowOff>
    </xdr:to>
    <xdr:graphicFrame macro="">
      <xdr:nvGraphicFramePr>
        <xdr:cNvPr id="12" name="Diagram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39</xdr:col>
      <xdr:colOff>254000</xdr:colOff>
      <xdr:row>202</xdr:row>
      <xdr:rowOff>127000</xdr:rowOff>
    </xdr:from>
    <xdr:to>
      <xdr:col>50</xdr:col>
      <xdr:colOff>139700</xdr:colOff>
      <xdr:row>226</xdr:row>
      <xdr:rowOff>0</xdr:rowOff>
    </xdr:to>
    <xdr:graphicFrame macro="">
      <xdr:nvGraphicFramePr>
        <xdr:cNvPr id="13" name="Diagram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38100</xdr:colOff>
      <xdr:row>279</xdr:row>
      <xdr:rowOff>88900</xdr:rowOff>
    </xdr:from>
    <xdr:to>
      <xdr:col>51</xdr:col>
      <xdr:colOff>50800</xdr:colOff>
      <xdr:row>306</xdr:row>
      <xdr:rowOff>63500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520700</xdr:colOff>
      <xdr:row>241</xdr:row>
      <xdr:rowOff>88900</xdr:rowOff>
    </xdr:from>
    <xdr:to>
      <xdr:col>50</xdr:col>
      <xdr:colOff>406400</xdr:colOff>
      <xdr:row>268</xdr:row>
      <xdr:rowOff>63500</xdr:rowOff>
    </xdr:to>
    <xdr:graphicFrame macro="">
      <xdr:nvGraphicFramePr>
        <xdr:cNvPr id="17" name="Diagram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76200</xdr:colOff>
      <xdr:row>321</xdr:row>
      <xdr:rowOff>127000</xdr:rowOff>
    </xdr:from>
    <xdr:to>
      <xdr:col>51</xdr:col>
      <xdr:colOff>88900</xdr:colOff>
      <xdr:row>348</xdr:row>
      <xdr:rowOff>101600</xdr:rowOff>
    </xdr:to>
    <xdr:graphicFrame macro="">
      <xdr:nvGraphicFramePr>
        <xdr:cNvPr id="18" name="Diagram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304800</xdr:colOff>
      <xdr:row>361</xdr:row>
      <xdr:rowOff>139700</xdr:rowOff>
    </xdr:from>
    <xdr:to>
      <xdr:col>50</xdr:col>
      <xdr:colOff>228600</xdr:colOff>
      <xdr:row>388</xdr:row>
      <xdr:rowOff>114300</xdr:rowOff>
    </xdr:to>
    <xdr:graphicFrame macro="">
      <xdr:nvGraphicFramePr>
        <xdr:cNvPr id="20" name="Diagram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38</xdr:col>
      <xdr:colOff>63500</xdr:colOff>
      <xdr:row>398</xdr:row>
      <xdr:rowOff>50800</xdr:rowOff>
    </xdr:from>
    <xdr:to>
      <xdr:col>48</xdr:col>
      <xdr:colOff>558800</xdr:colOff>
      <xdr:row>418</xdr:row>
      <xdr:rowOff>88900</xdr:rowOff>
    </xdr:to>
    <xdr:graphicFrame macro="">
      <xdr:nvGraphicFramePr>
        <xdr:cNvPr id="14" name="Diagram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50800</xdr:colOff>
      <xdr:row>432</xdr:row>
      <xdr:rowOff>25400</xdr:rowOff>
    </xdr:from>
    <xdr:to>
      <xdr:col>51</xdr:col>
      <xdr:colOff>355600</xdr:colOff>
      <xdr:row>453</xdr:row>
      <xdr:rowOff>50800</xdr:rowOff>
    </xdr:to>
    <xdr:graphicFrame macro="">
      <xdr:nvGraphicFramePr>
        <xdr:cNvPr id="16" name="Diagram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39</xdr:col>
      <xdr:colOff>0</xdr:colOff>
      <xdr:row>512</xdr:row>
      <xdr:rowOff>76200</xdr:rowOff>
    </xdr:from>
    <xdr:to>
      <xdr:col>49</xdr:col>
      <xdr:colOff>495300</xdr:colOff>
      <xdr:row>539</xdr:row>
      <xdr:rowOff>50800</xdr:rowOff>
    </xdr:to>
    <xdr:graphicFrame macro="">
      <xdr:nvGraphicFramePr>
        <xdr:cNvPr id="19" name="Diagram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38</xdr:col>
      <xdr:colOff>596900</xdr:colOff>
      <xdr:row>541</xdr:row>
      <xdr:rowOff>139700</xdr:rowOff>
    </xdr:from>
    <xdr:to>
      <xdr:col>49</xdr:col>
      <xdr:colOff>482600</xdr:colOff>
      <xdr:row>567</xdr:row>
      <xdr:rowOff>88900</xdr:rowOff>
    </xdr:to>
    <xdr:graphicFrame macro="">
      <xdr:nvGraphicFramePr>
        <xdr:cNvPr id="22" name="Diagram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35</xdr:row>
      <xdr:rowOff>114300</xdr:rowOff>
    </xdr:from>
    <xdr:to>
      <xdr:col>12</xdr:col>
      <xdr:colOff>939800</xdr:colOff>
      <xdr:row>52</xdr:row>
      <xdr:rowOff>12700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215900</xdr:colOff>
      <xdr:row>53</xdr:row>
      <xdr:rowOff>38100</xdr:rowOff>
    </xdr:from>
    <xdr:to>
      <xdr:col>13</xdr:col>
      <xdr:colOff>25400</xdr:colOff>
      <xdr:row>69</xdr:row>
      <xdr:rowOff>139700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196</xdr:row>
      <xdr:rowOff>25400</xdr:rowOff>
    </xdr:from>
    <xdr:to>
      <xdr:col>16</xdr:col>
      <xdr:colOff>419100</xdr:colOff>
      <xdr:row>214</xdr:row>
      <xdr:rowOff>63500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397934</xdr:colOff>
      <xdr:row>204</xdr:row>
      <xdr:rowOff>93133</xdr:rowOff>
    </xdr:from>
    <xdr:to>
      <xdr:col>11</xdr:col>
      <xdr:colOff>406399</xdr:colOff>
      <xdr:row>217</xdr:row>
      <xdr:rowOff>25400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ngarwalder/Documents/Clients%20&amp;%20Projects/CLIENTS-KREC/Nussir/Data/Ammonium%2020130117i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vävebalans"/>
      <sheetName val="NH3-beräkning"/>
      <sheetName val="Blad3"/>
    </sheetNames>
    <sheetDataSet>
      <sheetData sheetId="0"/>
      <sheetData sheetId="1">
        <row r="22">
          <cell r="B22">
            <v>5.5515095908778857E-5</v>
          </cell>
          <cell r="C22">
            <v>1.4847543296180505E-5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topLeftCell="A92" workbookViewId="0">
      <selection activeCell="H8" sqref="H8"/>
    </sheetView>
  </sheetViews>
  <sheetFormatPr baseColWidth="10" defaultRowHeight="13" x14ac:dyDescent="0.15"/>
  <cols>
    <col min="1" max="1" width="17.1640625" customWidth="1"/>
    <col min="2" max="2" width="7.1640625" customWidth="1"/>
    <col min="3" max="4" width="13" customWidth="1"/>
    <col min="5" max="5" width="13.1640625" customWidth="1"/>
    <col min="6" max="6" width="8.6640625" customWidth="1"/>
    <col min="7" max="7" width="12.6640625" customWidth="1"/>
    <col min="8" max="8" width="14" customWidth="1"/>
    <col min="9" max="9" width="15" customWidth="1"/>
    <col min="10" max="10" width="10" customWidth="1"/>
    <col min="11" max="11" width="12.5" customWidth="1"/>
    <col min="12" max="12" width="12.1640625" customWidth="1"/>
    <col min="15" max="15" width="14.6640625" customWidth="1"/>
    <col min="16" max="16" width="12.5" customWidth="1"/>
  </cols>
  <sheetData>
    <row r="1" spans="1:16" ht="16" x14ac:dyDescent="0.2">
      <c r="A1" s="8" t="s">
        <v>6</v>
      </c>
    </row>
    <row r="3" spans="1:16" x14ac:dyDescent="0.15">
      <c r="C3" t="s">
        <v>1179</v>
      </c>
      <c r="G3" t="s">
        <v>1167</v>
      </c>
      <c r="H3" t="s">
        <v>1179</v>
      </c>
      <c r="J3" t="s">
        <v>850</v>
      </c>
      <c r="K3" t="s">
        <v>851</v>
      </c>
      <c r="L3" t="s">
        <v>689</v>
      </c>
      <c r="O3" t="s">
        <v>1048</v>
      </c>
      <c r="P3" t="s">
        <v>921</v>
      </c>
    </row>
    <row r="4" spans="1:16" x14ac:dyDescent="0.15">
      <c r="C4" t="s">
        <v>1047</v>
      </c>
      <c r="H4" t="s">
        <v>1178</v>
      </c>
      <c r="K4" t="s">
        <v>691</v>
      </c>
      <c r="L4" t="s">
        <v>690</v>
      </c>
      <c r="O4" t="s">
        <v>1046</v>
      </c>
      <c r="P4" t="s">
        <v>922</v>
      </c>
    </row>
    <row r="5" spans="1:16" x14ac:dyDescent="0.15">
      <c r="A5" t="s">
        <v>902</v>
      </c>
      <c r="C5">
        <v>7.9</v>
      </c>
      <c r="K5">
        <v>7.8</v>
      </c>
      <c r="L5">
        <v>8</v>
      </c>
      <c r="O5">
        <v>7.3</v>
      </c>
      <c r="P5">
        <v>7.1</v>
      </c>
    </row>
    <row r="6" spans="1:16" x14ac:dyDescent="0.15">
      <c r="A6" t="s">
        <v>903</v>
      </c>
      <c r="B6" t="s">
        <v>1038</v>
      </c>
      <c r="C6">
        <v>2.2999999999999998</v>
      </c>
      <c r="G6">
        <v>1.5</v>
      </c>
      <c r="H6" s="81">
        <v>2.077142857142857</v>
      </c>
      <c r="K6">
        <v>0.93</v>
      </c>
      <c r="L6">
        <v>0.84</v>
      </c>
      <c r="O6">
        <v>0.39</v>
      </c>
      <c r="P6">
        <v>0.41</v>
      </c>
    </row>
    <row r="7" spans="1:16" ht="14" thickBot="1" x14ac:dyDescent="0.2">
      <c r="A7" t="s">
        <v>904</v>
      </c>
      <c r="B7" t="s">
        <v>1039</v>
      </c>
      <c r="C7">
        <v>41.8</v>
      </c>
      <c r="O7">
        <v>47</v>
      </c>
      <c r="P7">
        <v>5.2</v>
      </c>
    </row>
    <row r="8" spans="1:16" ht="14" thickBot="1" x14ac:dyDescent="0.2">
      <c r="A8" t="s">
        <v>905</v>
      </c>
      <c r="B8" t="s">
        <v>1159</v>
      </c>
      <c r="C8">
        <v>12</v>
      </c>
      <c r="G8">
        <v>8.1999999999999993</v>
      </c>
      <c r="H8" s="81">
        <v>1.8800000000000001</v>
      </c>
      <c r="J8" s="103" t="s">
        <v>683</v>
      </c>
      <c r="K8">
        <v>170</v>
      </c>
      <c r="L8">
        <v>195</v>
      </c>
    </row>
    <row r="9" spans="1:16" ht="14" thickBot="1" x14ac:dyDescent="0.2">
      <c r="A9" t="s">
        <v>684</v>
      </c>
      <c r="C9">
        <v>0.15</v>
      </c>
      <c r="G9">
        <v>0.17</v>
      </c>
      <c r="H9" s="81">
        <v>0.10142857142857144</v>
      </c>
      <c r="J9" s="103" t="s">
        <v>683</v>
      </c>
      <c r="K9">
        <v>1.1000000000000001</v>
      </c>
      <c r="L9">
        <v>1.3</v>
      </c>
    </row>
    <row r="10" spans="1:16" x14ac:dyDescent="0.15">
      <c r="A10" t="s">
        <v>906</v>
      </c>
      <c r="B10" t="s">
        <v>1159</v>
      </c>
      <c r="C10">
        <v>68.7</v>
      </c>
      <c r="G10">
        <v>18.8</v>
      </c>
      <c r="H10" s="7">
        <v>125.84285714285714</v>
      </c>
      <c r="J10">
        <v>1</v>
      </c>
      <c r="K10">
        <v>461</v>
      </c>
      <c r="L10">
        <v>521</v>
      </c>
    </row>
    <row r="11" spans="1:16" x14ac:dyDescent="0.15">
      <c r="A11" t="s">
        <v>1036</v>
      </c>
      <c r="B11" t="s">
        <v>1159</v>
      </c>
      <c r="C11" t="s">
        <v>1041</v>
      </c>
      <c r="G11">
        <v>0.08</v>
      </c>
      <c r="H11" s="81">
        <v>3.0285714285714287E-2</v>
      </c>
      <c r="J11">
        <v>0.02</v>
      </c>
      <c r="O11" t="s">
        <v>811</v>
      </c>
      <c r="P11" t="s">
        <v>811</v>
      </c>
    </row>
    <row r="12" spans="1:16" ht="14" thickBot="1" x14ac:dyDescent="0.2">
      <c r="A12" t="s">
        <v>1037</v>
      </c>
      <c r="B12" t="s">
        <v>1159</v>
      </c>
      <c r="C12">
        <v>1.4</v>
      </c>
      <c r="G12">
        <v>11.9</v>
      </c>
      <c r="H12" s="81">
        <v>0.12550000000000003</v>
      </c>
      <c r="J12">
        <v>0.27</v>
      </c>
      <c r="K12">
        <v>8.4</v>
      </c>
      <c r="L12">
        <v>9.5</v>
      </c>
      <c r="O12">
        <v>0.92</v>
      </c>
      <c r="P12">
        <v>0.2</v>
      </c>
    </row>
    <row r="13" spans="1:16" ht="14" thickBot="1" x14ac:dyDescent="0.2">
      <c r="A13" t="s">
        <v>1090</v>
      </c>
      <c r="B13" t="s">
        <v>1159</v>
      </c>
      <c r="C13">
        <v>0.12</v>
      </c>
      <c r="G13">
        <v>7.4</v>
      </c>
      <c r="H13" s="81" t="s">
        <v>694</v>
      </c>
      <c r="J13" s="103" t="s">
        <v>694</v>
      </c>
      <c r="K13">
        <v>7.5</v>
      </c>
      <c r="L13">
        <v>9.6999999999999993</v>
      </c>
      <c r="M13">
        <f>K14/K13</f>
        <v>1.4666666666666666E-2</v>
      </c>
      <c r="N13">
        <f>L14/L13</f>
        <v>9.1752577319587636E-3</v>
      </c>
      <c r="O13">
        <v>0.72</v>
      </c>
      <c r="P13" t="s">
        <v>958</v>
      </c>
    </row>
    <row r="14" spans="1:16" ht="14" thickBot="1" x14ac:dyDescent="0.2">
      <c r="A14" t="s">
        <v>1091</v>
      </c>
      <c r="B14" t="s">
        <v>1159</v>
      </c>
      <c r="C14" t="s">
        <v>1160</v>
      </c>
      <c r="G14">
        <v>3.33</v>
      </c>
      <c r="H14" s="81">
        <v>0.09</v>
      </c>
      <c r="J14" s="103" t="s">
        <v>695</v>
      </c>
      <c r="K14">
        <v>0.11</v>
      </c>
      <c r="L14">
        <v>8.8999999999999996E-2</v>
      </c>
      <c r="O14" t="s">
        <v>956</v>
      </c>
      <c r="P14" t="s">
        <v>956</v>
      </c>
    </row>
    <row r="15" spans="1:16" x14ac:dyDescent="0.15">
      <c r="A15" t="s">
        <v>685</v>
      </c>
      <c r="B15" t="s">
        <v>1159</v>
      </c>
      <c r="C15">
        <v>58.4</v>
      </c>
      <c r="G15">
        <v>35.5</v>
      </c>
      <c r="H15" s="17">
        <v>68.228571428571428</v>
      </c>
      <c r="J15">
        <v>1.6</v>
      </c>
      <c r="K15">
        <v>174</v>
      </c>
      <c r="L15">
        <v>191</v>
      </c>
    </row>
    <row r="16" spans="1:16" x14ac:dyDescent="0.15">
      <c r="A16" t="s">
        <v>907</v>
      </c>
      <c r="B16" t="s">
        <v>1040</v>
      </c>
      <c r="C16" t="s">
        <v>1161</v>
      </c>
      <c r="G16" t="s">
        <v>1168</v>
      </c>
      <c r="H16" s="81">
        <v>0.11575714285714286</v>
      </c>
      <c r="J16">
        <v>7.0000000000000007E-2</v>
      </c>
      <c r="K16">
        <v>0.34</v>
      </c>
      <c r="L16">
        <v>0.59</v>
      </c>
      <c r="O16" t="s">
        <v>957</v>
      </c>
      <c r="P16" t="s">
        <v>959</v>
      </c>
    </row>
    <row r="17" spans="1:16" ht="14" thickBot="1" x14ac:dyDescent="0.2">
      <c r="A17" t="s">
        <v>908</v>
      </c>
      <c r="B17" t="s">
        <v>1040</v>
      </c>
      <c r="C17">
        <v>11.3</v>
      </c>
      <c r="G17">
        <v>17.7</v>
      </c>
      <c r="H17" s="17">
        <v>30.228571428571428</v>
      </c>
      <c r="J17">
        <v>5.64</v>
      </c>
      <c r="K17">
        <v>37</v>
      </c>
      <c r="L17">
        <v>35.200000000000003</v>
      </c>
      <c r="O17">
        <v>12.8</v>
      </c>
      <c r="P17">
        <v>8.6</v>
      </c>
    </row>
    <row r="18" spans="1:16" ht="14" thickBot="1" x14ac:dyDescent="0.2">
      <c r="A18" t="s">
        <v>909</v>
      </c>
      <c r="B18" t="s">
        <v>1040</v>
      </c>
      <c r="C18">
        <v>1E-3</v>
      </c>
      <c r="G18">
        <v>3.3E-3</v>
      </c>
      <c r="H18" s="81">
        <v>5.1571428571428575E-3</v>
      </c>
      <c r="J18" s="103" t="s">
        <v>686</v>
      </c>
      <c r="K18">
        <v>1E-3</v>
      </c>
      <c r="L18">
        <v>1E-3</v>
      </c>
      <c r="O18" t="s">
        <v>960</v>
      </c>
      <c r="P18" t="s">
        <v>1049</v>
      </c>
    </row>
    <row r="19" spans="1:16" x14ac:dyDescent="0.15">
      <c r="A19" t="s">
        <v>961</v>
      </c>
      <c r="B19" t="s">
        <v>1040</v>
      </c>
      <c r="C19">
        <v>0.27</v>
      </c>
      <c r="G19">
        <v>0.34</v>
      </c>
      <c r="H19" s="81">
        <v>0.13457142857142856</v>
      </c>
      <c r="J19">
        <v>0.14000000000000001</v>
      </c>
      <c r="K19">
        <v>0.27200000000000002</v>
      </c>
      <c r="L19">
        <v>0.29099999999999998</v>
      </c>
      <c r="O19">
        <v>0.1</v>
      </c>
      <c r="P19">
        <v>0.06</v>
      </c>
    </row>
    <row r="20" spans="1:16" x14ac:dyDescent="0.15">
      <c r="A20" t="s">
        <v>910</v>
      </c>
      <c r="B20" t="s">
        <v>1040</v>
      </c>
      <c r="C20">
        <v>3.0000000000000001E-3</v>
      </c>
      <c r="G20">
        <v>0.04</v>
      </c>
      <c r="H20" s="81">
        <v>0.33601428571428565</v>
      </c>
      <c r="J20">
        <v>0.26</v>
      </c>
      <c r="K20">
        <v>5.0599999999999999E-2</v>
      </c>
      <c r="L20">
        <v>4.9500000000000002E-2</v>
      </c>
      <c r="O20">
        <v>1</v>
      </c>
      <c r="P20">
        <v>0.31</v>
      </c>
    </row>
    <row r="21" spans="1:16" x14ac:dyDescent="0.15">
      <c r="A21" t="s">
        <v>1042</v>
      </c>
      <c r="B21" t="s">
        <v>1040</v>
      </c>
      <c r="C21">
        <v>8.8000000000000007</v>
      </c>
      <c r="G21">
        <v>4.4000000000000004</v>
      </c>
      <c r="H21" s="81">
        <v>0.1812857142857143</v>
      </c>
      <c r="J21">
        <v>0.51</v>
      </c>
      <c r="K21">
        <v>2.0699999999999998</v>
      </c>
      <c r="L21">
        <v>2.17</v>
      </c>
      <c r="O21">
        <v>0.23</v>
      </c>
      <c r="P21">
        <v>0.13</v>
      </c>
    </row>
    <row r="22" spans="1:16" ht="14" thickBot="1" x14ac:dyDescent="0.2">
      <c r="A22" t="s">
        <v>1043</v>
      </c>
      <c r="B22" t="s">
        <v>1040</v>
      </c>
      <c r="C22" t="s">
        <v>1049</v>
      </c>
      <c r="G22" t="s">
        <v>1168</v>
      </c>
      <c r="H22" s="81" t="s">
        <v>848</v>
      </c>
      <c r="J22" t="s">
        <v>692</v>
      </c>
      <c r="K22" t="s">
        <v>692</v>
      </c>
      <c r="L22" t="s">
        <v>692</v>
      </c>
      <c r="O22" t="s">
        <v>1162</v>
      </c>
      <c r="P22" t="s">
        <v>1162</v>
      </c>
    </row>
    <row r="23" spans="1:16" ht="14" thickBot="1" x14ac:dyDescent="0.2">
      <c r="A23" t="s">
        <v>1044</v>
      </c>
      <c r="B23" t="s">
        <v>1040</v>
      </c>
      <c r="C23">
        <v>3.6</v>
      </c>
      <c r="G23">
        <v>4.5999999999999996</v>
      </c>
      <c r="H23" s="81">
        <v>0.94399999999999995</v>
      </c>
      <c r="J23" s="103" t="s">
        <v>687</v>
      </c>
      <c r="K23">
        <v>19.2</v>
      </c>
      <c r="L23">
        <v>22.7</v>
      </c>
      <c r="O23">
        <v>1</v>
      </c>
      <c r="P23">
        <v>0.31</v>
      </c>
    </row>
    <row r="24" spans="1:16" ht="14" thickBot="1" x14ac:dyDescent="0.2">
      <c r="A24" t="s">
        <v>1045</v>
      </c>
      <c r="B24" t="s">
        <v>1040</v>
      </c>
      <c r="C24">
        <v>0.84</v>
      </c>
      <c r="G24">
        <v>0.19</v>
      </c>
      <c r="H24" s="81">
        <v>0.80142857142857138</v>
      </c>
      <c r="J24">
        <v>0.41</v>
      </c>
      <c r="K24">
        <v>1.07</v>
      </c>
      <c r="L24">
        <v>1.07</v>
      </c>
      <c r="O24">
        <v>0.23</v>
      </c>
      <c r="P24">
        <v>0.13</v>
      </c>
    </row>
    <row r="25" spans="1:16" ht="14" thickBot="1" x14ac:dyDescent="0.2">
      <c r="A25" t="s">
        <v>1032</v>
      </c>
      <c r="B25" t="s">
        <v>1040</v>
      </c>
      <c r="C25" t="s">
        <v>1050</v>
      </c>
      <c r="G25" t="s">
        <v>1168</v>
      </c>
      <c r="H25" s="81" t="s">
        <v>693</v>
      </c>
      <c r="J25">
        <v>2.5000000000000001E-2</v>
      </c>
      <c r="K25" s="103" t="s">
        <v>693</v>
      </c>
      <c r="L25" s="103" t="s">
        <v>693</v>
      </c>
      <c r="O25">
        <v>0.02</v>
      </c>
      <c r="P25">
        <v>0.02</v>
      </c>
    </row>
    <row r="26" spans="1:16" x14ac:dyDescent="0.15">
      <c r="A26" t="s">
        <v>1033</v>
      </c>
      <c r="B26" t="s">
        <v>1040</v>
      </c>
      <c r="C26">
        <v>74</v>
      </c>
      <c r="G26" t="s">
        <v>1168</v>
      </c>
      <c r="H26" s="7">
        <v>167</v>
      </c>
      <c r="J26" t="s">
        <v>688</v>
      </c>
      <c r="K26" t="s">
        <v>688</v>
      </c>
      <c r="L26" t="s">
        <v>688</v>
      </c>
      <c r="O26">
        <v>52</v>
      </c>
      <c r="P26">
        <v>12.5</v>
      </c>
    </row>
    <row r="27" spans="1:16" x14ac:dyDescent="0.15">
      <c r="A27" t="s">
        <v>1034</v>
      </c>
      <c r="B27" t="s">
        <v>1040</v>
      </c>
      <c r="C27">
        <v>2.1</v>
      </c>
      <c r="G27">
        <v>1.18</v>
      </c>
      <c r="H27" s="81">
        <v>0.35827142857142852</v>
      </c>
      <c r="J27">
        <v>0.2</v>
      </c>
      <c r="K27">
        <v>0.47</v>
      </c>
      <c r="L27">
        <v>2.57</v>
      </c>
      <c r="O27">
        <v>0.08</v>
      </c>
      <c r="P27">
        <v>7.0000000000000007E-2</v>
      </c>
    </row>
    <row r="28" spans="1:16" x14ac:dyDescent="0.15">
      <c r="A28" t="s">
        <v>1035</v>
      </c>
      <c r="B28" t="s">
        <v>1040</v>
      </c>
      <c r="C28">
        <v>1.5</v>
      </c>
      <c r="G28">
        <v>1.31</v>
      </c>
      <c r="H28" s="81">
        <v>2.7977142857142856</v>
      </c>
      <c r="J28">
        <v>2.6</v>
      </c>
      <c r="K28">
        <v>0.93</v>
      </c>
      <c r="L28">
        <v>0.95</v>
      </c>
      <c r="O28">
        <v>2.8</v>
      </c>
      <c r="P28">
        <v>1</v>
      </c>
    </row>
    <row r="29" spans="1:16" x14ac:dyDescent="0.15">
      <c r="A29" t="s">
        <v>1169</v>
      </c>
      <c r="B29" t="s">
        <v>1159</v>
      </c>
      <c r="C29">
        <v>10.1</v>
      </c>
      <c r="G29">
        <v>4.0199999999999996</v>
      </c>
      <c r="H29" s="17">
        <v>14.381428571428572</v>
      </c>
      <c r="K29">
        <v>21</v>
      </c>
      <c r="L29">
        <v>21</v>
      </c>
    </row>
    <row r="30" spans="1:16" x14ac:dyDescent="0.15">
      <c r="A30" t="s">
        <v>1170</v>
      </c>
      <c r="B30" t="s">
        <v>1159</v>
      </c>
      <c r="C30">
        <v>7.4</v>
      </c>
      <c r="G30">
        <v>9.67</v>
      </c>
      <c r="H30" s="17">
        <v>10.958571428571428</v>
      </c>
      <c r="K30">
        <v>106</v>
      </c>
      <c r="L30">
        <v>115</v>
      </c>
    </row>
    <row r="31" spans="1:16" x14ac:dyDescent="0.15">
      <c r="A31" t="s">
        <v>1171</v>
      </c>
      <c r="B31" t="s">
        <v>1159</v>
      </c>
      <c r="C31">
        <v>7.1</v>
      </c>
      <c r="G31">
        <v>3.77</v>
      </c>
      <c r="H31" s="17">
        <v>10.72142857142857</v>
      </c>
      <c r="K31">
        <v>45</v>
      </c>
      <c r="L31">
        <v>49</v>
      </c>
    </row>
    <row r="32" spans="1:16" x14ac:dyDescent="0.15">
      <c r="A32" t="s">
        <v>546</v>
      </c>
      <c r="B32" t="s">
        <v>1040</v>
      </c>
      <c r="H32" s="7">
        <v>373.78</v>
      </c>
    </row>
    <row r="33" spans="1:15" ht="14" thickBot="1" x14ac:dyDescent="0.2">
      <c r="A33" t="s">
        <v>545</v>
      </c>
      <c r="B33" t="s">
        <v>1040</v>
      </c>
      <c r="H33" s="81">
        <v>1.9900000000000001E-2</v>
      </c>
    </row>
    <row r="34" spans="1:15" ht="14" thickBot="1" x14ac:dyDescent="0.2">
      <c r="H34" s="17"/>
      <c r="K34">
        <v>1.2999999999999999E-2</v>
      </c>
      <c r="L34" s="120" t="s">
        <v>1186</v>
      </c>
    </row>
    <row r="35" spans="1:15" x14ac:dyDescent="0.15">
      <c r="A35" s="1" t="s">
        <v>492</v>
      </c>
    </row>
    <row r="36" spans="1:15" x14ac:dyDescent="0.15">
      <c r="D36" t="s">
        <v>1015</v>
      </c>
      <c r="G36" t="s">
        <v>1016</v>
      </c>
      <c r="J36" t="s">
        <v>1017</v>
      </c>
      <c r="L36" s="9" t="s">
        <v>888</v>
      </c>
      <c r="M36" s="9"/>
      <c r="O36" s="81"/>
    </row>
    <row r="37" spans="1:15" x14ac:dyDescent="0.15">
      <c r="C37">
        <v>0</v>
      </c>
      <c r="D37">
        <v>2</v>
      </c>
      <c r="E37">
        <v>10</v>
      </c>
      <c r="F37">
        <v>0</v>
      </c>
      <c r="G37">
        <v>2</v>
      </c>
      <c r="H37">
        <v>10</v>
      </c>
      <c r="I37">
        <v>0</v>
      </c>
      <c r="J37">
        <v>2</v>
      </c>
      <c r="K37">
        <v>10</v>
      </c>
      <c r="L37" s="9" t="s">
        <v>889</v>
      </c>
      <c r="M37" s="9" t="s">
        <v>890</v>
      </c>
    </row>
    <row r="38" spans="1:15" x14ac:dyDescent="0.15">
      <c r="A38" t="s">
        <v>1018</v>
      </c>
      <c r="D38" s="10">
        <v>99.8</v>
      </c>
      <c r="E38" s="10">
        <v>99.8</v>
      </c>
      <c r="G38" s="10">
        <v>99.8</v>
      </c>
      <c r="H38" s="10">
        <v>99.8</v>
      </c>
      <c r="J38" s="10">
        <v>99.6</v>
      </c>
      <c r="K38" s="10">
        <v>99.6</v>
      </c>
      <c r="L38" s="11"/>
      <c r="M38" s="11"/>
    </row>
    <row r="39" spans="1:15" x14ac:dyDescent="0.15">
      <c r="A39" t="s">
        <v>1019</v>
      </c>
      <c r="B39" t="s">
        <v>494</v>
      </c>
      <c r="D39" s="10">
        <v>175.4</v>
      </c>
      <c r="E39" s="10">
        <v>175.4</v>
      </c>
      <c r="G39" s="10">
        <v>175.4</v>
      </c>
      <c r="H39" s="10">
        <v>175.4</v>
      </c>
      <c r="J39" s="10">
        <v>175.7</v>
      </c>
      <c r="K39" s="10">
        <v>175.7</v>
      </c>
      <c r="L39" s="11"/>
      <c r="M39" s="11"/>
    </row>
    <row r="40" spans="1:15" x14ac:dyDescent="0.15">
      <c r="A40" t="s">
        <v>1021</v>
      </c>
      <c r="B40" t="s">
        <v>495</v>
      </c>
      <c r="D40" s="10">
        <v>294</v>
      </c>
      <c r="E40" s="10"/>
      <c r="G40" s="10">
        <v>300</v>
      </c>
      <c r="H40" s="10"/>
      <c r="J40" s="10">
        <v>298</v>
      </c>
      <c r="K40" s="10"/>
      <c r="L40" s="11"/>
      <c r="M40" s="11"/>
    </row>
    <row r="41" spans="1:15" x14ac:dyDescent="0.15">
      <c r="A41" t="s">
        <v>1020</v>
      </c>
      <c r="B41" t="s">
        <v>496</v>
      </c>
      <c r="D41" s="10">
        <v>350</v>
      </c>
      <c r="E41" s="10">
        <v>1400</v>
      </c>
      <c r="G41" s="10">
        <v>350</v>
      </c>
      <c r="H41" s="10">
        <v>1400</v>
      </c>
      <c r="J41" s="10">
        <v>349</v>
      </c>
      <c r="K41" s="10">
        <v>1400</v>
      </c>
      <c r="L41" s="11"/>
      <c r="M41" s="11"/>
    </row>
    <row r="42" spans="1:15" x14ac:dyDescent="0.15">
      <c r="A42" t="s">
        <v>881</v>
      </c>
      <c r="B42" t="s">
        <v>882</v>
      </c>
      <c r="C42">
        <v>0</v>
      </c>
      <c r="D42" s="10" t="s">
        <v>1049</v>
      </c>
      <c r="E42" s="10" t="s">
        <v>1050</v>
      </c>
      <c r="F42">
        <v>0</v>
      </c>
      <c r="G42" s="10" t="s">
        <v>1049</v>
      </c>
      <c r="H42" s="10" t="s">
        <v>1050</v>
      </c>
      <c r="I42">
        <v>0</v>
      </c>
      <c r="J42" s="10" t="s">
        <v>1049</v>
      </c>
      <c r="K42" s="10" t="s">
        <v>1050</v>
      </c>
      <c r="L42" s="11">
        <v>0.1</v>
      </c>
      <c r="M42" s="11">
        <v>0.54</v>
      </c>
    </row>
    <row r="43" spans="1:15" x14ac:dyDescent="0.15">
      <c r="A43" t="s">
        <v>908</v>
      </c>
      <c r="B43" t="s">
        <v>882</v>
      </c>
      <c r="C43">
        <v>0</v>
      </c>
      <c r="D43" s="10">
        <v>0.111</v>
      </c>
      <c r="E43" s="10">
        <v>0.2</v>
      </c>
      <c r="F43">
        <v>0</v>
      </c>
      <c r="G43" s="10">
        <v>4.7399999999999998E-2</v>
      </c>
      <c r="H43" s="10">
        <v>0.16</v>
      </c>
      <c r="I43">
        <v>0</v>
      </c>
      <c r="J43" s="10">
        <v>3.2599999999999997E-2</v>
      </c>
      <c r="K43" s="10">
        <v>0.121</v>
      </c>
      <c r="L43" s="11">
        <v>7</v>
      </c>
      <c r="M43" s="11">
        <v>20</v>
      </c>
    </row>
    <row r="44" spans="1:15" x14ac:dyDescent="0.15">
      <c r="A44" t="s">
        <v>1022</v>
      </c>
      <c r="B44" t="s">
        <v>882</v>
      </c>
      <c r="C44">
        <v>0</v>
      </c>
      <c r="D44" s="10" t="s">
        <v>719</v>
      </c>
      <c r="E44" s="10" t="s">
        <v>723</v>
      </c>
      <c r="F44">
        <v>0</v>
      </c>
      <c r="G44" s="10" t="s">
        <v>719</v>
      </c>
      <c r="H44" s="10" t="s">
        <v>723</v>
      </c>
      <c r="I44">
        <v>0</v>
      </c>
      <c r="J44" s="10" t="s">
        <v>719</v>
      </c>
      <c r="K44" s="10" t="s">
        <v>723</v>
      </c>
      <c r="L44" s="11">
        <v>0.03</v>
      </c>
      <c r="M44" s="11">
        <v>0.04</v>
      </c>
    </row>
    <row r="45" spans="1:15" x14ac:dyDescent="0.15">
      <c r="A45" t="s">
        <v>910</v>
      </c>
      <c r="B45" t="s">
        <v>882</v>
      </c>
      <c r="C45">
        <v>0</v>
      </c>
      <c r="D45" s="10">
        <v>3.48E-3</v>
      </c>
      <c r="E45" s="10" t="s">
        <v>724</v>
      </c>
      <c r="F45">
        <v>0</v>
      </c>
      <c r="G45" s="10" t="s">
        <v>725</v>
      </c>
      <c r="H45" s="10" t="s">
        <v>726</v>
      </c>
      <c r="I45">
        <v>0</v>
      </c>
      <c r="J45" s="10" t="s">
        <v>725</v>
      </c>
      <c r="K45" s="10" t="s">
        <v>726</v>
      </c>
      <c r="L45" s="11">
        <v>0.2</v>
      </c>
      <c r="M45" s="11">
        <v>0.5</v>
      </c>
    </row>
    <row r="46" spans="1:15" x14ac:dyDescent="0.15">
      <c r="A46" t="s">
        <v>722</v>
      </c>
      <c r="B46" t="s">
        <v>882</v>
      </c>
      <c r="C46">
        <v>0</v>
      </c>
      <c r="D46" s="10">
        <v>2.3E-2</v>
      </c>
      <c r="E46" s="10">
        <v>4.3900000000000002E-2</v>
      </c>
      <c r="F46">
        <v>0</v>
      </c>
      <c r="G46" s="10">
        <v>3.8800000000000001E-2</v>
      </c>
      <c r="H46" s="10">
        <v>7.3200000000000001E-2</v>
      </c>
      <c r="I46">
        <v>0</v>
      </c>
      <c r="J46" s="10">
        <v>3.5000000000000003E-2</v>
      </c>
      <c r="K46" s="10">
        <v>8.3400000000000002E-2</v>
      </c>
      <c r="L46" s="11">
        <v>0.9</v>
      </c>
      <c r="M46" s="11">
        <v>2</v>
      </c>
    </row>
    <row r="47" spans="1:15" x14ac:dyDescent="0.15">
      <c r="A47" t="s">
        <v>1023</v>
      </c>
      <c r="B47" t="s">
        <v>882</v>
      </c>
      <c r="C47">
        <v>0</v>
      </c>
      <c r="D47" s="10" t="s">
        <v>720</v>
      </c>
      <c r="E47" s="10" t="s">
        <v>886</v>
      </c>
      <c r="F47">
        <v>0</v>
      </c>
      <c r="G47" s="10" t="s">
        <v>720</v>
      </c>
      <c r="H47" s="10" t="s">
        <v>886</v>
      </c>
      <c r="I47">
        <v>0</v>
      </c>
      <c r="J47" s="10" t="s">
        <v>720</v>
      </c>
      <c r="K47" s="10" t="s">
        <v>886</v>
      </c>
      <c r="L47" s="11">
        <v>3.0000000000000001E-3</v>
      </c>
      <c r="M47" s="11">
        <v>0.01</v>
      </c>
    </row>
    <row r="48" spans="1:15" x14ac:dyDescent="0.15">
      <c r="A48" t="s">
        <v>1024</v>
      </c>
      <c r="B48" t="s">
        <v>882</v>
      </c>
      <c r="C48">
        <v>0</v>
      </c>
      <c r="D48" s="10">
        <v>1.41E-3</v>
      </c>
      <c r="E48" s="10" t="s">
        <v>726</v>
      </c>
      <c r="F48">
        <v>0</v>
      </c>
      <c r="G48" s="10">
        <v>1.17E-3</v>
      </c>
      <c r="H48" s="10" t="s">
        <v>726</v>
      </c>
      <c r="I48">
        <v>0</v>
      </c>
      <c r="J48" s="10">
        <v>2.3400000000000001E-3</v>
      </c>
      <c r="K48" s="10" t="s">
        <v>887</v>
      </c>
      <c r="L48" s="11">
        <v>0.3</v>
      </c>
      <c r="M48" s="11">
        <v>0.5</v>
      </c>
    </row>
    <row r="49" spans="1:13" x14ac:dyDescent="0.15">
      <c r="A49" t="s">
        <v>1025</v>
      </c>
      <c r="B49" t="s">
        <v>882</v>
      </c>
      <c r="C49">
        <v>0</v>
      </c>
      <c r="D49" s="10">
        <v>9.8600000000000007E-3</v>
      </c>
      <c r="E49" s="10">
        <v>1.6899999999999998E-2</v>
      </c>
      <c r="F49">
        <v>0</v>
      </c>
      <c r="G49" s="10">
        <v>4.0800000000000003E-3</v>
      </c>
      <c r="H49" s="10">
        <v>9.6900000000000007E-3</v>
      </c>
      <c r="I49">
        <v>0</v>
      </c>
      <c r="J49" s="10">
        <v>1.8699999999999999E-3</v>
      </c>
      <c r="K49" s="10">
        <v>6.8599999999999998E-3</v>
      </c>
      <c r="L49" s="11">
        <v>0.2</v>
      </c>
      <c r="M49" s="11">
        <v>0.4</v>
      </c>
    </row>
    <row r="50" spans="1:13" x14ac:dyDescent="0.15">
      <c r="A50" t="s">
        <v>1026</v>
      </c>
      <c r="B50" t="s">
        <v>882</v>
      </c>
      <c r="C50">
        <v>0</v>
      </c>
      <c r="D50" s="10">
        <v>8.1400000000000005E-4</v>
      </c>
      <c r="E50" s="10" t="s">
        <v>1049</v>
      </c>
      <c r="F50">
        <v>0</v>
      </c>
      <c r="G50" s="10">
        <v>5.0000000000000001E-4</v>
      </c>
      <c r="H50" s="10" t="s">
        <v>1049</v>
      </c>
      <c r="I50">
        <v>0</v>
      </c>
      <c r="J50" s="10" t="s">
        <v>891</v>
      </c>
      <c r="K50" s="10" t="s">
        <v>1049</v>
      </c>
      <c r="L50" s="11">
        <v>0.2</v>
      </c>
      <c r="M50" s="11">
        <v>0.5</v>
      </c>
    </row>
    <row r="51" spans="1:13" x14ac:dyDescent="0.15">
      <c r="A51" t="s">
        <v>1027</v>
      </c>
      <c r="B51" t="s">
        <v>882</v>
      </c>
      <c r="C51">
        <v>0</v>
      </c>
      <c r="D51" s="10">
        <v>9.5600000000000004E-4</v>
      </c>
      <c r="E51" s="10">
        <v>2.1099999999999999E-3</v>
      </c>
      <c r="F51">
        <v>0</v>
      </c>
      <c r="G51" s="10">
        <v>1.17E-3</v>
      </c>
      <c r="H51" s="10">
        <v>2.8999999999999998E-3</v>
      </c>
      <c r="I51">
        <v>0</v>
      </c>
      <c r="J51" s="10">
        <v>1.4499999999999999E-3</v>
      </c>
      <c r="K51" s="10">
        <v>3.0999999999999999E-3</v>
      </c>
      <c r="L51" s="11">
        <v>0.02</v>
      </c>
      <c r="M51" s="11">
        <v>0.06</v>
      </c>
    </row>
    <row r="52" spans="1:13" x14ac:dyDescent="0.15">
      <c r="A52" t="s">
        <v>967</v>
      </c>
      <c r="B52" t="s">
        <v>882</v>
      </c>
      <c r="C52">
        <v>0</v>
      </c>
      <c r="D52" s="10">
        <v>3.6400000000000001E-4</v>
      </c>
      <c r="E52" s="10">
        <v>1.16E-3</v>
      </c>
      <c r="F52">
        <v>0</v>
      </c>
      <c r="G52" s="10">
        <v>3.5799999999999998E-3</v>
      </c>
      <c r="H52" s="10">
        <v>6.5700000000000003E-3</v>
      </c>
      <c r="I52">
        <v>0</v>
      </c>
      <c r="J52" s="10">
        <v>7.4799999999999997E-4</v>
      </c>
      <c r="K52" s="10">
        <v>2.1099999999999999E-3</v>
      </c>
      <c r="L52" s="11">
        <v>0.06</v>
      </c>
      <c r="M52" s="11">
        <v>0.1</v>
      </c>
    </row>
    <row r="53" spans="1:13" x14ac:dyDescent="0.15">
      <c r="A53" t="s">
        <v>819</v>
      </c>
      <c r="B53" t="s">
        <v>882</v>
      </c>
      <c r="C53">
        <v>0</v>
      </c>
      <c r="D53" s="10" t="s">
        <v>960</v>
      </c>
      <c r="E53" s="10" t="s">
        <v>892</v>
      </c>
      <c r="F53">
        <v>0</v>
      </c>
      <c r="G53" s="10" t="s">
        <v>960</v>
      </c>
      <c r="H53" s="10" t="s">
        <v>892</v>
      </c>
      <c r="I53">
        <v>0</v>
      </c>
      <c r="J53" s="10" t="s">
        <v>960</v>
      </c>
      <c r="K53" s="10" t="s">
        <v>892</v>
      </c>
      <c r="L53" s="11">
        <v>2</v>
      </c>
      <c r="M53" s="11">
        <v>4</v>
      </c>
    </row>
    <row r="54" spans="1:13" x14ac:dyDescent="0.15">
      <c r="A54" t="s">
        <v>902</v>
      </c>
      <c r="B54" t="s">
        <v>493</v>
      </c>
      <c r="C54">
        <v>0</v>
      </c>
      <c r="D54" s="10">
        <v>10</v>
      </c>
      <c r="E54" s="10">
        <v>9.8000000000000007</v>
      </c>
      <c r="F54">
        <v>0</v>
      </c>
      <c r="G54" s="10">
        <v>9.8000000000000007</v>
      </c>
      <c r="H54" s="10">
        <v>9.6999999999999993</v>
      </c>
      <c r="I54">
        <v>0</v>
      </c>
      <c r="J54" s="10">
        <v>9.3000000000000007</v>
      </c>
      <c r="K54" s="10">
        <v>9.5</v>
      </c>
      <c r="L54" s="11"/>
      <c r="M54" s="11"/>
    </row>
    <row r="55" spans="1:13" x14ac:dyDescent="0.15">
      <c r="A55" t="s">
        <v>904</v>
      </c>
      <c r="B55" t="s">
        <v>882</v>
      </c>
      <c r="C55">
        <v>0</v>
      </c>
      <c r="D55" s="10">
        <v>17.899999999999999</v>
      </c>
      <c r="E55" s="10">
        <v>7.4</v>
      </c>
      <c r="F55">
        <v>0</v>
      </c>
      <c r="G55" s="10">
        <v>14.1</v>
      </c>
      <c r="H55" s="10">
        <v>5.9</v>
      </c>
      <c r="I55">
        <v>0</v>
      </c>
      <c r="J55" s="10">
        <v>11.1</v>
      </c>
      <c r="K55" s="10">
        <v>5.4</v>
      </c>
      <c r="L55" s="11"/>
      <c r="M55" s="11"/>
    </row>
    <row r="56" spans="1:13" x14ac:dyDescent="0.15">
      <c r="A56" t="s">
        <v>968</v>
      </c>
      <c r="B56" t="s">
        <v>882</v>
      </c>
      <c r="C56">
        <v>0</v>
      </c>
      <c r="D56" s="10">
        <v>24</v>
      </c>
      <c r="E56" s="10">
        <v>34.299999999999997</v>
      </c>
      <c r="F56">
        <v>0</v>
      </c>
      <c r="G56" s="10">
        <v>20</v>
      </c>
      <c r="H56" s="10" t="s">
        <v>893</v>
      </c>
      <c r="I56">
        <v>0</v>
      </c>
      <c r="J56" s="10">
        <v>40</v>
      </c>
      <c r="K56" s="10">
        <v>62.3</v>
      </c>
      <c r="L56" s="11"/>
      <c r="M56" s="11"/>
    </row>
    <row r="57" spans="1:13" x14ac:dyDescent="0.15">
      <c r="A57" t="s">
        <v>905</v>
      </c>
      <c r="B57" t="s">
        <v>882</v>
      </c>
      <c r="C57">
        <v>0</v>
      </c>
      <c r="D57" s="10">
        <v>16.2</v>
      </c>
      <c r="E57" s="10">
        <v>19.5</v>
      </c>
      <c r="F57">
        <v>0</v>
      </c>
      <c r="G57" s="10">
        <v>10</v>
      </c>
      <c r="H57" s="10" t="s">
        <v>894</v>
      </c>
      <c r="I57">
        <v>0</v>
      </c>
      <c r="J57" s="10">
        <v>6.4</v>
      </c>
      <c r="K57" s="10" t="s">
        <v>895</v>
      </c>
      <c r="L57" s="11">
        <v>550</v>
      </c>
      <c r="M57" s="11">
        <v>800</v>
      </c>
    </row>
    <row r="58" spans="1:13" x14ac:dyDescent="0.15">
      <c r="A58" t="s">
        <v>969</v>
      </c>
      <c r="B58" t="s">
        <v>882</v>
      </c>
      <c r="C58">
        <v>0</v>
      </c>
      <c r="D58" s="10" t="s">
        <v>721</v>
      </c>
      <c r="E58" s="10" t="s">
        <v>896</v>
      </c>
      <c r="F58">
        <v>0</v>
      </c>
      <c r="G58" s="10" t="s">
        <v>721</v>
      </c>
      <c r="H58" s="10" t="s">
        <v>896</v>
      </c>
      <c r="I58">
        <v>0</v>
      </c>
      <c r="J58" s="10" t="s">
        <v>721</v>
      </c>
      <c r="K58" s="10" t="s">
        <v>896</v>
      </c>
      <c r="L58" s="11">
        <v>4</v>
      </c>
      <c r="M58" s="11">
        <v>10</v>
      </c>
    </row>
    <row r="59" spans="1:13" x14ac:dyDescent="0.15">
      <c r="A59" t="s">
        <v>906</v>
      </c>
      <c r="B59" t="s">
        <v>882</v>
      </c>
      <c r="C59">
        <v>0</v>
      </c>
      <c r="D59" s="10">
        <v>10.4</v>
      </c>
      <c r="E59" s="10">
        <v>17.100000000000001</v>
      </c>
      <c r="F59">
        <v>0</v>
      </c>
      <c r="G59" s="10">
        <v>14</v>
      </c>
      <c r="H59" s="10">
        <v>20.3</v>
      </c>
      <c r="I59">
        <v>0</v>
      </c>
      <c r="J59" s="10">
        <v>14.8</v>
      </c>
      <c r="K59" s="10">
        <v>21.7</v>
      </c>
      <c r="L59" s="11">
        <v>560</v>
      </c>
      <c r="M59" s="11">
        <v>1000</v>
      </c>
    </row>
    <row r="102" spans="1:11" ht="28" x14ac:dyDescent="0.15">
      <c r="A102" s="173"/>
      <c r="B102" s="148"/>
      <c r="C102" s="185" t="s">
        <v>32</v>
      </c>
      <c r="D102" s="185" t="s">
        <v>25</v>
      </c>
      <c r="E102" s="185" t="s">
        <v>32</v>
      </c>
      <c r="F102" s="185" t="s">
        <v>26</v>
      </c>
      <c r="G102" s="185" t="s">
        <v>27</v>
      </c>
      <c r="H102" s="185" t="s">
        <v>28</v>
      </c>
      <c r="I102" s="185" t="s">
        <v>841</v>
      </c>
      <c r="J102" s="185" t="s">
        <v>842</v>
      </c>
      <c r="K102" s="185" t="s">
        <v>843</v>
      </c>
    </row>
    <row r="103" spans="1:11" ht="42" x14ac:dyDescent="0.15">
      <c r="B103" s="177"/>
      <c r="C103" s="186" t="s">
        <v>24</v>
      </c>
      <c r="D103" s="186" t="s">
        <v>29</v>
      </c>
      <c r="E103" s="186" t="s">
        <v>31</v>
      </c>
      <c r="F103" s="186" t="s">
        <v>7</v>
      </c>
      <c r="G103" s="186" t="s">
        <v>30</v>
      </c>
      <c r="H103" s="186" t="s">
        <v>8</v>
      </c>
      <c r="I103" s="186" t="s">
        <v>844</v>
      </c>
      <c r="J103" s="186" t="s">
        <v>844</v>
      </c>
      <c r="K103" s="186" t="s">
        <v>844</v>
      </c>
    </row>
    <row r="104" spans="1:11" x14ac:dyDescent="0.15">
      <c r="A104" t="s">
        <v>902</v>
      </c>
      <c r="B104" s="177"/>
      <c r="C104" s="178">
        <v>7.9</v>
      </c>
      <c r="D104" s="178"/>
      <c r="E104" s="178"/>
      <c r="F104" s="178"/>
      <c r="G104" s="178">
        <v>7.8</v>
      </c>
      <c r="H104" s="178">
        <v>8</v>
      </c>
      <c r="I104" s="178"/>
      <c r="J104" s="178"/>
      <c r="K104" s="178"/>
    </row>
    <row r="105" spans="1:11" x14ac:dyDescent="0.15">
      <c r="A105" t="s">
        <v>903</v>
      </c>
      <c r="B105" s="177" t="s">
        <v>9</v>
      </c>
      <c r="C105" s="178">
        <v>2.2999999999999998</v>
      </c>
      <c r="D105" s="178">
        <v>1.5</v>
      </c>
      <c r="E105" s="179">
        <v>2.077142857142857</v>
      </c>
      <c r="F105" s="178"/>
      <c r="G105" s="178">
        <v>0.93</v>
      </c>
      <c r="H105" s="178">
        <v>0.84</v>
      </c>
      <c r="I105" s="178"/>
      <c r="J105" s="178"/>
      <c r="K105" s="178"/>
    </row>
    <row r="106" spans="1:11" x14ac:dyDescent="0.15">
      <c r="A106" t="s">
        <v>904</v>
      </c>
      <c r="B106" s="177" t="s">
        <v>10</v>
      </c>
      <c r="C106" s="178">
        <v>41.8</v>
      </c>
      <c r="D106" s="178"/>
      <c r="E106" s="178"/>
      <c r="F106" s="178"/>
      <c r="G106" s="178"/>
      <c r="H106" s="178"/>
      <c r="I106" s="178"/>
      <c r="J106" s="178"/>
      <c r="K106" s="178"/>
    </row>
    <row r="107" spans="1:11" x14ac:dyDescent="0.15">
      <c r="A107" t="s">
        <v>905</v>
      </c>
      <c r="B107" s="177" t="s">
        <v>11</v>
      </c>
      <c r="C107" s="178">
        <v>12</v>
      </c>
      <c r="D107" s="178">
        <v>8.1999999999999993</v>
      </c>
      <c r="E107" s="179">
        <v>1.8800000000000001</v>
      </c>
      <c r="F107" s="176" t="s">
        <v>683</v>
      </c>
      <c r="G107" s="178">
        <v>170</v>
      </c>
      <c r="H107" s="178">
        <v>195</v>
      </c>
      <c r="I107" s="180">
        <v>110888.88888888888</v>
      </c>
      <c r="J107" s="180">
        <v>154444.44444444441</v>
      </c>
      <c r="K107" s="180">
        <v>285406.30053035892</v>
      </c>
    </row>
    <row r="108" spans="1:11" x14ac:dyDescent="0.15">
      <c r="A108" t="s">
        <v>684</v>
      </c>
      <c r="B108" s="177"/>
      <c r="C108" s="178">
        <v>0.15</v>
      </c>
      <c r="D108" s="178">
        <v>0.17</v>
      </c>
      <c r="E108" s="179">
        <v>0.10142857142857144</v>
      </c>
      <c r="F108" s="176" t="s">
        <v>683</v>
      </c>
      <c r="G108" s="178">
        <v>1.1000000000000001</v>
      </c>
      <c r="H108" s="178">
        <v>1.3</v>
      </c>
      <c r="I108" s="180">
        <v>1615.5555555555552</v>
      </c>
      <c r="J108" s="180">
        <v>2224.4444444444443</v>
      </c>
      <c r="K108" s="180">
        <v>17754.126977835083</v>
      </c>
    </row>
    <row r="109" spans="1:11" x14ac:dyDescent="0.15">
      <c r="A109" t="s">
        <v>906</v>
      </c>
      <c r="B109" s="177" t="s">
        <v>12</v>
      </c>
      <c r="C109" s="178">
        <v>68.7</v>
      </c>
      <c r="D109" s="178">
        <v>18.8</v>
      </c>
      <c r="E109" s="181">
        <v>125.84285714285714</v>
      </c>
      <c r="F109" s="178">
        <v>1</v>
      </c>
      <c r="G109" s="178">
        <v>461</v>
      </c>
      <c r="H109" s="178">
        <v>521</v>
      </c>
      <c r="I109" s="180">
        <v>269333.33333333331</v>
      </c>
      <c r="J109" s="180">
        <v>260000</v>
      </c>
      <c r="K109" s="180">
        <v>1653905.5486652714</v>
      </c>
    </row>
    <row r="110" spans="1:11" x14ac:dyDescent="0.15">
      <c r="A110" t="s">
        <v>1036</v>
      </c>
      <c r="B110" s="177" t="s">
        <v>12</v>
      </c>
      <c r="C110" s="178" t="s">
        <v>13</v>
      </c>
      <c r="D110" s="178">
        <v>0.08</v>
      </c>
      <c r="E110" s="179">
        <v>3.0285714285714287E-2</v>
      </c>
      <c r="F110" s="178">
        <v>0.02</v>
      </c>
      <c r="G110" s="178"/>
      <c r="H110" s="178"/>
      <c r="I110" s="180">
        <v>79.333333333333343</v>
      </c>
      <c r="J110" s="180">
        <v>315.55555555555554</v>
      </c>
      <c r="K110" s="180">
        <v>96.90943242447419</v>
      </c>
    </row>
    <row r="111" spans="1:11" x14ac:dyDescent="0.15">
      <c r="A111" t="s">
        <v>1037</v>
      </c>
      <c r="B111" s="177" t="s">
        <v>12</v>
      </c>
      <c r="C111" s="178">
        <v>1.4</v>
      </c>
      <c r="D111" s="178">
        <v>11.9</v>
      </c>
      <c r="E111" s="179">
        <v>0.12550000000000003</v>
      </c>
      <c r="F111" s="178">
        <v>0.27</v>
      </c>
      <c r="G111" s="178">
        <v>8.4</v>
      </c>
      <c r="H111" s="178">
        <v>9.5</v>
      </c>
      <c r="I111" s="178"/>
      <c r="J111" s="178"/>
      <c r="K111" s="178"/>
    </row>
    <row r="112" spans="1:11" x14ac:dyDescent="0.15">
      <c r="A112" t="s">
        <v>1090</v>
      </c>
      <c r="B112" s="177" t="s">
        <v>12</v>
      </c>
      <c r="C112" s="178">
        <v>0.12</v>
      </c>
      <c r="D112" s="178">
        <v>7.4</v>
      </c>
      <c r="E112" s="179" t="s">
        <v>694</v>
      </c>
      <c r="F112" s="176" t="s">
        <v>694</v>
      </c>
      <c r="G112" s="178">
        <v>7.5</v>
      </c>
      <c r="H112" s="178">
        <v>9.6999999999999993</v>
      </c>
      <c r="I112" s="180">
        <v>3393.333333333333</v>
      </c>
      <c r="J112" s="180" t="s">
        <v>845</v>
      </c>
      <c r="K112" s="180">
        <v>17277.505225832185</v>
      </c>
    </row>
    <row r="113" spans="1:11" x14ac:dyDescent="0.15">
      <c r="A113" t="s">
        <v>1091</v>
      </c>
      <c r="B113" s="177" t="s">
        <v>12</v>
      </c>
      <c r="C113" s="178" t="s">
        <v>14</v>
      </c>
      <c r="D113" s="178">
        <v>3.33</v>
      </c>
      <c r="E113" s="179">
        <v>0.09</v>
      </c>
      <c r="F113" s="176" t="s">
        <v>695</v>
      </c>
      <c r="G113" s="178">
        <v>0.11</v>
      </c>
      <c r="H113" s="178">
        <v>8.8999999999999996E-2</v>
      </c>
      <c r="I113" s="181">
        <v>598.48745561138901</v>
      </c>
      <c r="J113" s="181" t="s">
        <v>845</v>
      </c>
      <c r="K113" s="181">
        <v>3047.2603561652604</v>
      </c>
    </row>
    <row r="114" spans="1:11" x14ac:dyDescent="0.15">
      <c r="A114" t="s">
        <v>685</v>
      </c>
      <c r="B114" s="177" t="s">
        <v>15</v>
      </c>
      <c r="C114" s="178">
        <v>58.4</v>
      </c>
      <c r="D114" s="178">
        <v>35.5</v>
      </c>
      <c r="E114" s="182">
        <v>68.228571428571428</v>
      </c>
      <c r="F114" s="178">
        <v>1.6</v>
      </c>
      <c r="G114" s="178">
        <v>174</v>
      </c>
      <c r="H114" s="178">
        <v>191</v>
      </c>
      <c r="I114" s="180">
        <v>83777.777777777796</v>
      </c>
      <c r="J114" s="180">
        <v>141777.77777777775</v>
      </c>
      <c r="K114" s="180">
        <v>581425.79721496301</v>
      </c>
    </row>
    <row r="115" spans="1:11" x14ac:dyDescent="0.15">
      <c r="A115" t="s">
        <v>907</v>
      </c>
      <c r="B115" s="177" t="s">
        <v>16</v>
      </c>
      <c r="C115" s="178" t="s">
        <v>17</v>
      </c>
      <c r="D115" s="178" t="s">
        <v>18</v>
      </c>
      <c r="E115" s="179">
        <v>0.11575714285714286</v>
      </c>
      <c r="F115" s="178">
        <v>7.0000000000000007E-2</v>
      </c>
      <c r="G115" s="178">
        <v>0.34</v>
      </c>
      <c r="H115" s="178">
        <v>0.59</v>
      </c>
      <c r="I115" s="183">
        <v>38.666666666666671</v>
      </c>
      <c r="J115" s="183">
        <v>12.511111111111109</v>
      </c>
      <c r="K115" s="182">
        <v>12.994962147480232</v>
      </c>
    </row>
    <row r="116" spans="1:11" x14ac:dyDescent="0.15">
      <c r="A116" t="s">
        <v>908</v>
      </c>
      <c r="B116" s="177" t="s">
        <v>16</v>
      </c>
      <c r="C116" s="178">
        <v>11.3</v>
      </c>
      <c r="D116" s="178">
        <v>17.7</v>
      </c>
      <c r="E116" s="182">
        <v>30.228571428571428</v>
      </c>
      <c r="F116" s="178">
        <v>5.64</v>
      </c>
      <c r="G116" s="178">
        <v>37</v>
      </c>
      <c r="H116" s="178">
        <v>35.200000000000003</v>
      </c>
      <c r="I116" s="183">
        <v>65.977777777777774</v>
      </c>
      <c r="J116" s="183">
        <v>39.199999999999996</v>
      </c>
      <c r="K116" s="181">
        <v>216.35458450451142</v>
      </c>
    </row>
    <row r="117" spans="1:11" x14ac:dyDescent="0.15">
      <c r="A117" t="s">
        <v>909</v>
      </c>
      <c r="B117" s="177" t="s">
        <v>16</v>
      </c>
      <c r="C117" s="178">
        <v>1E-3</v>
      </c>
      <c r="D117" s="178">
        <v>3.3E-3</v>
      </c>
      <c r="E117" s="179">
        <v>5.1571428571428575E-3</v>
      </c>
      <c r="F117" s="176" t="s">
        <v>686</v>
      </c>
      <c r="G117" s="178">
        <v>1E-3</v>
      </c>
      <c r="H117" s="178">
        <v>1E-3</v>
      </c>
      <c r="I117" s="184">
        <v>4.6666666666666662E-2</v>
      </c>
      <c r="J117" s="184">
        <v>6.9555555555555551E-2</v>
      </c>
      <c r="K117" s="179">
        <v>0.11079310641027999</v>
      </c>
    </row>
    <row r="118" spans="1:11" x14ac:dyDescent="0.15">
      <c r="A118" t="s">
        <v>961</v>
      </c>
      <c r="B118" s="177" t="s">
        <v>16</v>
      </c>
      <c r="C118" s="178">
        <v>0.27</v>
      </c>
      <c r="D118" s="178">
        <v>0.34</v>
      </c>
      <c r="E118" s="179">
        <v>0.13457142857142856</v>
      </c>
      <c r="F118" s="178">
        <v>0.14000000000000001</v>
      </c>
      <c r="G118" s="178">
        <v>0.27200000000000002</v>
      </c>
      <c r="H118" s="178">
        <v>0.29099999999999998</v>
      </c>
      <c r="I118" s="184">
        <v>6.7777777777777784E-2</v>
      </c>
      <c r="J118" s="184">
        <v>0.10688888888888887</v>
      </c>
      <c r="K118" s="179">
        <v>0.2826613378502722</v>
      </c>
    </row>
    <row r="119" spans="1:11" x14ac:dyDescent="0.15">
      <c r="A119" t="s">
        <v>910</v>
      </c>
      <c r="B119" s="177" t="s">
        <v>16</v>
      </c>
      <c r="C119" s="178">
        <v>3.0000000000000001E-3</v>
      </c>
      <c r="D119" s="178">
        <v>0.04</v>
      </c>
      <c r="E119" s="179">
        <v>0.33601428571428565</v>
      </c>
      <c r="F119" s="178">
        <v>0.26</v>
      </c>
      <c r="G119" s="178">
        <v>5.0599999999999999E-2</v>
      </c>
      <c r="H119" s="178">
        <v>4.9500000000000002E-2</v>
      </c>
      <c r="I119" s="184">
        <v>0.67333333333333334</v>
      </c>
      <c r="J119" s="184">
        <v>0.16311111111111107</v>
      </c>
      <c r="K119" s="179">
        <v>0.24402618213552499</v>
      </c>
    </row>
    <row r="120" spans="1:11" x14ac:dyDescent="0.15">
      <c r="A120" t="s">
        <v>1042</v>
      </c>
      <c r="B120" s="177" t="s">
        <v>16</v>
      </c>
      <c r="C120" s="178">
        <v>8.8000000000000007</v>
      </c>
      <c r="D120" s="178">
        <v>4.4000000000000004</v>
      </c>
      <c r="E120" s="179">
        <v>0.1812857142857143</v>
      </c>
      <c r="F120" s="178">
        <v>0.51</v>
      </c>
      <c r="G120" s="178">
        <v>2.0699999999999998</v>
      </c>
      <c r="H120" s="178">
        <v>2.17</v>
      </c>
      <c r="I120" s="184">
        <v>9.5777777777777757</v>
      </c>
      <c r="J120" s="184">
        <v>1.357777777777778</v>
      </c>
      <c r="K120" s="182">
        <v>11.667708790027499</v>
      </c>
    </row>
    <row r="121" spans="1:11" x14ac:dyDescent="0.15">
      <c r="A121" t="s">
        <v>1043</v>
      </c>
      <c r="B121" s="177" t="s">
        <v>16</v>
      </c>
      <c r="C121" s="178" t="s">
        <v>19</v>
      </c>
      <c r="D121" s="178" t="s">
        <v>18</v>
      </c>
      <c r="E121" s="179" t="s">
        <v>848</v>
      </c>
      <c r="F121" s="178" t="s">
        <v>19</v>
      </c>
      <c r="G121" s="178" t="s">
        <v>19</v>
      </c>
      <c r="H121" s="178" t="s">
        <v>19</v>
      </c>
      <c r="I121" s="178" t="s">
        <v>848</v>
      </c>
      <c r="J121" s="184">
        <v>0.19266666666666668</v>
      </c>
      <c r="K121" s="178" t="s">
        <v>848</v>
      </c>
    </row>
    <row r="122" spans="1:11" x14ac:dyDescent="0.15">
      <c r="A122" t="s">
        <v>1044</v>
      </c>
      <c r="B122" s="177" t="s">
        <v>16</v>
      </c>
      <c r="C122" s="178">
        <v>3.6</v>
      </c>
      <c r="D122" s="178">
        <v>4.5999999999999996</v>
      </c>
      <c r="E122" s="179">
        <v>0.94399999999999995</v>
      </c>
      <c r="F122" s="176" t="s">
        <v>687</v>
      </c>
      <c r="G122" s="178">
        <v>19.2</v>
      </c>
      <c r="H122" s="178">
        <v>22.7</v>
      </c>
      <c r="I122" s="183">
        <v>20.2</v>
      </c>
      <c r="J122" s="183">
        <v>22.955555555555552</v>
      </c>
      <c r="K122" s="181">
        <v>133.56260603034949</v>
      </c>
    </row>
    <row r="123" spans="1:11" x14ac:dyDescent="0.15">
      <c r="A123" t="s">
        <v>1045</v>
      </c>
      <c r="B123" s="177" t="s">
        <v>20</v>
      </c>
      <c r="C123" s="178">
        <v>0.84</v>
      </c>
      <c r="D123" s="178">
        <v>0.19</v>
      </c>
      <c r="E123" s="179">
        <v>0.80142857142857138</v>
      </c>
      <c r="F123" s="178">
        <v>0.41</v>
      </c>
      <c r="G123" s="178">
        <v>1.07</v>
      </c>
      <c r="H123" s="178">
        <v>1.07</v>
      </c>
      <c r="I123" s="184">
        <v>0.435</v>
      </c>
      <c r="J123" s="184">
        <v>0.6313333333333333</v>
      </c>
      <c r="K123" s="179">
        <v>1.1738667477608846</v>
      </c>
    </row>
    <row r="124" spans="1:11" x14ac:dyDescent="0.15">
      <c r="A124" t="s">
        <v>1032</v>
      </c>
      <c r="B124" s="177" t="s">
        <v>20</v>
      </c>
      <c r="C124" s="178" t="s">
        <v>21</v>
      </c>
      <c r="D124" s="178" t="s">
        <v>22</v>
      </c>
      <c r="E124" s="179" t="s">
        <v>693</v>
      </c>
      <c r="F124" s="178">
        <v>2.5000000000000001E-2</v>
      </c>
      <c r="G124" s="176" t="s">
        <v>693</v>
      </c>
      <c r="H124" s="176" t="s">
        <v>693</v>
      </c>
      <c r="I124" s="184">
        <v>4.5666666666666675E-2</v>
      </c>
      <c r="J124" s="184">
        <v>0</v>
      </c>
      <c r="K124" s="178" t="s">
        <v>848</v>
      </c>
    </row>
    <row r="125" spans="1:11" x14ac:dyDescent="0.15">
      <c r="A125" t="s">
        <v>1033</v>
      </c>
      <c r="B125" s="177" t="s">
        <v>20</v>
      </c>
      <c r="C125" s="178">
        <v>74</v>
      </c>
      <c r="D125" s="178" t="s">
        <v>22</v>
      </c>
      <c r="E125" s="181">
        <v>167</v>
      </c>
      <c r="F125" s="178" t="s">
        <v>23</v>
      </c>
      <c r="G125" s="178" t="s">
        <v>23</v>
      </c>
      <c r="H125" s="178" t="s">
        <v>23</v>
      </c>
      <c r="I125" s="178"/>
      <c r="J125" s="178"/>
      <c r="K125" s="178"/>
    </row>
    <row r="126" spans="1:11" x14ac:dyDescent="0.15">
      <c r="A126" t="s">
        <v>1034</v>
      </c>
      <c r="B126" s="177" t="s">
        <v>20</v>
      </c>
      <c r="C126" s="178">
        <v>2.1</v>
      </c>
      <c r="D126" s="178">
        <v>1.18</v>
      </c>
      <c r="E126" s="179">
        <v>0.35827142857142852</v>
      </c>
      <c r="F126" s="178">
        <v>0.2</v>
      </c>
      <c r="G126" s="178">
        <v>0.47</v>
      </c>
      <c r="H126" s="178">
        <v>2.57</v>
      </c>
      <c r="I126" s="178"/>
      <c r="J126" s="178"/>
      <c r="K126" s="178"/>
    </row>
    <row r="127" spans="1:11" x14ac:dyDescent="0.15">
      <c r="A127" t="s">
        <v>1035</v>
      </c>
      <c r="B127" s="177" t="s">
        <v>20</v>
      </c>
      <c r="C127" s="178">
        <v>1.5</v>
      </c>
      <c r="D127" s="178">
        <v>1.31</v>
      </c>
      <c r="E127" s="179">
        <v>2.7977142857142856</v>
      </c>
      <c r="F127" s="178">
        <v>2.6</v>
      </c>
      <c r="G127" s="178">
        <v>0.93</v>
      </c>
      <c r="H127" s="178">
        <v>0.95</v>
      </c>
      <c r="I127" s="184">
        <v>9.4311111111111092</v>
      </c>
      <c r="J127" s="184">
        <v>5.3066666666666658</v>
      </c>
      <c r="K127" s="181">
        <v>150.45440364987547</v>
      </c>
    </row>
    <row r="128" spans="1:11" x14ac:dyDescent="0.15">
      <c r="A128" t="s">
        <v>1169</v>
      </c>
      <c r="B128" s="177" t="s">
        <v>12</v>
      </c>
      <c r="C128" s="178">
        <v>10.1</v>
      </c>
      <c r="D128" s="178">
        <v>4.0199999999999996</v>
      </c>
      <c r="E128" s="182">
        <v>14.381428571428572</v>
      </c>
      <c r="F128" s="178"/>
      <c r="G128" s="178">
        <v>21</v>
      </c>
      <c r="H128" s="178">
        <v>21</v>
      </c>
      <c r="I128" s="180">
        <v>4773.3333333333321</v>
      </c>
      <c r="J128" s="180">
        <v>37066.666666666664</v>
      </c>
      <c r="K128" s="180">
        <v>82388.120512546331</v>
      </c>
    </row>
    <row r="129" spans="1:11" x14ac:dyDescent="0.15">
      <c r="A129" t="s">
        <v>1170</v>
      </c>
      <c r="B129" s="177" t="s">
        <v>12</v>
      </c>
      <c r="C129" s="178">
        <v>7.4</v>
      </c>
      <c r="D129" s="178">
        <v>9.67</v>
      </c>
      <c r="E129" s="182">
        <v>10.958571428571428</v>
      </c>
      <c r="F129" s="178"/>
      <c r="G129" s="178">
        <v>106</v>
      </c>
      <c r="H129" s="178">
        <v>115</v>
      </c>
      <c r="I129" s="180">
        <v>104666.66666666667</v>
      </c>
      <c r="J129" s="180">
        <v>34377.777777777774</v>
      </c>
      <c r="K129" s="180">
        <v>170658.77986801986</v>
      </c>
    </row>
    <row r="130" spans="1:11" x14ac:dyDescent="0.15">
      <c r="A130" t="s">
        <v>1171</v>
      </c>
      <c r="B130" s="177" t="s">
        <v>12</v>
      </c>
      <c r="C130" s="178">
        <v>7.1</v>
      </c>
      <c r="D130" s="178">
        <v>3.77</v>
      </c>
      <c r="E130" s="182">
        <v>10.72142857142857</v>
      </c>
      <c r="F130" s="178"/>
      <c r="G130" s="178">
        <v>45</v>
      </c>
      <c r="H130" s="178">
        <v>49</v>
      </c>
      <c r="I130" s="180">
        <v>59688.888888888898</v>
      </c>
      <c r="J130" s="180">
        <v>39266.666666666672</v>
      </c>
      <c r="K130" s="180">
        <v>233647.30971293963</v>
      </c>
    </row>
    <row r="131" spans="1:11" x14ac:dyDescent="0.15">
      <c r="A131" t="s">
        <v>546</v>
      </c>
      <c r="B131" s="177" t="s">
        <v>20</v>
      </c>
      <c r="C131" s="178"/>
      <c r="D131" s="178"/>
      <c r="E131" s="181">
        <v>373.78</v>
      </c>
      <c r="F131" s="178"/>
      <c r="G131" s="178"/>
      <c r="H131" s="178"/>
      <c r="I131" s="178"/>
      <c r="J131" s="178"/>
      <c r="K131" s="178"/>
    </row>
    <row r="132" spans="1:11" x14ac:dyDescent="0.15">
      <c r="A132" t="s">
        <v>545</v>
      </c>
      <c r="B132" s="177" t="s">
        <v>20</v>
      </c>
      <c r="C132" s="178"/>
      <c r="D132" s="178"/>
      <c r="E132" s="179">
        <v>1.9900000000000001E-2</v>
      </c>
      <c r="F132" s="178"/>
      <c r="G132" s="178"/>
      <c r="H132" s="178"/>
      <c r="I132" s="178"/>
      <c r="J132" s="178"/>
      <c r="K132" s="178"/>
    </row>
    <row r="133" spans="1:11" x14ac:dyDescent="0.15"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</row>
  </sheetData>
  <phoneticPr fontId="8" type="noConversion"/>
  <pageMargins left="0.78740157499999996" right="0.78740157499999996" top="1" bottom="1" header="0" footer="0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159"/>
  <sheetViews>
    <sheetView topLeftCell="P69" workbookViewId="0">
      <selection activeCell="P162" sqref="P162"/>
    </sheetView>
  </sheetViews>
  <sheetFormatPr baseColWidth="10" defaultRowHeight="13" x14ac:dyDescent="0.15"/>
  <cols>
    <col min="4" max="5" width="11" customWidth="1"/>
    <col min="9" max="9" width="13.5" customWidth="1"/>
    <col min="10" max="10" width="11.83203125" customWidth="1"/>
    <col min="11" max="11" width="11" customWidth="1"/>
    <col min="12" max="12" width="13.5" customWidth="1"/>
    <col min="13" max="13" width="12.33203125" customWidth="1"/>
    <col min="14" max="14" width="9.5" customWidth="1"/>
  </cols>
  <sheetData>
    <row r="2" spans="1:14" s="12" customFormat="1" ht="42" x14ac:dyDescent="0.15">
      <c r="C2" s="12" t="s">
        <v>754</v>
      </c>
      <c r="D2" s="13" t="s">
        <v>753</v>
      </c>
      <c r="E2" s="13" t="s">
        <v>751</v>
      </c>
      <c r="F2" s="13" t="s">
        <v>751</v>
      </c>
      <c r="G2" s="13" t="s">
        <v>752</v>
      </c>
      <c r="H2" s="13" t="s">
        <v>883</v>
      </c>
      <c r="I2" s="12" t="s">
        <v>1102</v>
      </c>
      <c r="J2" s="13" t="s">
        <v>1103</v>
      </c>
      <c r="K2" s="13" t="s">
        <v>745</v>
      </c>
      <c r="L2" s="13" t="s">
        <v>898</v>
      </c>
      <c r="M2" s="12" t="s">
        <v>750</v>
      </c>
      <c r="N2" s="13" t="s">
        <v>1101</v>
      </c>
    </row>
    <row r="3" spans="1:14" s="1" customFormat="1" x14ac:dyDescent="0.15">
      <c r="A3" s="1" t="s">
        <v>746</v>
      </c>
      <c r="B3" s="1" t="s">
        <v>747</v>
      </c>
      <c r="D3" s="14" t="s">
        <v>748</v>
      </c>
      <c r="E3" s="14" t="s">
        <v>1104</v>
      </c>
      <c r="F3" s="14" t="s">
        <v>718</v>
      </c>
      <c r="G3" s="14" t="s">
        <v>749</v>
      </c>
      <c r="H3" s="14" t="s">
        <v>749</v>
      </c>
      <c r="I3" s="14" t="s">
        <v>884</v>
      </c>
      <c r="J3" s="14" t="s">
        <v>749</v>
      </c>
      <c r="K3" s="14" t="s">
        <v>884</v>
      </c>
      <c r="L3" s="14" t="s">
        <v>1144</v>
      </c>
      <c r="M3" s="1" t="s">
        <v>885</v>
      </c>
      <c r="N3" s="14" t="s">
        <v>748</v>
      </c>
    </row>
    <row r="4" spans="1:14" x14ac:dyDescent="0.15">
      <c r="A4">
        <v>29</v>
      </c>
      <c r="B4">
        <v>2012</v>
      </c>
      <c r="C4" s="17">
        <f>(D4*G4+D5*F5)/F4</f>
        <v>7.8780933834721107</v>
      </c>
      <c r="D4" s="7">
        <f>(K4+I4)*1000/G4*1000</f>
        <v>7.4379756468797567</v>
      </c>
      <c r="E4" s="7">
        <f>F4/1000000</f>
        <v>31.220639999999992</v>
      </c>
      <c r="F4" s="15">
        <f>F5+H4+J4</f>
        <v>31220639.999999993</v>
      </c>
      <c r="G4" s="15">
        <f>H4+J4</f>
        <v>756864</v>
      </c>
      <c r="H4" s="15">
        <f>6*60*60*24*365/1000</f>
        <v>189216</v>
      </c>
      <c r="I4" s="16">
        <f>J4*1000*$N$4/1000000000</f>
        <v>0.56764800000000004</v>
      </c>
      <c r="J4" s="15">
        <f>18*60*60*24*365/1000</f>
        <v>567648</v>
      </c>
      <c r="K4" s="15">
        <f>L4*$M$4/1000000</f>
        <v>5.0618879999999997</v>
      </c>
      <c r="L4" s="15">
        <v>281216</v>
      </c>
      <c r="M4">
        <v>18</v>
      </c>
      <c r="N4" s="15">
        <v>1</v>
      </c>
    </row>
    <row r="5" spans="1:14" x14ac:dyDescent="0.15">
      <c r="A5">
        <f>A4-1</f>
        <v>28</v>
      </c>
      <c r="B5">
        <f>B4-1</f>
        <v>2011</v>
      </c>
      <c r="C5" s="17">
        <f t="shared" ref="C5:C30" si="0">(D5*G5+D6*F6)/F5</f>
        <v>8.3069667171750279</v>
      </c>
      <c r="D5" s="7">
        <f t="shared" ref="D5:D31" si="1">(K5+I5)*1000/G5*1000</f>
        <v>7.8890279856234731</v>
      </c>
      <c r="E5" s="7">
        <f t="shared" ref="E5:E33" si="2">F5/1000000</f>
        <v>30.463775999999992</v>
      </c>
      <c r="F5" s="15">
        <f t="shared" ref="F5:F32" si="3">F6+H5+J5</f>
        <v>30463775.999999993</v>
      </c>
      <c r="G5" s="15">
        <f t="shared" ref="G5:G33" si="4">H5+J5</f>
        <v>776438.06896551722</v>
      </c>
      <c r="H5" s="15">
        <f>H4</f>
        <v>189216</v>
      </c>
      <c r="I5" s="16">
        <f t="shared" ref="I5:I33" si="5">J5*1000*$N$4/1000000000</f>
        <v>0.58722206896551721</v>
      </c>
      <c r="J5" s="15">
        <f>J4+(J$33-J$4)/29</f>
        <v>587222.06896551722</v>
      </c>
      <c r="K5" s="15">
        <f t="shared" ref="K5:K32" si="6">L5*$M$4/1000000</f>
        <v>5.5381195862068964</v>
      </c>
      <c r="L5" s="15">
        <f>L4+(L$33-L$4)/29</f>
        <v>307673.31034482759</v>
      </c>
    </row>
    <row r="6" spans="1:14" x14ac:dyDescent="0.15">
      <c r="A6">
        <f t="shared" ref="A6:A33" si="7">A5-1</f>
        <v>27</v>
      </c>
      <c r="B6">
        <f t="shared" ref="B6:B33" si="8">B5-1</f>
        <v>2010</v>
      </c>
      <c r="C6" s="17">
        <f t="shared" si="0"/>
        <v>8.7152337391071661</v>
      </c>
      <c r="D6" s="7">
        <f t="shared" si="1"/>
        <v>8.3178974224617619</v>
      </c>
      <c r="E6" s="7">
        <f t="shared" si="2"/>
        <v>29.687337931034474</v>
      </c>
      <c r="F6" s="15">
        <f>F7+H6+J6</f>
        <v>29687337.931034476</v>
      </c>
      <c r="G6" s="15">
        <f>H6+J6</f>
        <v>796012.13793103443</v>
      </c>
      <c r="H6" s="15">
        <f t="shared" ref="H6:H32" si="9">H5</f>
        <v>189216</v>
      </c>
      <c r="I6" s="16">
        <f>J6*1000*$N$4/1000000000</f>
        <v>0.60679613793103448</v>
      </c>
      <c r="J6" s="15">
        <f>J5+(J$33-J$4)/29</f>
        <v>606796.13793103443</v>
      </c>
      <c r="K6" s="15">
        <f t="shared" si="6"/>
        <v>6.014351172413793</v>
      </c>
      <c r="L6" s="15">
        <f t="shared" ref="L6:L32" si="10">L5+(L$33-L$4)/29</f>
        <v>334130.62068965519</v>
      </c>
    </row>
    <row r="7" spans="1:14" x14ac:dyDescent="0.15">
      <c r="A7">
        <f t="shared" si="7"/>
        <v>26</v>
      </c>
      <c r="B7">
        <f t="shared" si="8"/>
        <v>2009</v>
      </c>
      <c r="C7" s="17">
        <f t="shared" si="0"/>
        <v>9.1043411712269524</v>
      </c>
      <c r="D7" s="7">
        <f t="shared" si="1"/>
        <v>8.7261811263318148</v>
      </c>
      <c r="E7" s="7">
        <f t="shared" si="2"/>
        <v>28.891325793103441</v>
      </c>
      <c r="F7" s="15">
        <f t="shared" si="3"/>
        <v>28891325.793103442</v>
      </c>
      <c r="G7" s="15">
        <f t="shared" si="4"/>
        <v>815586.20689655165</v>
      </c>
      <c r="H7" s="15">
        <f t="shared" si="9"/>
        <v>189216</v>
      </c>
      <c r="I7" s="16">
        <f t="shared" si="5"/>
        <v>0.62637020689655165</v>
      </c>
      <c r="J7" s="15">
        <f t="shared" ref="J7:J32" si="11">J6+(J$33-J$4)/29</f>
        <v>626370.20689655165</v>
      </c>
      <c r="K7" s="15">
        <f t="shared" si="6"/>
        <v>6.4905827586206906</v>
      </c>
      <c r="L7" s="15">
        <f t="shared" si="10"/>
        <v>360587.93103448278</v>
      </c>
    </row>
    <row r="8" spans="1:14" x14ac:dyDescent="0.15">
      <c r="A8">
        <f t="shared" si="7"/>
        <v>25</v>
      </c>
      <c r="B8">
        <f t="shared" si="8"/>
        <v>2008</v>
      </c>
      <c r="C8" s="17">
        <f t="shared" si="0"/>
        <v>9.4756028847848555</v>
      </c>
      <c r="D8" s="7">
        <f t="shared" si="1"/>
        <v>9.1153265315829568</v>
      </c>
      <c r="E8" s="7">
        <f t="shared" si="2"/>
        <v>28.07573958620689</v>
      </c>
      <c r="F8" s="15">
        <f t="shared" si="3"/>
        <v>28075739.586206891</v>
      </c>
      <c r="G8" s="15">
        <f t="shared" si="4"/>
        <v>835160.27586206887</v>
      </c>
      <c r="H8" s="15">
        <f t="shared" si="9"/>
        <v>189216</v>
      </c>
      <c r="I8" s="16">
        <f t="shared" si="5"/>
        <v>0.64594427586206893</v>
      </c>
      <c r="J8" s="15">
        <f t="shared" si="11"/>
        <v>645944.27586206887</v>
      </c>
      <c r="K8" s="15">
        <f t="shared" si="6"/>
        <v>6.9668143448275872</v>
      </c>
      <c r="L8" s="15">
        <f t="shared" si="10"/>
        <v>387045.24137931038</v>
      </c>
    </row>
    <row r="9" spans="1:14" x14ac:dyDescent="0.15">
      <c r="A9">
        <f t="shared" si="7"/>
        <v>24</v>
      </c>
      <c r="B9">
        <f t="shared" si="8"/>
        <v>2007</v>
      </c>
      <c r="C9" s="17">
        <f t="shared" si="0"/>
        <v>9.8302147079112441</v>
      </c>
      <c r="D9" s="7">
        <f t="shared" si="1"/>
        <v>9.4866484831584703</v>
      </c>
      <c r="E9" s="7">
        <f t="shared" si="2"/>
        <v>27.240579310344824</v>
      </c>
      <c r="F9" s="15">
        <f t="shared" si="3"/>
        <v>27240579.310344823</v>
      </c>
      <c r="G9" s="15">
        <f t="shared" si="4"/>
        <v>854734.34482758609</v>
      </c>
      <c r="H9" s="15">
        <f t="shared" si="9"/>
        <v>189216</v>
      </c>
      <c r="I9" s="16">
        <f t="shared" si="5"/>
        <v>0.66551834482758609</v>
      </c>
      <c r="J9" s="15">
        <f>J8+(J$33-J$4)/29</f>
        <v>665518.34482758609</v>
      </c>
      <c r="K9" s="15">
        <f t="shared" si="6"/>
        <v>7.443045931034483</v>
      </c>
      <c r="L9" s="15">
        <f t="shared" si="10"/>
        <v>413502.55172413797</v>
      </c>
    </row>
    <row r="10" spans="1:14" x14ac:dyDescent="0.15">
      <c r="A10">
        <f t="shared" si="7"/>
        <v>23</v>
      </c>
      <c r="B10">
        <f t="shared" si="8"/>
        <v>2006</v>
      </c>
      <c r="C10" s="17">
        <f t="shared" si="0"/>
        <v>10.169267272085852</v>
      </c>
      <c r="D10" s="7">
        <f t="shared" si="1"/>
        <v>9.8413440786932949</v>
      </c>
      <c r="E10" s="7">
        <f t="shared" si="2"/>
        <v>26.385844965517236</v>
      </c>
      <c r="F10" s="15">
        <f t="shared" si="3"/>
        <v>26385844.965517238</v>
      </c>
      <c r="G10" s="15">
        <f t="shared" si="4"/>
        <v>874308.4137931033</v>
      </c>
      <c r="H10" s="15">
        <f t="shared" si="9"/>
        <v>189216</v>
      </c>
      <c r="I10" s="16">
        <f t="shared" si="5"/>
        <v>0.68509241379310337</v>
      </c>
      <c r="J10" s="15">
        <f t="shared" si="11"/>
        <v>685092.4137931033</v>
      </c>
      <c r="K10" s="15">
        <f t="shared" si="6"/>
        <v>7.9192775172413805</v>
      </c>
      <c r="L10" s="15">
        <f t="shared" si="10"/>
        <v>439959.86206896557</v>
      </c>
    </row>
    <row r="11" spans="1:14" x14ac:dyDescent="0.15">
      <c r="A11">
        <f t="shared" si="7"/>
        <v>22</v>
      </c>
      <c r="B11">
        <f t="shared" si="8"/>
        <v>2005</v>
      </c>
      <c r="C11" s="17">
        <f t="shared" si="0"/>
        <v>10.493757187012193</v>
      </c>
      <c r="D11" s="7">
        <f t="shared" si="1"/>
        <v>10.18050556055506</v>
      </c>
      <c r="E11" s="7">
        <f t="shared" si="2"/>
        <v>25.511536551724134</v>
      </c>
      <c r="F11" s="15">
        <f t="shared" si="3"/>
        <v>25511536.551724136</v>
      </c>
      <c r="G11" s="15">
        <f t="shared" si="4"/>
        <v>893882.48275862052</v>
      </c>
      <c r="H11" s="15">
        <f t="shared" si="9"/>
        <v>189216</v>
      </c>
      <c r="I11" s="16">
        <f t="shared" si="5"/>
        <v>0.70466648275862054</v>
      </c>
      <c r="J11" s="15">
        <f t="shared" si="11"/>
        <v>704666.48275862052</v>
      </c>
      <c r="K11" s="15">
        <f t="shared" si="6"/>
        <v>8.3955091034482781</v>
      </c>
      <c r="L11" s="15">
        <f t="shared" si="10"/>
        <v>466417.17241379316</v>
      </c>
    </row>
    <row r="12" spans="1:14" x14ac:dyDescent="0.15">
      <c r="A12">
        <f t="shared" si="7"/>
        <v>21</v>
      </c>
      <c r="B12">
        <f t="shared" si="8"/>
        <v>2004</v>
      </c>
      <c r="C12" s="17">
        <f t="shared" si="0"/>
        <v>10.804596783175203</v>
      </c>
      <c r="D12" s="7">
        <f t="shared" si="1"/>
        <v>10.505131550337033</v>
      </c>
      <c r="E12" s="7">
        <f t="shared" si="2"/>
        <v>24.617654068965518</v>
      </c>
      <c r="F12" s="15">
        <f t="shared" si="3"/>
        <v>24617654.068965517</v>
      </c>
      <c r="G12" s="15">
        <f t="shared" si="4"/>
        <v>913456.55172413774</v>
      </c>
      <c r="H12" s="15">
        <f t="shared" si="9"/>
        <v>189216</v>
      </c>
      <c r="I12" s="16">
        <f t="shared" si="5"/>
        <v>0.72424055172413782</v>
      </c>
      <c r="J12" s="15">
        <f t="shared" si="11"/>
        <v>724240.55172413774</v>
      </c>
      <c r="K12" s="15">
        <f t="shared" si="6"/>
        <v>8.8717406896551729</v>
      </c>
      <c r="L12" s="15">
        <f t="shared" si="10"/>
        <v>492874.48275862075</v>
      </c>
    </row>
    <row r="13" spans="1:14" x14ac:dyDescent="0.15">
      <c r="A13">
        <f t="shared" si="7"/>
        <v>20</v>
      </c>
      <c r="B13">
        <f t="shared" si="8"/>
        <v>2003</v>
      </c>
      <c r="C13" s="17">
        <f t="shared" si="0"/>
        <v>11.102622619713506</v>
      </c>
      <c r="D13" s="7">
        <f t="shared" si="1"/>
        <v>10.816136869219063</v>
      </c>
      <c r="E13" s="7">
        <f t="shared" si="2"/>
        <v>23.704197517241376</v>
      </c>
      <c r="F13" s="15">
        <f t="shared" si="3"/>
        <v>23704197.517241377</v>
      </c>
      <c r="G13" s="15">
        <f t="shared" si="4"/>
        <v>933030.62068965496</v>
      </c>
      <c r="H13" s="15">
        <f t="shared" si="9"/>
        <v>189216</v>
      </c>
      <c r="I13" s="16">
        <f t="shared" si="5"/>
        <v>0.74381462068965498</v>
      </c>
      <c r="J13" s="15">
        <f t="shared" si="11"/>
        <v>743814.62068965496</v>
      </c>
      <c r="K13" s="15">
        <f t="shared" si="6"/>
        <v>9.3479722758620696</v>
      </c>
      <c r="L13" s="15">
        <f t="shared" si="10"/>
        <v>519331.79310344835</v>
      </c>
    </row>
    <row r="14" spans="1:14" x14ac:dyDescent="0.15">
      <c r="A14">
        <f t="shared" si="7"/>
        <v>19</v>
      </c>
      <c r="B14">
        <f t="shared" si="8"/>
        <v>2002</v>
      </c>
      <c r="C14" s="17">
        <f t="shared" si="0"/>
        <v>11.38860292011713</v>
      </c>
      <c r="D14" s="7">
        <f t="shared" si="1"/>
        <v>11.114361147599096</v>
      </c>
      <c r="E14" s="7">
        <f t="shared" si="2"/>
        <v>22.771166896551719</v>
      </c>
      <c r="F14" s="15">
        <f t="shared" si="3"/>
        <v>22771166.896551721</v>
      </c>
      <c r="G14" s="15">
        <f t="shared" si="4"/>
        <v>952604.68965517217</v>
      </c>
      <c r="H14" s="15">
        <f t="shared" si="9"/>
        <v>189216</v>
      </c>
      <c r="I14" s="16">
        <f t="shared" si="5"/>
        <v>0.76338868965517226</v>
      </c>
      <c r="J14" s="15">
        <f t="shared" si="11"/>
        <v>763388.68965517217</v>
      </c>
      <c r="K14" s="15">
        <f t="shared" si="6"/>
        <v>9.8242038620689662</v>
      </c>
      <c r="L14" s="15">
        <f t="shared" si="10"/>
        <v>545789.10344827594</v>
      </c>
    </row>
    <row r="15" spans="1:14" x14ac:dyDescent="0.15">
      <c r="A15">
        <f t="shared" si="7"/>
        <v>18</v>
      </c>
      <c r="B15">
        <f t="shared" si="8"/>
        <v>2001</v>
      </c>
      <c r="C15" s="17">
        <f t="shared" si="0"/>
        <v>11.663244067853336</v>
      </c>
      <c r="D15" s="7">
        <f t="shared" si="1"/>
        <v>11.400576394634964</v>
      </c>
      <c r="E15" s="7">
        <f t="shared" si="2"/>
        <v>21.818562206896548</v>
      </c>
      <c r="F15" s="15">
        <f t="shared" si="3"/>
        <v>21818562.206896547</v>
      </c>
      <c r="G15" s="15">
        <f t="shared" si="4"/>
        <v>972178.75862068939</v>
      </c>
      <c r="H15" s="15">
        <f t="shared" si="9"/>
        <v>189216</v>
      </c>
      <c r="I15" s="16">
        <f t="shared" si="5"/>
        <v>0.78296275862068943</v>
      </c>
      <c r="J15" s="15">
        <f t="shared" si="11"/>
        <v>782962.75862068939</v>
      </c>
      <c r="K15" s="15">
        <f t="shared" si="6"/>
        <v>10.300435448275865</v>
      </c>
      <c r="L15" s="15">
        <f t="shared" si="10"/>
        <v>572246.41379310354</v>
      </c>
    </row>
    <row r="16" spans="1:14" x14ac:dyDescent="0.15">
      <c r="A16">
        <f t="shared" si="7"/>
        <v>17</v>
      </c>
      <c r="B16">
        <f t="shared" si="8"/>
        <v>2000</v>
      </c>
      <c r="C16" s="17">
        <f t="shared" si="0"/>
        <v>11.927196266583318</v>
      </c>
      <c r="D16" s="7">
        <f t="shared" si="1"/>
        <v>11.675493671393097</v>
      </c>
      <c r="E16" s="7">
        <f t="shared" si="2"/>
        <v>20.846383448275855</v>
      </c>
      <c r="F16" s="15">
        <f t="shared" si="3"/>
        <v>20846383.448275857</v>
      </c>
      <c r="G16" s="15">
        <f t="shared" si="4"/>
        <v>991752.82758620661</v>
      </c>
      <c r="H16" s="15">
        <f t="shared" si="9"/>
        <v>189216</v>
      </c>
      <c r="I16" s="16">
        <f t="shared" si="5"/>
        <v>0.80253682758620659</v>
      </c>
      <c r="J16" s="15">
        <f t="shared" si="11"/>
        <v>802536.82758620661</v>
      </c>
      <c r="K16" s="15">
        <f t="shared" si="6"/>
        <v>10.77666703448276</v>
      </c>
      <c r="L16" s="15">
        <f t="shared" si="10"/>
        <v>598703.72413793113</v>
      </c>
    </row>
    <row r="17" spans="1:14" x14ac:dyDescent="0.15">
      <c r="A17">
        <f t="shared" si="7"/>
        <v>16</v>
      </c>
      <c r="B17">
        <f t="shared" si="8"/>
        <v>1999</v>
      </c>
      <c r="C17" s="17">
        <f t="shared" si="0"/>
        <v>12.181058443254093</v>
      </c>
      <c r="D17" s="7">
        <f t="shared" si="1"/>
        <v>11.93976898905092</v>
      </c>
      <c r="E17" s="7">
        <f t="shared" si="2"/>
        <v>19.854630620689647</v>
      </c>
      <c r="F17" s="15">
        <f t="shared" si="3"/>
        <v>19854630.620689649</v>
      </c>
      <c r="G17" s="15">
        <f t="shared" si="4"/>
        <v>1011326.8965517238</v>
      </c>
      <c r="H17" s="15">
        <f t="shared" si="9"/>
        <v>189216</v>
      </c>
      <c r="I17" s="16">
        <f t="shared" si="5"/>
        <v>0.82211089655172387</v>
      </c>
      <c r="J17" s="15">
        <f t="shared" si="11"/>
        <v>822110.89655172382</v>
      </c>
      <c r="K17" s="15">
        <f t="shared" si="6"/>
        <v>11.252898620689656</v>
      </c>
      <c r="L17" s="15">
        <f t="shared" si="10"/>
        <v>625161.03448275873</v>
      </c>
    </row>
    <row r="18" spans="1:14" x14ac:dyDescent="0.15">
      <c r="A18">
        <f t="shared" si="7"/>
        <v>15</v>
      </c>
      <c r="B18">
        <f t="shared" si="8"/>
        <v>1998</v>
      </c>
      <c r="C18" s="17">
        <f t="shared" si="0"/>
        <v>12.425382444609802</v>
      </c>
      <c r="D18" s="7">
        <f t="shared" si="1"/>
        <v>12.194008535152117</v>
      </c>
      <c r="E18" s="7">
        <f t="shared" si="2"/>
        <v>18.843303724137925</v>
      </c>
      <c r="F18" s="15">
        <f t="shared" si="3"/>
        <v>18843303.724137925</v>
      </c>
      <c r="G18" s="15">
        <f t="shared" si="4"/>
        <v>1030900.965517241</v>
      </c>
      <c r="H18" s="15">
        <f t="shared" si="9"/>
        <v>189216</v>
      </c>
      <c r="I18" s="16">
        <f t="shared" si="5"/>
        <v>0.84168496551724103</v>
      </c>
      <c r="J18" s="15">
        <f t="shared" si="11"/>
        <v>841684.96551724104</v>
      </c>
      <c r="K18" s="15">
        <f t="shared" si="6"/>
        <v>11.729130206896555</v>
      </c>
      <c r="L18" s="15">
        <f t="shared" si="10"/>
        <v>651618.34482758632</v>
      </c>
    </row>
    <row r="19" spans="1:14" x14ac:dyDescent="0.15">
      <c r="A19">
        <f t="shared" si="7"/>
        <v>14</v>
      </c>
      <c r="B19">
        <f t="shared" si="8"/>
        <v>1997</v>
      </c>
      <c r="C19" s="17">
        <f t="shared" si="0"/>
        <v>12.660676545027536</v>
      </c>
      <c r="D19" s="7">
        <f t="shared" si="1"/>
        <v>12.4387733155601</v>
      </c>
      <c r="E19" s="7">
        <f t="shared" si="2"/>
        <v>17.812402758620681</v>
      </c>
      <c r="F19" s="15">
        <f t="shared" si="3"/>
        <v>17812402.758620683</v>
      </c>
      <c r="G19" s="15">
        <f t="shared" si="4"/>
        <v>1050475.0344827583</v>
      </c>
      <c r="H19" s="15">
        <f t="shared" si="9"/>
        <v>189216</v>
      </c>
      <c r="I19" s="16">
        <f t="shared" si="5"/>
        <v>0.86125903448275831</v>
      </c>
      <c r="J19" s="15">
        <f t="shared" si="11"/>
        <v>861259.03448275826</v>
      </c>
      <c r="K19" s="15">
        <f t="shared" si="6"/>
        <v>12.205361793103451</v>
      </c>
      <c r="L19" s="15">
        <f t="shared" si="10"/>
        <v>678075.65517241391</v>
      </c>
    </row>
    <row r="20" spans="1:14" x14ac:dyDescent="0.15">
      <c r="A20">
        <f t="shared" si="7"/>
        <v>13</v>
      </c>
      <c r="B20">
        <f t="shared" si="8"/>
        <v>1996</v>
      </c>
      <c r="C20" s="17">
        <f t="shared" si="0"/>
        <v>12.887408240285124</v>
      </c>
      <c r="D20" s="7">
        <f t="shared" si="1"/>
        <v>12.674583286928767</v>
      </c>
      <c r="E20" s="7">
        <f t="shared" si="2"/>
        <v>16.761927724137923</v>
      </c>
      <c r="F20" s="15">
        <f t="shared" si="3"/>
        <v>16761927.724137925</v>
      </c>
      <c r="G20" s="15">
        <f t="shared" si="4"/>
        <v>1070049.1034482755</v>
      </c>
      <c r="H20" s="15">
        <f t="shared" si="9"/>
        <v>189216</v>
      </c>
      <c r="I20" s="16">
        <f t="shared" si="5"/>
        <v>0.88083310344827548</v>
      </c>
      <c r="J20" s="15">
        <f t="shared" si="11"/>
        <v>880833.10344827548</v>
      </c>
      <c r="K20" s="15">
        <f t="shared" si="6"/>
        <v>12.681593379310348</v>
      </c>
      <c r="L20" s="15">
        <f t="shared" si="10"/>
        <v>704532.96551724151</v>
      </c>
    </row>
    <row r="21" spans="1:14" x14ac:dyDescent="0.15">
      <c r="A21">
        <f t="shared" si="7"/>
        <v>12</v>
      </c>
      <c r="B21">
        <f t="shared" si="8"/>
        <v>1995</v>
      </c>
      <c r="C21" s="17">
        <f t="shared" si="0"/>
        <v>13.106006237750805</v>
      </c>
      <c r="D21" s="7">
        <f t="shared" si="1"/>
        <v>12.901921043757241</v>
      </c>
      <c r="E21" s="7">
        <f t="shared" si="2"/>
        <v>15.69187862068965</v>
      </c>
      <c r="F21" s="15">
        <f t="shared" si="3"/>
        <v>15691878.620689649</v>
      </c>
      <c r="G21" s="15">
        <f t="shared" si="4"/>
        <v>1089623.1724137927</v>
      </c>
      <c r="H21" s="15">
        <f t="shared" si="9"/>
        <v>189216</v>
      </c>
      <c r="I21" s="16">
        <f t="shared" si="5"/>
        <v>0.90040717241379276</v>
      </c>
      <c r="J21" s="15">
        <f t="shared" si="11"/>
        <v>900407.17241379269</v>
      </c>
      <c r="K21" s="15">
        <f t="shared" si="6"/>
        <v>13.157824965517243</v>
      </c>
      <c r="L21" s="15">
        <f t="shared" si="10"/>
        <v>730990.2758620691</v>
      </c>
    </row>
    <row r="22" spans="1:14" x14ac:dyDescent="0.15">
      <c r="A22">
        <f t="shared" si="7"/>
        <v>11</v>
      </c>
      <c r="B22">
        <f t="shared" si="8"/>
        <v>1994</v>
      </c>
      <c r="C22" s="17">
        <f t="shared" si="0"/>
        <v>13.316861449477978</v>
      </c>
      <c r="D22" s="7">
        <f t="shared" si="1"/>
        <v>13.121235115050592</v>
      </c>
      <c r="E22" s="7">
        <f t="shared" si="2"/>
        <v>14.602255448275857</v>
      </c>
      <c r="F22" s="15">
        <f t="shared" si="3"/>
        <v>14602255.448275857</v>
      </c>
      <c r="G22" s="15">
        <f t="shared" si="4"/>
        <v>1109197.2413793099</v>
      </c>
      <c r="H22" s="15">
        <f t="shared" si="9"/>
        <v>189216</v>
      </c>
      <c r="I22" s="16">
        <f t="shared" si="5"/>
        <v>0.91998124137930992</v>
      </c>
      <c r="J22" s="15">
        <f t="shared" si="11"/>
        <v>919981.24137930991</v>
      </c>
      <c r="K22" s="15">
        <f t="shared" si="6"/>
        <v>13.634056551724139</v>
      </c>
      <c r="L22" s="15">
        <f t="shared" si="10"/>
        <v>757447.5862068967</v>
      </c>
    </row>
    <row r="23" spans="1:14" x14ac:dyDescent="0.15">
      <c r="A23">
        <f t="shared" si="7"/>
        <v>10</v>
      </c>
      <c r="B23">
        <f t="shared" si="8"/>
        <v>1993</v>
      </c>
      <c r="C23" s="17">
        <f t="shared" si="0"/>
        <v>13.520326613004139</v>
      </c>
      <c r="D23" s="7">
        <f t="shared" si="1"/>
        <v>13.332942917975393</v>
      </c>
      <c r="E23" s="7">
        <f t="shared" si="2"/>
        <v>13.493058206896547</v>
      </c>
      <c r="F23" s="15">
        <f t="shared" si="3"/>
        <v>13493058.206896547</v>
      </c>
      <c r="G23" s="15">
        <f t="shared" si="4"/>
        <v>1128771.3103448271</v>
      </c>
      <c r="H23" s="15">
        <f t="shared" si="9"/>
        <v>189216</v>
      </c>
      <c r="I23" s="16">
        <f t="shared" si="5"/>
        <v>0.9395553103448272</v>
      </c>
      <c r="J23" s="15">
        <f t="shared" si="11"/>
        <v>939555.31034482713</v>
      </c>
      <c r="K23" s="15">
        <f t="shared" si="6"/>
        <v>14.110288137931038</v>
      </c>
      <c r="L23" s="15">
        <f t="shared" si="10"/>
        <v>783904.89655172429</v>
      </c>
    </row>
    <row r="24" spans="1:14" x14ac:dyDescent="0.15">
      <c r="A24">
        <f t="shared" si="7"/>
        <v>9</v>
      </c>
      <c r="B24">
        <f t="shared" si="8"/>
        <v>1992</v>
      </c>
      <c r="C24" s="17">
        <f t="shared" si="0"/>
        <v>13.71671382624746</v>
      </c>
      <c r="D24" s="7">
        <f t="shared" si="1"/>
        <v>13.537433409436842</v>
      </c>
      <c r="E24" s="7">
        <f t="shared" si="2"/>
        <v>12.364286896551722</v>
      </c>
      <c r="F24" s="15">
        <f t="shared" si="3"/>
        <v>12364286.896551721</v>
      </c>
      <c r="G24" s="15">
        <f t="shared" si="4"/>
        <v>1148345.3793103443</v>
      </c>
      <c r="H24" s="15">
        <f t="shared" si="9"/>
        <v>189216</v>
      </c>
      <c r="I24" s="16">
        <f t="shared" si="5"/>
        <v>0.95912937931034437</v>
      </c>
      <c r="J24" s="15">
        <f t="shared" si="11"/>
        <v>959129.37931034435</v>
      </c>
      <c r="K24" s="15">
        <f t="shared" si="6"/>
        <v>14.586519724137935</v>
      </c>
      <c r="L24" s="15">
        <f t="shared" si="10"/>
        <v>810362.20689655188</v>
      </c>
    </row>
    <row r="25" spans="1:14" x14ac:dyDescent="0.15">
      <c r="A25">
        <f t="shared" si="7"/>
        <v>8</v>
      </c>
      <c r="B25">
        <f t="shared" si="8"/>
        <v>1991</v>
      </c>
      <c r="C25" s="17">
        <f t="shared" si="0"/>
        <v>13.906288612386659</v>
      </c>
      <c r="D25" s="7">
        <f t="shared" si="1"/>
        <v>13.735069471016903</v>
      </c>
      <c r="E25" s="7">
        <f t="shared" si="2"/>
        <v>11.215941517241376</v>
      </c>
      <c r="F25" s="15">
        <f t="shared" si="3"/>
        <v>11215941.517241376</v>
      </c>
      <c r="G25" s="15">
        <f t="shared" si="4"/>
        <v>1167919.4482758616</v>
      </c>
      <c r="H25" s="15">
        <f t="shared" si="9"/>
        <v>189216</v>
      </c>
      <c r="I25" s="16">
        <f t="shared" si="5"/>
        <v>0.97870344827586164</v>
      </c>
      <c r="J25" s="15">
        <f t="shared" si="11"/>
        <v>978703.44827586156</v>
      </c>
      <c r="K25" s="15">
        <f t="shared" si="6"/>
        <v>15.062751310344829</v>
      </c>
      <c r="L25" s="15">
        <f t="shared" si="10"/>
        <v>836819.51724137948</v>
      </c>
    </row>
    <row r="26" spans="1:14" x14ac:dyDescent="0.15">
      <c r="A26">
        <f t="shared" si="7"/>
        <v>7</v>
      </c>
      <c r="B26">
        <f t="shared" si="8"/>
        <v>1990</v>
      </c>
      <c r="C26" s="17">
        <f t="shared" si="0"/>
        <v>14.089257711723473</v>
      </c>
      <c r="D26" s="7">
        <f t="shared" si="1"/>
        <v>13.92619005803938</v>
      </c>
      <c r="E26" s="7">
        <f t="shared" si="2"/>
        <v>10.048022068965514</v>
      </c>
      <c r="F26" s="15">
        <f t="shared" si="3"/>
        <v>10048022.068965513</v>
      </c>
      <c r="G26" s="15">
        <f t="shared" si="4"/>
        <v>1187493.5172413788</v>
      </c>
      <c r="H26" s="15">
        <f t="shared" si="9"/>
        <v>189216</v>
      </c>
      <c r="I26" s="16">
        <f t="shared" si="5"/>
        <v>0.99827751724137881</v>
      </c>
      <c r="J26" s="15">
        <f t="shared" si="11"/>
        <v>998277.51724137878</v>
      </c>
      <c r="K26" s="15">
        <f t="shared" si="6"/>
        <v>15.538982896551728</v>
      </c>
      <c r="L26" s="15">
        <f t="shared" si="10"/>
        <v>863276.82758620707</v>
      </c>
    </row>
    <row r="27" spans="1:14" x14ac:dyDescent="0.15">
      <c r="A27">
        <f t="shared" si="7"/>
        <v>6</v>
      </c>
      <c r="B27">
        <f t="shared" si="8"/>
        <v>1989</v>
      </c>
      <c r="C27" s="17">
        <f t="shared" si="0"/>
        <v>14.265744560065112</v>
      </c>
      <c r="D27" s="7">
        <f t="shared" si="1"/>
        <v>14.111112139536806</v>
      </c>
      <c r="E27" s="7">
        <f t="shared" si="2"/>
        <v>8.8605285517241335</v>
      </c>
      <c r="F27" s="15">
        <f t="shared" si="3"/>
        <v>8860528.551724134</v>
      </c>
      <c r="G27" s="15">
        <f t="shared" si="4"/>
        <v>1207067.586206896</v>
      </c>
      <c r="H27" s="15">
        <f t="shared" si="9"/>
        <v>189216</v>
      </c>
      <c r="I27" s="16">
        <f t="shared" si="5"/>
        <v>1.017851586206896</v>
      </c>
      <c r="J27" s="15">
        <f t="shared" si="11"/>
        <v>1017851.586206896</v>
      </c>
      <c r="K27" s="15">
        <f t="shared" si="6"/>
        <v>16.015214482758626</v>
      </c>
      <c r="L27" s="15">
        <f t="shared" si="10"/>
        <v>889734.13793103467</v>
      </c>
    </row>
    <row r="28" spans="1:14" x14ac:dyDescent="0.15">
      <c r="A28">
        <f t="shared" si="7"/>
        <v>5</v>
      </c>
      <c r="B28">
        <f t="shared" si="8"/>
        <v>1988</v>
      </c>
      <c r="C28" s="17">
        <f t="shared" si="0"/>
        <v>14.435738325122163</v>
      </c>
      <c r="D28" s="7">
        <f t="shared" si="1"/>
        <v>14.290132452475799</v>
      </c>
      <c r="E28" s="7">
        <f t="shared" si="2"/>
        <v>7.6534609655172376</v>
      </c>
      <c r="F28" s="15">
        <f t="shared" si="3"/>
        <v>7653460.9655172378</v>
      </c>
      <c r="G28" s="15">
        <f t="shared" si="4"/>
        <v>1226641.6551724132</v>
      </c>
      <c r="H28" s="15">
        <f t="shared" si="9"/>
        <v>189216</v>
      </c>
      <c r="I28" s="16">
        <f t="shared" si="5"/>
        <v>1.0374256551724133</v>
      </c>
      <c r="J28" s="15">
        <f t="shared" si="11"/>
        <v>1037425.6551724132</v>
      </c>
      <c r="K28" s="15">
        <f t="shared" si="6"/>
        <v>16.491446068965519</v>
      </c>
      <c r="L28" s="15">
        <f t="shared" si="10"/>
        <v>916191.44827586226</v>
      </c>
    </row>
    <row r="29" spans="1:14" x14ac:dyDescent="0.15">
      <c r="A29">
        <f t="shared" si="7"/>
        <v>4</v>
      </c>
      <c r="B29">
        <f t="shared" si="8"/>
        <v>1987</v>
      </c>
      <c r="C29" s="17">
        <f t="shared" si="0"/>
        <v>14.598979731593488</v>
      </c>
      <c r="D29" s="7">
        <f t="shared" si="1"/>
        <v>14.463529090662789</v>
      </c>
      <c r="E29" s="7">
        <f t="shared" si="2"/>
        <v>6.4268193103448246</v>
      </c>
      <c r="F29" s="15">
        <f t="shared" si="3"/>
        <v>6426819.3103448246</v>
      </c>
      <c r="G29" s="15">
        <f t="shared" si="4"/>
        <v>1246215.7241379304</v>
      </c>
      <c r="H29" s="15">
        <f t="shared" si="9"/>
        <v>189216</v>
      </c>
      <c r="I29" s="16">
        <f t="shared" si="5"/>
        <v>1.0569997241379303</v>
      </c>
      <c r="J29" s="15">
        <f t="shared" si="11"/>
        <v>1056999.7241379304</v>
      </c>
      <c r="K29" s="15">
        <f t="shared" si="6"/>
        <v>16.96767765517242</v>
      </c>
      <c r="L29" s="15">
        <f t="shared" si="10"/>
        <v>942648.75862068986</v>
      </c>
    </row>
    <row r="30" spans="1:14" x14ac:dyDescent="0.15">
      <c r="A30">
        <f t="shared" si="7"/>
        <v>3</v>
      </c>
      <c r="B30">
        <f t="shared" si="8"/>
        <v>1986</v>
      </c>
      <c r="C30" s="17">
        <f t="shared" si="0"/>
        <v>14.754673328965779</v>
      </c>
      <c r="D30" s="7">
        <f t="shared" si="1"/>
        <v>14.631562946225429</v>
      </c>
      <c r="E30" s="7">
        <f t="shared" si="2"/>
        <v>5.1806035862068942</v>
      </c>
      <c r="F30" s="15">
        <f t="shared" si="3"/>
        <v>5180603.5862068944</v>
      </c>
      <c r="G30" s="15">
        <f t="shared" si="4"/>
        <v>1265789.7931034476</v>
      </c>
      <c r="H30" s="15">
        <f t="shared" si="9"/>
        <v>189216</v>
      </c>
      <c r="I30" s="16">
        <f t="shared" si="5"/>
        <v>1.0765737931034476</v>
      </c>
      <c r="J30" s="15">
        <f t="shared" si="11"/>
        <v>1076573.7931034476</v>
      </c>
      <c r="K30" s="15">
        <f t="shared" si="6"/>
        <v>17.443909241379313</v>
      </c>
      <c r="L30" s="15">
        <f t="shared" si="10"/>
        <v>969106.06896551745</v>
      </c>
    </row>
    <row r="31" spans="1:14" x14ac:dyDescent="0.15">
      <c r="A31">
        <f t="shared" si="7"/>
        <v>2</v>
      </c>
      <c r="B31">
        <f t="shared" si="8"/>
        <v>1985</v>
      </c>
      <c r="C31" s="17">
        <f>(D31*G31+D32*F32)/F31</f>
        <v>14.900621556316601</v>
      </c>
      <c r="D31" s="7">
        <f t="shared" si="1"/>
        <v>14.794479019385156</v>
      </c>
      <c r="E31" s="7">
        <f t="shared" si="2"/>
        <v>3.914813793103447</v>
      </c>
      <c r="F31" s="15">
        <f t="shared" si="3"/>
        <v>3914813.7931034472</v>
      </c>
      <c r="G31" s="15">
        <f t="shared" si="4"/>
        <v>1285363.8620689649</v>
      </c>
      <c r="H31" s="15">
        <f t="shared" si="9"/>
        <v>189216</v>
      </c>
      <c r="I31" s="16">
        <f t="shared" si="5"/>
        <v>1.0961478620689649</v>
      </c>
      <c r="J31" s="15">
        <f t="shared" si="11"/>
        <v>1096147.8620689649</v>
      </c>
      <c r="K31" s="15">
        <f t="shared" si="6"/>
        <v>17.920140827586213</v>
      </c>
      <c r="L31" s="15">
        <f t="shared" si="10"/>
        <v>995563.37931034504</v>
      </c>
      <c r="M31" s="15">
        <v>2932848</v>
      </c>
      <c r="N31" t="s">
        <v>966</v>
      </c>
    </row>
    <row r="32" spans="1:14" x14ac:dyDescent="0.15">
      <c r="A32">
        <f t="shared" si="7"/>
        <v>1</v>
      </c>
      <c r="B32">
        <f t="shared" si="8"/>
        <v>1984</v>
      </c>
      <c r="C32" s="17">
        <f>(D32*G32+D33*G33)/F32</f>
        <v>15.029757318588523</v>
      </c>
      <c r="D32" s="7">
        <f>(K32+I32)*1000/G32*1000</f>
        <v>14.952507610350088</v>
      </c>
      <c r="E32" s="7">
        <f t="shared" si="2"/>
        <v>2.6294499310344821</v>
      </c>
      <c r="F32" s="15">
        <f t="shared" si="3"/>
        <v>2629449.9310344821</v>
      </c>
      <c r="G32" s="15">
        <f t="shared" si="4"/>
        <v>1304937.9310344821</v>
      </c>
      <c r="H32" s="15">
        <f t="shared" si="9"/>
        <v>189216</v>
      </c>
      <c r="I32" s="16">
        <f t="shared" si="5"/>
        <v>1.1157219310344819</v>
      </c>
      <c r="J32" s="15">
        <f t="shared" si="11"/>
        <v>1115721.9310344821</v>
      </c>
      <c r="K32" s="15">
        <f t="shared" si="6"/>
        <v>18.39637241379311</v>
      </c>
      <c r="L32" s="15">
        <f t="shared" si="10"/>
        <v>1022020.6896551726</v>
      </c>
      <c r="M32" s="15">
        <v>388592</v>
      </c>
      <c r="N32" t="s">
        <v>965</v>
      </c>
    </row>
    <row r="33" spans="1:14" x14ac:dyDescent="0.15">
      <c r="A33">
        <f t="shared" si="7"/>
        <v>0</v>
      </c>
      <c r="B33">
        <f t="shared" si="8"/>
        <v>1983</v>
      </c>
      <c r="C33" s="17">
        <f>D33</f>
        <v>15.105865405522939</v>
      </c>
      <c r="D33" s="7">
        <f>(K33+I33)*1000000/F33</f>
        <v>15.105865405522939</v>
      </c>
      <c r="E33" s="7">
        <f t="shared" si="2"/>
        <v>1.3245119999999999</v>
      </c>
      <c r="F33" s="15">
        <f>H33+J33</f>
        <v>1324512</v>
      </c>
      <c r="G33" s="15">
        <f t="shared" si="4"/>
        <v>1324512</v>
      </c>
      <c r="H33" s="15">
        <f>H32</f>
        <v>189216</v>
      </c>
      <c r="I33" s="16">
        <f t="shared" si="5"/>
        <v>1.1352960000000001</v>
      </c>
      <c r="J33" s="15">
        <f>M34</f>
        <v>1135296</v>
      </c>
      <c r="K33" s="15">
        <f>L33*$M$4/1000000</f>
        <v>18.872603999999999</v>
      </c>
      <c r="L33" s="15">
        <v>1048478</v>
      </c>
      <c r="M33" s="15">
        <f>6*60*60*24*365/1000</f>
        <v>189216</v>
      </c>
      <c r="N33" t="s">
        <v>1105</v>
      </c>
    </row>
    <row r="34" spans="1:14" x14ac:dyDescent="0.15">
      <c r="M34" s="15">
        <f>36*60*60*24*365/1000</f>
        <v>1135296</v>
      </c>
      <c r="N34" t="s">
        <v>1106</v>
      </c>
    </row>
    <row r="35" spans="1:14" x14ac:dyDescent="0.15">
      <c r="B35">
        <v>2020</v>
      </c>
      <c r="G35" s="15"/>
      <c r="J35" s="15">
        <v>2932848</v>
      </c>
      <c r="L35" s="15">
        <v>1129047</v>
      </c>
      <c r="M35" s="15">
        <f>18*60*60*24*365/1000</f>
        <v>567648</v>
      </c>
      <c r="N35" t="s">
        <v>964</v>
      </c>
    </row>
    <row r="36" spans="1:14" x14ac:dyDescent="0.15">
      <c r="L36" s="15">
        <v>1048478</v>
      </c>
    </row>
    <row r="37" spans="1:14" x14ac:dyDescent="0.15">
      <c r="B37" s="15">
        <v>2932848</v>
      </c>
    </row>
    <row r="83" spans="1:17" ht="42" x14ac:dyDescent="0.15">
      <c r="A83" s="12"/>
      <c r="B83" s="12"/>
      <c r="C83" s="12" t="s">
        <v>1121</v>
      </c>
      <c r="D83" s="13" t="s">
        <v>1120</v>
      </c>
      <c r="E83" s="13" t="s">
        <v>751</v>
      </c>
      <c r="F83" s="13" t="s">
        <v>751</v>
      </c>
      <c r="G83" s="13" t="s">
        <v>752</v>
      </c>
      <c r="H83" s="13" t="s">
        <v>883</v>
      </c>
      <c r="I83" s="12" t="s">
        <v>1102</v>
      </c>
      <c r="J83" s="13" t="s">
        <v>897</v>
      </c>
      <c r="K83" s="13" t="s">
        <v>745</v>
      </c>
      <c r="L83" s="13" t="s">
        <v>898</v>
      </c>
      <c r="M83" s="12" t="s">
        <v>750</v>
      </c>
      <c r="N83" s="13" t="s">
        <v>1101</v>
      </c>
      <c r="O83" s="12" t="s">
        <v>101</v>
      </c>
      <c r="P83" s="12"/>
      <c r="Q83" s="12"/>
    </row>
    <row r="84" spans="1:17" x14ac:dyDescent="0.15">
      <c r="A84" s="1" t="s">
        <v>746</v>
      </c>
      <c r="B84" s="1" t="s">
        <v>747</v>
      </c>
      <c r="C84" s="1"/>
      <c r="D84" s="14" t="s">
        <v>748</v>
      </c>
      <c r="E84" s="14" t="s">
        <v>1104</v>
      </c>
      <c r="F84" s="14" t="s">
        <v>718</v>
      </c>
      <c r="G84" s="14" t="s">
        <v>749</v>
      </c>
      <c r="H84" s="14" t="s">
        <v>749</v>
      </c>
      <c r="I84" s="14" t="s">
        <v>884</v>
      </c>
      <c r="J84" s="14" t="s">
        <v>749</v>
      </c>
      <c r="K84" s="14" t="s">
        <v>884</v>
      </c>
      <c r="L84" s="14" t="s">
        <v>1144</v>
      </c>
      <c r="M84" s="1" t="s">
        <v>885</v>
      </c>
      <c r="N84" s="14" t="s">
        <v>748</v>
      </c>
      <c r="O84" s="1"/>
      <c r="P84" s="1"/>
      <c r="Q84" s="1"/>
    </row>
    <row r="85" spans="1:17" x14ac:dyDescent="0.15">
      <c r="A85">
        <v>29</v>
      </c>
      <c r="B85">
        <v>2012</v>
      </c>
      <c r="C85" s="102">
        <f t="shared" ref="C85:C111" si="12">(D85*G85+D86*F86)/F85</f>
        <v>0.83845492325891191</v>
      </c>
      <c r="D85" s="81">
        <f>(K85+I85)*1000/G85*1000</f>
        <v>0.78776382546930501</v>
      </c>
      <c r="E85" s="7">
        <f>F85/1000000</f>
        <v>31.220639999999992</v>
      </c>
      <c r="F85" s="15">
        <f>F86+H85+J85</f>
        <v>31220639.999999993</v>
      </c>
      <c r="G85" s="15">
        <f>H85+J85</f>
        <v>756864</v>
      </c>
      <c r="H85" s="15">
        <f>6*60*60*24*365/1000</f>
        <v>189216</v>
      </c>
      <c r="I85" s="16">
        <f>J85*1000*$N$85/1000000000</f>
        <v>5.6764800000000002E-3</v>
      </c>
      <c r="J85" s="15">
        <f>18*60*60*24*365/1000</f>
        <v>567648</v>
      </c>
      <c r="K85" s="16">
        <f>L85*M$85/1000000</f>
        <v>0.59055360000000001</v>
      </c>
      <c r="L85" s="15">
        <v>281216</v>
      </c>
      <c r="M85" s="117">
        <v>2.1</v>
      </c>
      <c r="N85" s="116">
        <v>0.01</v>
      </c>
      <c r="O85" s="15">
        <v>0.1</v>
      </c>
    </row>
    <row r="86" spans="1:17" x14ac:dyDescent="0.15">
      <c r="A86">
        <f>A85-1</f>
        <v>28</v>
      </c>
      <c r="B86">
        <f>B85-1</f>
        <v>2011</v>
      </c>
      <c r="C86" s="102">
        <f t="shared" si="12"/>
        <v>0.88785093321391528</v>
      </c>
      <c r="D86" s="81">
        <f t="shared" ref="D86:D112" si="13">(K86+I86)*1000/G86*1000</f>
        <v>0.83971432941517554</v>
      </c>
      <c r="E86" s="7">
        <f t="shared" ref="E86:E114" si="14">F86/1000000</f>
        <v>30.463775999999992</v>
      </c>
      <c r="F86" s="15">
        <f>F87+H86+J86</f>
        <v>30463775.999999993</v>
      </c>
      <c r="G86" s="15">
        <f>H86+J86</f>
        <v>776438.06896551722</v>
      </c>
      <c r="H86" s="15">
        <f>H85</f>
        <v>189216</v>
      </c>
      <c r="I86" s="16">
        <f>J86*1000*$N$85/1000000000</f>
        <v>5.8722206896551716E-3</v>
      </c>
      <c r="J86" s="15">
        <f>J85+(J$33-J$4)/29</f>
        <v>587222.06896551722</v>
      </c>
      <c r="K86" s="16">
        <f t="shared" ref="K86:K114" si="15">L86*M$85/1000000</f>
        <v>0.64611395172413799</v>
      </c>
      <c r="L86" s="15">
        <f>L85+(L$33-L$4)/29</f>
        <v>307673.31034482759</v>
      </c>
    </row>
    <row r="87" spans="1:17" x14ac:dyDescent="0.15">
      <c r="A87">
        <f t="shared" ref="A87:B102" si="16">A86-1</f>
        <v>27</v>
      </c>
      <c r="B87">
        <f t="shared" si="16"/>
        <v>2010</v>
      </c>
      <c r="C87" s="102">
        <f t="shared" si="12"/>
        <v>0.93487358604601933</v>
      </c>
      <c r="D87" s="81">
        <f t="shared" si="13"/>
        <v>0.88910989054403611</v>
      </c>
      <c r="E87" s="7">
        <f t="shared" si="14"/>
        <v>29.687337931034474</v>
      </c>
      <c r="F87" s="15">
        <f>F88+H87+J87</f>
        <v>29687337.931034476</v>
      </c>
      <c r="G87" s="15">
        <f>H87+J87</f>
        <v>796012.13793103443</v>
      </c>
      <c r="H87" s="15">
        <f t="shared" ref="H87:H113" si="17">H86</f>
        <v>189216</v>
      </c>
      <c r="I87" s="16">
        <f t="shared" ref="I87:I114" si="18">J87*1000*$N$85/1000000000</f>
        <v>6.0679613793103446E-3</v>
      </c>
      <c r="J87" s="15">
        <f>J86+(J$33-J$4)/29</f>
        <v>606796.13793103443</v>
      </c>
      <c r="K87" s="16">
        <f t="shared" si="15"/>
        <v>0.70167430344827586</v>
      </c>
      <c r="L87" s="15">
        <f t="shared" ref="L87:L113" si="19">L86+(L$33-L$4)/29</f>
        <v>334130.62068965519</v>
      </c>
    </row>
    <row r="88" spans="1:17" x14ac:dyDescent="0.15">
      <c r="A88">
        <f t="shared" si="16"/>
        <v>26</v>
      </c>
      <c r="B88">
        <f t="shared" si="16"/>
        <v>2009</v>
      </c>
      <c r="C88" s="102">
        <f t="shared" si="12"/>
        <v>0.97968950972354163</v>
      </c>
      <c r="D88" s="81">
        <f t="shared" si="13"/>
        <v>0.93613446473871165</v>
      </c>
      <c r="E88" s="7">
        <f t="shared" si="14"/>
        <v>28.891325793103441</v>
      </c>
      <c r="F88" s="15">
        <f t="shared" ref="F88:F113" si="20">F89+H88+J88</f>
        <v>28891325.793103442</v>
      </c>
      <c r="G88" s="15">
        <f t="shared" ref="G88:G114" si="21">H88+J88</f>
        <v>815586.20689655165</v>
      </c>
      <c r="H88" s="15">
        <f t="shared" si="17"/>
        <v>189216</v>
      </c>
      <c r="I88" s="16">
        <f t="shared" si="18"/>
        <v>6.2637020689655159E-3</v>
      </c>
      <c r="J88" s="15">
        <f t="shared" ref="J88:J113" si="22">J87+(J$33-J$4)/29</f>
        <v>626370.20689655165</v>
      </c>
      <c r="K88" s="16">
        <f t="shared" si="15"/>
        <v>0.75723465517241395</v>
      </c>
      <c r="L88" s="15">
        <f t="shared" si="19"/>
        <v>360587.93103448278</v>
      </c>
    </row>
    <row r="89" spans="1:17" x14ac:dyDescent="0.15">
      <c r="A89">
        <f t="shared" si="16"/>
        <v>25</v>
      </c>
      <c r="B89">
        <f t="shared" si="16"/>
        <v>2008</v>
      </c>
      <c r="C89" s="102">
        <f t="shared" si="12"/>
        <v>1.0224500309722733</v>
      </c>
      <c r="D89" s="81">
        <f t="shared" si="13"/>
        <v>0.98095476201801146</v>
      </c>
      <c r="E89" s="7">
        <f t="shared" si="14"/>
        <v>28.07573958620689</v>
      </c>
      <c r="F89" s="15">
        <f t="shared" si="20"/>
        <v>28075739.586206891</v>
      </c>
      <c r="G89" s="15">
        <f t="shared" si="21"/>
        <v>835160.27586206887</v>
      </c>
      <c r="H89" s="15">
        <f t="shared" si="17"/>
        <v>189216</v>
      </c>
      <c r="I89" s="16">
        <f t="shared" si="18"/>
        <v>6.459442758620689E-3</v>
      </c>
      <c r="J89" s="15">
        <f t="shared" si="22"/>
        <v>645944.27586206887</v>
      </c>
      <c r="K89" s="16">
        <f t="shared" si="15"/>
        <v>0.81279500689655182</v>
      </c>
      <c r="L89" s="15">
        <f t="shared" si="19"/>
        <v>387045.24137931038</v>
      </c>
    </row>
    <row r="90" spans="1:17" x14ac:dyDescent="0.15">
      <c r="A90">
        <f t="shared" si="16"/>
        <v>24</v>
      </c>
      <c r="B90">
        <f t="shared" si="16"/>
        <v>2007</v>
      </c>
      <c r="C90" s="102">
        <f t="shared" si="12"/>
        <v>1.0632928807574884</v>
      </c>
      <c r="D90" s="81">
        <f t="shared" si="13"/>
        <v>1.0237222212539847</v>
      </c>
      <c r="E90" s="7">
        <f t="shared" si="14"/>
        <v>27.240579310344824</v>
      </c>
      <c r="F90" s="15">
        <f t="shared" si="20"/>
        <v>27240579.310344823</v>
      </c>
      <c r="G90" s="15">
        <f t="shared" si="21"/>
        <v>854734.34482758609</v>
      </c>
      <c r="H90" s="15">
        <f t="shared" si="17"/>
        <v>189216</v>
      </c>
      <c r="I90" s="16">
        <f t="shared" si="18"/>
        <v>6.6551834482758603E-3</v>
      </c>
      <c r="J90" s="15">
        <f>J89+(J$33-J$4)/29</f>
        <v>665518.34482758609</v>
      </c>
      <c r="K90" s="16">
        <f t="shared" si="15"/>
        <v>0.8683553586206898</v>
      </c>
      <c r="L90" s="15">
        <f t="shared" si="19"/>
        <v>413502.55172413797</v>
      </c>
      <c r="M90">
        <v>20</v>
      </c>
      <c r="N90">
        <v>68.2</v>
      </c>
      <c r="O90">
        <v>58.4</v>
      </c>
      <c r="P90" t="s">
        <v>1241</v>
      </c>
    </row>
    <row r="91" spans="1:17" x14ac:dyDescent="0.15">
      <c r="A91">
        <f t="shared" si="16"/>
        <v>23</v>
      </c>
      <c r="B91">
        <f t="shared" si="16"/>
        <v>2006</v>
      </c>
      <c r="C91" s="102">
        <f t="shared" si="12"/>
        <v>1.1023436738917607</v>
      </c>
      <c r="D91" s="81">
        <f t="shared" si="13"/>
        <v>1.0645747196286455</v>
      </c>
      <c r="E91" s="7">
        <f t="shared" si="14"/>
        <v>26.385844965517236</v>
      </c>
      <c r="F91" s="15">
        <f t="shared" si="20"/>
        <v>26385844.965517238</v>
      </c>
      <c r="G91" s="15">
        <f t="shared" si="21"/>
        <v>874308.4137931033</v>
      </c>
      <c r="H91" s="15">
        <f t="shared" si="17"/>
        <v>189216</v>
      </c>
      <c r="I91" s="16">
        <f t="shared" si="18"/>
        <v>6.8509241379310342E-3</v>
      </c>
      <c r="J91" s="15">
        <f t="shared" si="22"/>
        <v>685092.4137931033</v>
      </c>
      <c r="K91" s="16">
        <f t="shared" si="15"/>
        <v>0.92391571034482778</v>
      </c>
      <c r="L91" s="15">
        <f t="shared" si="19"/>
        <v>439959.86206896557</v>
      </c>
      <c r="M91">
        <v>0</v>
      </c>
      <c r="N91">
        <v>126</v>
      </c>
      <c r="O91">
        <v>68.7</v>
      </c>
      <c r="P91" t="s">
        <v>1240</v>
      </c>
    </row>
    <row r="92" spans="1:17" x14ac:dyDescent="0.15">
      <c r="A92">
        <f t="shared" si="16"/>
        <v>22</v>
      </c>
      <c r="B92">
        <f t="shared" si="16"/>
        <v>2005</v>
      </c>
      <c r="C92" s="102">
        <f t="shared" si="12"/>
        <v>1.1397171961147641</v>
      </c>
      <c r="D92" s="81">
        <f t="shared" si="13"/>
        <v>1.1036380574905476</v>
      </c>
      <c r="E92" s="7">
        <f t="shared" si="14"/>
        <v>25.511536551724134</v>
      </c>
      <c r="F92" s="15">
        <f t="shared" si="20"/>
        <v>25511536.551724136</v>
      </c>
      <c r="G92" s="15">
        <f t="shared" si="21"/>
        <v>893882.48275862052</v>
      </c>
      <c r="H92" s="15">
        <f t="shared" si="17"/>
        <v>189216</v>
      </c>
      <c r="I92" s="16">
        <f t="shared" si="18"/>
        <v>7.0466648275862047E-3</v>
      </c>
      <c r="J92" s="15">
        <f t="shared" si="22"/>
        <v>704666.48275862052</v>
      </c>
      <c r="K92" s="16">
        <f t="shared" si="15"/>
        <v>0.97947606206896565</v>
      </c>
      <c r="L92" s="15">
        <f t="shared" si="19"/>
        <v>466417.17241379316</v>
      </c>
      <c r="M92">
        <v>27</v>
      </c>
      <c r="N92">
        <v>1.88</v>
      </c>
      <c r="O92">
        <v>12</v>
      </c>
      <c r="P92" t="s">
        <v>1187</v>
      </c>
    </row>
    <row r="93" spans="1:17" x14ac:dyDescent="0.15">
      <c r="A93">
        <f t="shared" si="16"/>
        <v>21</v>
      </c>
      <c r="B93">
        <f t="shared" si="16"/>
        <v>2004</v>
      </c>
      <c r="C93" s="102">
        <f t="shared" si="12"/>
        <v>1.1755185262042522</v>
      </c>
      <c r="D93" s="81">
        <f t="shared" si="13"/>
        <v>1.1410272523012253</v>
      </c>
      <c r="E93" s="7">
        <f t="shared" si="14"/>
        <v>24.617654068965518</v>
      </c>
      <c r="F93" s="15">
        <f t="shared" si="20"/>
        <v>24617654.068965517</v>
      </c>
      <c r="G93" s="15">
        <f t="shared" si="21"/>
        <v>913456.55172413774</v>
      </c>
      <c r="H93" s="15">
        <f t="shared" si="17"/>
        <v>189216</v>
      </c>
      <c r="I93" s="16">
        <f t="shared" si="18"/>
        <v>7.2424055172413786E-3</v>
      </c>
      <c r="J93" s="15">
        <f t="shared" si="22"/>
        <v>724240.55172413774</v>
      </c>
      <c r="K93" s="16">
        <f t="shared" si="15"/>
        <v>1.0350364137931036</v>
      </c>
      <c r="L93" s="15">
        <f t="shared" si="19"/>
        <v>492874.48275862075</v>
      </c>
      <c r="M93">
        <v>19</v>
      </c>
      <c r="N93">
        <v>0.18</v>
      </c>
      <c r="O93">
        <v>7.7</v>
      </c>
      <c r="P93" t="s">
        <v>1182</v>
      </c>
    </row>
    <row r="94" spans="1:17" x14ac:dyDescent="0.15">
      <c r="A94">
        <f t="shared" si="16"/>
        <v>20</v>
      </c>
      <c r="B94">
        <f t="shared" si="16"/>
        <v>2003</v>
      </c>
      <c r="C94" s="102">
        <f t="shared" si="12"/>
        <v>1.2098440158806325</v>
      </c>
      <c r="D94" s="81">
        <f t="shared" si="13"/>
        <v>1.1768476697072592</v>
      </c>
      <c r="E94" s="7">
        <f t="shared" si="14"/>
        <v>23.704197517241376</v>
      </c>
      <c r="F94" s="15">
        <f t="shared" si="20"/>
        <v>23704197.517241377</v>
      </c>
      <c r="G94" s="15">
        <f t="shared" si="21"/>
        <v>933030.62068965496</v>
      </c>
      <c r="H94" s="15">
        <f t="shared" si="17"/>
        <v>189216</v>
      </c>
      <c r="I94" s="16">
        <f t="shared" si="18"/>
        <v>7.4381462068965499E-3</v>
      </c>
      <c r="J94" s="15">
        <f t="shared" si="22"/>
        <v>743814.62068965496</v>
      </c>
      <c r="K94" s="16">
        <f t="shared" si="15"/>
        <v>1.0905967655172415</v>
      </c>
      <c r="L94" s="15">
        <f t="shared" si="19"/>
        <v>519331.79310344835</v>
      </c>
      <c r="M94" s="117">
        <v>1.4</v>
      </c>
      <c r="N94" s="116">
        <v>0.38</v>
      </c>
      <c r="O94">
        <v>0.84</v>
      </c>
      <c r="P94" t="s">
        <v>1123</v>
      </c>
    </row>
    <row r="95" spans="1:17" x14ac:dyDescent="0.15">
      <c r="A95">
        <f t="shared" si="16"/>
        <v>19</v>
      </c>
      <c r="B95">
        <f t="shared" si="16"/>
        <v>2002</v>
      </c>
      <c r="C95" s="102">
        <f t="shared" si="12"/>
        <v>1.242782146222533</v>
      </c>
      <c r="D95" s="81">
        <f t="shared" si="13"/>
        <v>1.2111960151651002</v>
      </c>
      <c r="E95" s="7">
        <f t="shared" si="14"/>
        <v>22.771166896551719</v>
      </c>
      <c r="F95" s="15">
        <f t="shared" si="20"/>
        <v>22771166.896551721</v>
      </c>
      <c r="G95" s="15">
        <f t="shared" si="21"/>
        <v>952604.68965517217</v>
      </c>
      <c r="H95" s="15">
        <f t="shared" si="17"/>
        <v>189216</v>
      </c>
      <c r="I95" s="16">
        <f t="shared" si="18"/>
        <v>7.6338868965517229E-3</v>
      </c>
      <c r="J95" s="15">
        <f t="shared" si="22"/>
        <v>763388.68965517217</v>
      </c>
      <c r="K95" s="16">
        <f t="shared" si="15"/>
        <v>1.1461571172413796</v>
      </c>
      <c r="L95" s="15">
        <f t="shared" si="19"/>
        <v>545789.10344827594</v>
      </c>
      <c r="M95" s="81">
        <v>0.01</v>
      </c>
      <c r="N95" s="83">
        <v>0.27</v>
      </c>
      <c r="O95">
        <v>0.13</v>
      </c>
      <c r="P95" t="s">
        <v>1122</v>
      </c>
    </row>
    <row r="96" spans="1:17" x14ac:dyDescent="0.15">
      <c r="A96">
        <f t="shared" si="16"/>
        <v>18</v>
      </c>
      <c r="B96">
        <f t="shared" si="16"/>
        <v>2001</v>
      </c>
      <c r="C96" s="102">
        <f t="shared" si="12"/>
        <v>1.2744142758084411</v>
      </c>
      <c r="D96" s="81">
        <f t="shared" si="13"/>
        <v>1.2441612057722895</v>
      </c>
      <c r="E96" s="7">
        <f t="shared" si="14"/>
        <v>21.818562206896548</v>
      </c>
      <c r="F96" s="15">
        <f t="shared" si="20"/>
        <v>21818562.206896547</v>
      </c>
      <c r="G96" s="15">
        <f t="shared" si="21"/>
        <v>972178.75862068939</v>
      </c>
      <c r="H96" s="15">
        <f t="shared" si="17"/>
        <v>189216</v>
      </c>
      <c r="I96" s="16">
        <f t="shared" si="18"/>
        <v>7.8296275862068943E-3</v>
      </c>
      <c r="J96" s="15">
        <f t="shared" si="22"/>
        <v>782962.75862068939</v>
      </c>
      <c r="K96" s="16">
        <f t="shared" si="15"/>
        <v>1.2017174689655177</v>
      </c>
      <c r="L96" s="15">
        <f t="shared" si="19"/>
        <v>572246.41379310354</v>
      </c>
      <c r="M96">
        <v>0.01</v>
      </c>
      <c r="N96">
        <v>2.8</v>
      </c>
      <c r="O96">
        <v>1.5</v>
      </c>
      <c r="P96" t="s">
        <v>1177</v>
      </c>
    </row>
    <row r="97" spans="1:16" x14ac:dyDescent="0.15">
      <c r="A97">
        <f t="shared" si="16"/>
        <v>17</v>
      </c>
      <c r="B97">
        <f t="shared" si="16"/>
        <v>2000</v>
      </c>
      <c r="C97" s="102">
        <f t="shared" si="12"/>
        <v>1.3048152926390721</v>
      </c>
      <c r="D97" s="81">
        <f t="shared" si="13"/>
        <v>1.2758251388555106</v>
      </c>
      <c r="E97" s="7">
        <f t="shared" si="14"/>
        <v>20.846383448275855</v>
      </c>
      <c r="F97" s="15">
        <f t="shared" si="20"/>
        <v>20846383.448275857</v>
      </c>
      <c r="G97" s="15">
        <f t="shared" si="21"/>
        <v>991752.82758620661</v>
      </c>
      <c r="H97" s="15">
        <f t="shared" si="17"/>
        <v>189216</v>
      </c>
      <c r="I97" s="16">
        <f t="shared" si="18"/>
        <v>8.0253682758620656E-3</v>
      </c>
      <c r="J97" s="15">
        <f t="shared" si="22"/>
        <v>802536.82758620661</v>
      </c>
      <c r="K97" s="16">
        <f t="shared" si="15"/>
        <v>1.2572778206896553</v>
      </c>
      <c r="L97" s="15">
        <f t="shared" si="19"/>
        <v>598703.72413793113</v>
      </c>
      <c r="M97">
        <v>7.5</v>
      </c>
      <c r="N97">
        <v>0.94</v>
      </c>
      <c r="O97">
        <v>3.6</v>
      </c>
      <c r="P97" t="s">
        <v>1183</v>
      </c>
    </row>
    <row r="98" spans="1:16" x14ac:dyDescent="0.15">
      <c r="A98">
        <f t="shared" si="16"/>
        <v>16</v>
      </c>
      <c r="B98">
        <f t="shared" si="16"/>
        <v>1999</v>
      </c>
      <c r="C98" s="102">
        <f t="shared" si="12"/>
        <v>1.334054178856966</v>
      </c>
      <c r="D98" s="81">
        <f t="shared" si="13"/>
        <v>1.3062633713032528</v>
      </c>
      <c r="E98" s="7">
        <f t="shared" si="14"/>
        <v>19.854630620689647</v>
      </c>
      <c r="F98" s="15">
        <f t="shared" si="20"/>
        <v>19854630.620689649</v>
      </c>
      <c r="G98" s="15">
        <f t="shared" si="21"/>
        <v>1011326.8965517238</v>
      </c>
      <c r="H98" s="15">
        <f t="shared" si="17"/>
        <v>189216</v>
      </c>
      <c r="I98" s="16">
        <f t="shared" si="18"/>
        <v>8.2211089655172386E-3</v>
      </c>
      <c r="J98" s="15">
        <f t="shared" si="22"/>
        <v>822110.89655172382</v>
      </c>
      <c r="K98" s="16">
        <f t="shared" si="15"/>
        <v>1.3128381724137934</v>
      </c>
      <c r="L98" s="15">
        <f t="shared" si="19"/>
        <v>625161.03448275873</v>
      </c>
      <c r="M98">
        <v>0.2</v>
      </c>
      <c r="N98">
        <v>0.02</v>
      </c>
      <c r="O98">
        <v>5.0000000000000001E-3</v>
      </c>
      <c r="P98" t="s">
        <v>680</v>
      </c>
    </row>
    <row r="99" spans="1:16" x14ac:dyDescent="0.15">
      <c r="A99">
        <f t="shared" si="16"/>
        <v>15</v>
      </c>
      <c r="B99">
        <f t="shared" si="16"/>
        <v>1998</v>
      </c>
      <c r="C99" s="102">
        <f t="shared" si="12"/>
        <v>1.362194494084801</v>
      </c>
      <c r="D99" s="81">
        <f t="shared" si="13"/>
        <v>1.3355457215061437</v>
      </c>
      <c r="E99" s="7">
        <f t="shared" si="14"/>
        <v>18.843303724137925</v>
      </c>
      <c r="F99" s="15">
        <f t="shared" si="20"/>
        <v>18843303.724137925</v>
      </c>
      <c r="G99" s="15">
        <f t="shared" si="21"/>
        <v>1030900.965517241</v>
      </c>
      <c r="H99" s="15">
        <f t="shared" si="17"/>
        <v>189216</v>
      </c>
      <c r="I99" s="16">
        <f t="shared" si="18"/>
        <v>8.4168496551724099E-3</v>
      </c>
      <c r="J99" s="15">
        <f t="shared" si="22"/>
        <v>841684.96551724104</v>
      </c>
      <c r="K99" s="16">
        <f t="shared" si="15"/>
        <v>1.3683985241379315</v>
      </c>
      <c r="L99" s="15">
        <f t="shared" si="19"/>
        <v>651618.34482758632</v>
      </c>
      <c r="N99">
        <v>0.11</v>
      </c>
      <c r="O99" t="s">
        <v>2</v>
      </c>
      <c r="P99" t="s">
        <v>0</v>
      </c>
    </row>
    <row r="100" spans="1:16" x14ac:dyDescent="0.15">
      <c r="A100">
        <f t="shared" si="16"/>
        <v>14</v>
      </c>
      <c r="B100">
        <f t="shared" si="16"/>
        <v>1997</v>
      </c>
      <c r="C100" s="102">
        <f t="shared" si="12"/>
        <v>1.3892947794446717</v>
      </c>
      <c r="D100" s="81">
        <f t="shared" si="13"/>
        <v>1.3637368039996098</v>
      </c>
      <c r="E100" s="7">
        <f t="shared" si="14"/>
        <v>17.812402758620681</v>
      </c>
      <c r="F100" s="15">
        <f t="shared" si="20"/>
        <v>17812402.758620683</v>
      </c>
      <c r="G100" s="15">
        <f t="shared" si="21"/>
        <v>1050475.0344827583</v>
      </c>
      <c r="H100" s="15">
        <f t="shared" si="17"/>
        <v>189216</v>
      </c>
      <c r="I100" s="16">
        <f t="shared" si="18"/>
        <v>8.612590344827583E-3</v>
      </c>
      <c r="J100" s="15">
        <f t="shared" si="22"/>
        <v>861259.03448275826</v>
      </c>
      <c r="K100" s="16">
        <f t="shared" si="15"/>
        <v>1.4239588758620692</v>
      </c>
      <c r="L100" s="15">
        <f t="shared" si="19"/>
        <v>678075.65517241391</v>
      </c>
      <c r="N100">
        <v>0.01</v>
      </c>
      <c r="O100">
        <v>3.0000000000000001E-3</v>
      </c>
      <c r="P100" t="s">
        <v>1</v>
      </c>
    </row>
    <row r="101" spans="1:16" x14ac:dyDescent="0.15">
      <c r="A101">
        <f t="shared" si="16"/>
        <v>13</v>
      </c>
      <c r="B101">
        <f t="shared" si="16"/>
        <v>1996</v>
      </c>
      <c r="C101" s="102">
        <f t="shared" si="12"/>
        <v>1.4154088793337001</v>
      </c>
      <c r="D101" s="81">
        <f t="shared" si="13"/>
        <v>1.3908965054262423</v>
      </c>
      <c r="E101" s="7">
        <f t="shared" si="14"/>
        <v>16.761927724137923</v>
      </c>
      <c r="F101" s="15">
        <f t="shared" si="20"/>
        <v>16761927.724137925</v>
      </c>
      <c r="G101" s="15">
        <f t="shared" si="21"/>
        <v>1070049.1034482755</v>
      </c>
      <c r="H101" s="15">
        <f t="shared" si="17"/>
        <v>189216</v>
      </c>
      <c r="I101" s="16">
        <f t="shared" si="18"/>
        <v>8.8083310344827543E-3</v>
      </c>
      <c r="J101" s="15">
        <f t="shared" si="22"/>
        <v>880833.10344827548</v>
      </c>
      <c r="K101" s="16">
        <f t="shared" si="15"/>
        <v>1.4795192275862072</v>
      </c>
      <c r="L101" s="15">
        <f t="shared" si="19"/>
        <v>704532.96551724151</v>
      </c>
    </row>
    <row r="102" spans="1:16" x14ac:dyDescent="0.15">
      <c r="A102">
        <f t="shared" si="16"/>
        <v>12</v>
      </c>
      <c r="B102">
        <f t="shared" si="16"/>
        <v>1995</v>
      </c>
      <c r="C102" s="102">
        <f t="shared" si="12"/>
        <v>1.4405861706465664</v>
      </c>
      <c r="D102" s="81">
        <f t="shared" si="13"/>
        <v>1.4170804091968281</v>
      </c>
      <c r="E102" s="7">
        <f t="shared" si="14"/>
        <v>15.69187862068965</v>
      </c>
      <c r="F102" s="15">
        <f t="shared" si="20"/>
        <v>15691878.620689649</v>
      </c>
      <c r="G102" s="15">
        <f t="shared" si="21"/>
        <v>1089623.1724137927</v>
      </c>
      <c r="H102" s="15">
        <f t="shared" si="17"/>
        <v>189216</v>
      </c>
      <c r="I102" s="16">
        <f t="shared" si="18"/>
        <v>9.0040717241379291E-3</v>
      </c>
      <c r="J102" s="15">
        <f t="shared" si="22"/>
        <v>900407.17241379269</v>
      </c>
      <c r="K102" s="16">
        <f t="shared" si="15"/>
        <v>1.5350795793103453</v>
      </c>
      <c r="L102" s="15">
        <f t="shared" si="19"/>
        <v>730990.2758620691</v>
      </c>
    </row>
    <row r="103" spans="1:16" x14ac:dyDescent="0.15">
      <c r="A103">
        <f t="shared" ref="A103:B114" si="23">A102-1</f>
        <v>11</v>
      </c>
      <c r="B103">
        <f t="shared" si="23"/>
        <v>1994</v>
      </c>
      <c r="C103" s="102">
        <f t="shared" si="12"/>
        <v>1.4648716771564074</v>
      </c>
      <c r="D103" s="81">
        <f t="shared" si="13"/>
        <v>1.4423401751872751</v>
      </c>
      <c r="E103" s="7">
        <f t="shared" si="14"/>
        <v>14.602255448275857</v>
      </c>
      <c r="F103" s="15">
        <f t="shared" si="20"/>
        <v>14602255.448275857</v>
      </c>
      <c r="G103" s="15">
        <f t="shared" si="21"/>
        <v>1109197.2413793099</v>
      </c>
      <c r="H103" s="15">
        <f t="shared" si="17"/>
        <v>189216</v>
      </c>
      <c r="I103" s="16">
        <f t="shared" si="18"/>
        <v>9.1998124137931004E-3</v>
      </c>
      <c r="J103" s="15">
        <f t="shared" si="22"/>
        <v>919981.24137930991</v>
      </c>
      <c r="K103" s="16">
        <f t="shared" si="15"/>
        <v>1.590639931034483</v>
      </c>
      <c r="L103" s="15">
        <f t="shared" si="19"/>
        <v>757447.5862068967</v>
      </c>
    </row>
    <row r="104" spans="1:16" x14ac:dyDescent="0.15">
      <c r="A104">
        <f t="shared" si="23"/>
        <v>10</v>
      </c>
      <c r="B104">
        <f t="shared" si="23"/>
        <v>1993</v>
      </c>
      <c r="C104" s="102">
        <f t="shared" si="12"/>
        <v>1.4883060258398741</v>
      </c>
      <c r="D104" s="81">
        <f t="shared" si="13"/>
        <v>1.4667238799294986</v>
      </c>
      <c r="E104" s="7">
        <f t="shared" si="14"/>
        <v>13.493058206896547</v>
      </c>
      <c r="F104" s="15">
        <f t="shared" si="20"/>
        <v>13493058.206896547</v>
      </c>
      <c r="G104" s="15">
        <f t="shared" si="21"/>
        <v>1128771.3103448271</v>
      </c>
      <c r="H104" s="15">
        <f t="shared" si="17"/>
        <v>189216</v>
      </c>
      <c r="I104" s="16">
        <f t="shared" si="18"/>
        <v>9.3955531034482717E-3</v>
      </c>
      <c r="J104" s="15">
        <f t="shared" si="22"/>
        <v>939555.31034482713</v>
      </c>
      <c r="K104" s="16">
        <f t="shared" si="15"/>
        <v>1.6462002827586211</v>
      </c>
      <c r="L104" s="15">
        <f t="shared" si="19"/>
        <v>783904.89655172429</v>
      </c>
    </row>
    <row r="105" spans="1:16" x14ac:dyDescent="0.15">
      <c r="A105">
        <f t="shared" si="23"/>
        <v>9</v>
      </c>
      <c r="B105">
        <f t="shared" si="23"/>
        <v>1992</v>
      </c>
      <c r="C105" s="102">
        <f t="shared" si="12"/>
        <v>1.5109251629558276</v>
      </c>
      <c r="D105" s="81">
        <f t="shared" si="13"/>
        <v>1.4902763220100561</v>
      </c>
      <c r="E105" s="7">
        <f t="shared" si="14"/>
        <v>12.364286896551722</v>
      </c>
      <c r="F105" s="15">
        <f t="shared" si="20"/>
        <v>12364286.896551721</v>
      </c>
      <c r="G105" s="15">
        <f t="shared" si="21"/>
        <v>1148345.3793103443</v>
      </c>
      <c r="H105" s="15">
        <f t="shared" si="17"/>
        <v>189216</v>
      </c>
      <c r="I105" s="16">
        <f t="shared" si="18"/>
        <v>9.591293793103443E-3</v>
      </c>
      <c r="J105" s="15">
        <f t="shared" si="22"/>
        <v>959129.37931034435</v>
      </c>
      <c r="K105" s="16">
        <f t="shared" si="15"/>
        <v>1.7017606344827592</v>
      </c>
      <c r="L105" s="15">
        <f t="shared" si="19"/>
        <v>810362.20689655188</v>
      </c>
    </row>
    <row r="106" spans="1:16" x14ac:dyDescent="0.15">
      <c r="A106">
        <f t="shared" si="23"/>
        <v>8</v>
      </c>
      <c r="B106">
        <f t="shared" si="23"/>
        <v>1991</v>
      </c>
      <c r="C106" s="102">
        <f t="shared" si="12"/>
        <v>1.5327596704606385</v>
      </c>
      <c r="D106" s="81">
        <f t="shared" si="13"/>
        <v>1.5130392967583037</v>
      </c>
      <c r="E106" s="7">
        <f t="shared" si="14"/>
        <v>11.215941517241376</v>
      </c>
      <c r="F106" s="15">
        <f t="shared" si="20"/>
        <v>11215941.517241376</v>
      </c>
      <c r="G106" s="15">
        <f t="shared" si="21"/>
        <v>1167919.4482758616</v>
      </c>
      <c r="H106" s="15">
        <f t="shared" si="17"/>
        <v>189216</v>
      </c>
      <c r="I106" s="16">
        <f t="shared" si="18"/>
        <v>9.7870344827586178E-3</v>
      </c>
      <c r="J106" s="15">
        <f t="shared" si="22"/>
        <v>978703.44827586156</v>
      </c>
      <c r="K106" s="16">
        <f t="shared" si="15"/>
        <v>1.757320986206897</v>
      </c>
      <c r="L106" s="15">
        <f t="shared" si="19"/>
        <v>836819.51724137948</v>
      </c>
    </row>
    <row r="107" spans="1:16" x14ac:dyDescent="0.15">
      <c r="A107">
        <f t="shared" si="23"/>
        <v>7</v>
      </c>
      <c r="B107">
        <f t="shared" si="23"/>
        <v>1990</v>
      </c>
      <c r="C107" s="102">
        <f t="shared" si="12"/>
        <v>1.5538333599210321</v>
      </c>
      <c r="D107" s="81">
        <f t="shared" si="13"/>
        <v>1.5350518437675982</v>
      </c>
      <c r="E107" s="7">
        <f t="shared" si="14"/>
        <v>10.048022068965514</v>
      </c>
      <c r="F107" s="15">
        <f t="shared" si="20"/>
        <v>10048022.068965513</v>
      </c>
      <c r="G107" s="15">
        <f t="shared" si="21"/>
        <v>1187493.5172413788</v>
      </c>
      <c r="H107" s="15">
        <f t="shared" si="17"/>
        <v>189216</v>
      </c>
      <c r="I107" s="16">
        <f t="shared" si="18"/>
        <v>9.9827751724137891E-3</v>
      </c>
      <c r="J107" s="15">
        <f t="shared" si="22"/>
        <v>998277.51724137878</v>
      </c>
      <c r="K107" s="16">
        <f t="shared" si="15"/>
        <v>1.8128813379310349</v>
      </c>
      <c r="L107" s="15">
        <f t="shared" si="19"/>
        <v>863276.82758620707</v>
      </c>
    </row>
    <row r="108" spans="1:16" x14ac:dyDescent="0.15">
      <c r="A108">
        <f t="shared" si="23"/>
        <v>6</v>
      </c>
      <c r="B108">
        <f t="shared" si="23"/>
        <v>1989</v>
      </c>
      <c r="C108" s="102">
        <f t="shared" si="12"/>
        <v>1.5741604482068465</v>
      </c>
      <c r="D108" s="81">
        <f t="shared" si="13"/>
        <v>1.5563504703333479</v>
      </c>
      <c r="E108" s="7">
        <f t="shared" si="14"/>
        <v>8.8605285517241335</v>
      </c>
      <c r="F108" s="15">
        <f t="shared" si="20"/>
        <v>8860528.551724134</v>
      </c>
      <c r="G108" s="15">
        <f t="shared" si="21"/>
        <v>1207067.586206896</v>
      </c>
      <c r="H108" s="15">
        <f t="shared" si="17"/>
        <v>189216</v>
      </c>
      <c r="I108" s="16">
        <f t="shared" si="18"/>
        <v>1.017851586206896E-2</v>
      </c>
      <c r="J108" s="15">
        <f t="shared" si="22"/>
        <v>1017851.586206896</v>
      </c>
      <c r="K108" s="16">
        <f t="shared" si="15"/>
        <v>1.8684416896551728</v>
      </c>
      <c r="L108" s="15">
        <f t="shared" si="19"/>
        <v>889734.13793103467</v>
      </c>
    </row>
    <row r="109" spans="1:16" x14ac:dyDescent="0.15">
      <c r="A109">
        <f t="shared" si="23"/>
        <v>5</v>
      </c>
      <c r="B109">
        <f t="shared" si="23"/>
        <v>1988</v>
      </c>
      <c r="C109" s="102">
        <f t="shared" si="12"/>
        <v>1.5937396876959193</v>
      </c>
      <c r="D109" s="81">
        <f t="shared" si="13"/>
        <v>1.5769693534980633</v>
      </c>
      <c r="E109" s="7">
        <f t="shared" si="14"/>
        <v>7.6534609655172376</v>
      </c>
      <c r="F109" s="15">
        <f t="shared" si="20"/>
        <v>7653460.9655172378</v>
      </c>
      <c r="G109" s="15">
        <f t="shared" si="21"/>
        <v>1226641.6551724132</v>
      </c>
      <c r="H109" s="15">
        <f t="shared" si="17"/>
        <v>189216</v>
      </c>
      <c r="I109" s="16">
        <f t="shared" si="18"/>
        <v>1.0374256551724132E-2</v>
      </c>
      <c r="J109" s="15">
        <f t="shared" si="22"/>
        <v>1037425.6551724132</v>
      </c>
      <c r="K109" s="16">
        <f t="shared" si="15"/>
        <v>1.9240020413793109</v>
      </c>
      <c r="L109" s="15">
        <f t="shared" si="19"/>
        <v>916191.44827586226</v>
      </c>
    </row>
    <row r="110" spans="1:16" x14ac:dyDescent="0.15">
      <c r="A110">
        <f t="shared" si="23"/>
        <v>4</v>
      </c>
      <c r="B110">
        <f t="shared" si="23"/>
        <v>1987</v>
      </c>
      <c r="C110" s="102">
        <f t="shared" si="12"/>
        <v>1.6125412160388124</v>
      </c>
      <c r="D110" s="81">
        <f>(K110+I110)*1000/G110*1000</f>
        <v>1.5969405230555103</v>
      </c>
      <c r="E110" s="7">
        <f t="shared" si="14"/>
        <v>6.4268193103448246</v>
      </c>
      <c r="F110" s="15">
        <f t="shared" si="20"/>
        <v>6426819.3103448246</v>
      </c>
      <c r="G110" s="15">
        <f t="shared" si="21"/>
        <v>1246215.7241379304</v>
      </c>
      <c r="H110" s="15">
        <f t="shared" si="17"/>
        <v>189216</v>
      </c>
      <c r="I110" s="16">
        <f t="shared" si="18"/>
        <v>1.0569997241379303E-2</v>
      </c>
      <c r="J110" s="15">
        <f t="shared" si="22"/>
        <v>1056999.7241379304</v>
      </c>
      <c r="K110" s="16">
        <f t="shared" si="15"/>
        <v>1.9795623931034487</v>
      </c>
      <c r="L110" s="15">
        <f t="shared" si="19"/>
        <v>942648.75862068986</v>
      </c>
    </row>
    <row r="111" spans="1:16" x14ac:dyDescent="0.15">
      <c r="A111">
        <f t="shared" si="23"/>
        <v>3</v>
      </c>
      <c r="B111">
        <f t="shared" si="23"/>
        <v>1986</v>
      </c>
      <c r="C111" s="102">
        <f t="shared" si="12"/>
        <v>1.6304734162512398</v>
      </c>
      <c r="D111" s="81">
        <f t="shared" si="13"/>
        <v>1.6162940275750979</v>
      </c>
      <c r="E111" s="7">
        <f t="shared" si="14"/>
        <v>5.1806035862068942</v>
      </c>
      <c r="F111" s="15">
        <f t="shared" si="20"/>
        <v>5180603.5862068944</v>
      </c>
      <c r="G111" s="15">
        <f t="shared" si="21"/>
        <v>1265789.7931034476</v>
      </c>
      <c r="H111" s="15">
        <f t="shared" si="17"/>
        <v>189216</v>
      </c>
      <c r="I111" s="16">
        <f t="shared" si="18"/>
        <v>1.0765737931034478E-2</v>
      </c>
      <c r="J111" s="15">
        <f t="shared" si="22"/>
        <v>1076573.7931034476</v>
      </c>
      <c r="K111" s="16">
        <f t="shared" si="15"/>
        <v>2.0351227448275866</v>
      </c>
      <c r="L111" s="15">
        <f t="shared" si="19"/>
        <v>969106.06896551745</v>
      </c>
    </row>
    <row r="112" spans="1:16" x14ac:dyDescent="0.15">
      <c r="A112">
        <f t="shared" si="23"/>
        <v>2</v>
      </c>
      <c r="B112">
        <f t="shared" si="23"/>
        <v>1985</v>
      </c>
      <c r="C112" s="102">
        <f>(D112*G112+D113*F113)/F112</f>
        <v>1.6472831815702702</v>
      </c>
      <c r="D112" s="81">
        <f t="shared" si="13"/>
        <v>1.6350580852565255</v>
      </c>
      <c r="E112" s="7">
        <f t="shared" si="14"/>
        <v>3.914813793103447</v>
      </c>
      <c r="F112" s="15">
        <f t="shared" si="20"/>
        <v>3914813.7931034472</v>
      </c>
      <c r="G112" s="15">
        <f t="shared" si="21"/>
        <v>1285363.8620689649</v>
      </c>
      <c r="H112" s="15">
        <f t="shared" si="17"/>
        <v>189216</v>
      </c>
      <c r="I112" s="16">
        <f t="shared" si="18"/>
        <v>1.0961478620689649E-2</v>
      </c>
      <c r="J112" s="15">
        <f t="shared" si="22"/>
        <v>1096147.8620689649</v>
      </c>
      <c r="K112" s="16">
        <f t="shared" si="15"/>
        <v>2.0906830965517247</v>
      </c>
      <c r="L112" s="15">
        <f t="shared" si="19"/>
        <v>995563.37931034504</v>
      </c>
      <c r="M112" s="15">
        <v>3871920</v>
      </c>
      <c r="N112" t="s">
        <v>966</v>
      </c>
    </row>
    <row r="113" spans="1:17" x14ac:dyDescent="0.15">
      <c r="A113">
        <f t="shared" si="23"/>
        <v>1</v>
      </c>
      <c r="B113">
        <f t="shared" si="23"/>
        <v>1984</v>
      </c>
      <c r="C113" s="102">
        <f>(D113*G113+D114*G114)/F113</f>
        <v>1.662156550692234</v>
      </c>
      <c r="D113" s="81">
        <f>(K113+I113)*1000/G113*1000</f>
        <v>1.6532592212075101</v>
      </c>
      <c r="E113" s="7">
        <f t="shared" si="14"/>
        <v>2.6294499310344821</v>
      </c>
      <c r="F113" s="15">
        <f t="shared" si="20"/>
        <v>2629449.9310344821</v>
      </c>
      <c r="G113" s="15">
        <f t="shared" si="21"/>
        <v>1304937.9310344821</v>
      </c>
      <c r="H113" s="15">
        <f t="shared" si="17"/>
        <v>189216</v>
      </c>
      <c r="I113" s="16">
        <f t="shared" si="18"/>
        <v>1.115721931034482E-2</v>
      </c>
      <c r="J113" s="15">
        <f t="shared" si="22"/>
        <v>1115721.9310344821</v>
      </c>
      <c r="K113" s="16">
        <f t="shared" si="15"/>
        <v>2.1462434482758628</v>
      </c>
      <c r="L113" s="15">
        <f t="shared" si="19"/>
        <v>1022020.6896551726</v>
      </c>
      <c r="M113" s="15">
        <v>283000</v>
      </c>
      <c r="N113" t="s">
        <v>965</v>
      </c>
    </row>
    <row r="114" spans="1:17" x14ac:dyDescent="0.15">
      <c r="A114">
        <f t="shared" si="23"/>
        <v>0</v>
      </c>
      <c r="B114">
        <f t="shared" si="23"/>
        <v>1983</v>
      </c>
      <c r="C114" s="102">
        <f>D114</f>
        <v>1.670922392549105</v>
      </c>
      <c r="D114" s="81">
        <f>(K114+I114)*1000000/G114</f>
        <v>1.670922392549105</v>
      </c>
      <c r="E114" s="7">
        <f t="shared" si="14"/>
        <v>1.3245119999999999</v>
      </c>
      <c r="F114" s="15">
        <f>H114+J114</f>
        <v>1324512</v>
      </c>
      <c r="G114" s="15">
        <f t="shared" si="21"/>
        <v>1324512</v>
      </c>
      <c r="H114" s="15">
        <f>H113</f>
        <v>189216</v>
      </c>
      <c r="I114" s="16">
        <f t="shared" si="18"/>
        <v>1.135296E-2</v>
      </c>
      <c r="J114" s="15">
        <f>M115</f>
        <v>1135296</v>
      </c>
      <c r="K114" s="16">
        <f t="shared" si="15"/>
        <v>2.2018038000000004</v>
      </c>
      <c r="L114" s="15">
        <v>1048478</v>
      </c>
      <c r="M114" s="15">
        <f>6*60*60*24*365/1000</f>
        <v>189216</v>
      </c>
      <c r="N114" t="s">
        <v>1105</v>
      </c>
    </row>
    <row r="115" spans="1:17" x14ac:dyDescent="0.15">
      <c r="M115" s="15">
        <f>36*60*60*24*365/1000</f>
        <v>1135296</v>
      </c>
      <c r="N115" t="s">
        <v>1106</v>
      </c>
    </row>
    <row r="116" spans="1:17" x14ac:dyDescent="0.15">
      <c r="B116">
        <v>2020</v>
      </c>
      <c r="G116" s="15"/>
      <c r="J116" s="15">
        <v>2932848</v>
      </c>
      <c r="L116" s="15">
        <v>1129047</v>
      </c>
      <c r="M116" s="15">
        <f>18*60*60*24*365/1000</f>
        <v>567648</v>
      </c>
      <c r="N116" t="s">
        <v>964</v>
      </c>
    </row>
    <row r="117" spans="1:17" x14ac:dyDescent="0.15">
      <c r="L117" s="15">
        <v>1048478</v>
      </c>
    </row>
    <row r="118" spans="1:17" x14ac:dyDescent="0.15">
      <c r="B118" s="15">
        <v>2932848</v>
      </c>
    </row>
    <row r="124" spans="1:17" ht="42" x14ac:dyDescent="0.15">
      <c r="A124" s="12"/>
      <c r="B124" s="12"/>
      <c r="C124" s="12" t="s">
        <v>1189</v>
      </c>
      <c r="D124" s="13" t="s">
        <v>1065</v>
      </c>
      <c r="E124" s="13" t="s">
        <v>751</v>
      </c>
      <c r="F124" s="13" t="s">
        <v>751</v>
      </c>
      <c r="G124" s="13" t="s">
        <v>752</v>
      </c>
      <c r="H124" s="13" t="s">
        <v>883</v>
      </c>
      <c r="I124" s="12" t="s">
        <v>1102</v>
      </c>
      <c r="J124" s="13" t="s">
        <v>897</v>
      </c>
      <c r="K124" s="13" t="s">
        <v>745</v>
      </c>
      <c r="L124" s="13" t="s">
        <v>898</v>
      </c>
      <c r="M124" s="12" t="s">
        <v>750</v>
      </c>
      <c r="N124" s="13" t="s">
        <v>1101</v>
      </c>
      <c r="O124" s="12" t="s">
        <v>1181</v>
      </c>
      <c r="P124" s="12"/>
      <c r="Q124" s="12"/>
    </row>
    <row r="125" spans="1:17" x14ac:dyDescent="0.15">
      <c r="A125" s="1" t="s">
        <v>746</v>
      </c>
      <c r="B125" s="1" t="s">
        <v>747</v>
      </c>
      <c r="C125" s="1" t="s">
        <v>1190</v>
      </c>
      <c r="D125" s="14" t="s">
        <v>1190</v>
      </c>
      <c r="E125" s="14" t="s">
        <v>1104</v>
      </c>
      <c r="F125" s="14" t="s">
        <v>718</v>
      </c>
      <c r="G125" s="14" t="s">
        <v>749</v>
      </c>
      <c r="H125" s="14" t="s">
        <v>749</v>
      </c>
      <c r="I125" s="14" t="s">
        <v>884</v>
      </c>
      <c r="J125" s="14" t="s">
        <v>749</v>
      </c>
      <c r="K125" s="14" t="s">
        <v>884</v>
      </c>
      <c r="L125" s="14" t="s">
        <v>1144</v>
      </c>
      <c r="M125" s="1" t="s">
        <v>885</v>
      </c>
      <c r="N125" s="14" t="s">
        <v>1188</v>
      </c>
      <c r="O125" s="1"/>
      <c r="P125" s="1"/>
      <c r="Q125" s="1"/>
    </row>
    <row r="126" spans="1:17" x14ac:dyDescent="0.15">
      <c r="A126">
        <v>29</v>
      </c>
      <c r="B126">
        <v>2012</v>
      </c>
      <c r="C126" s="81">
        <f>(D126*G126+D127*F127)/F126</f>
        <v>12.104476973603889</v>
      </c>
      <c r="D126" s="7">
        <f t="shared" ref="D126:D153" si="24">(K126+I126)*1000/G126</f>
        <v>11.441963470319635</v>
      </c>
      <c r="E126" s="7">
        <f>F126/1000000</f>
        <v>31.220639999999992</v>
      </c>
      <c r="F126" s="15">
        <f>F127+H126+J126</f>
        <v>31220639.999999993</v>
      </c>
      <c r="G126" s="15">
        <f>H126+J126</f>
        <v>756864</v>
      </c>
      <c r="H126" s="15">
        <f>6*60*60*24*365/1000</f>
        <v>189216</v>
      </c>
      <c r="I126" s="16">
        <f>J126*1000*$N$126/1000000</f>
        <v>1067.17824</v>
      </c>
      <c r="J126" s="15">
        <f>18*60*60*24*365/1000</f>
        <v>567648</v>
      </c>
      <c r="K126" s="15">
        <f>L126*M$126/1000</f>
        <v>7592.8320000000003</v>
      </c>
      <c r="L126" s="15">
        <v>281216</v>
      </c>
      <c r="M126" s="117">
        <v>27</v>
      </c>
      <c r="N126">
        <v>1.88</v>
      </c>
    </row>
    <row r="127" spans="1:17" x14ac:dyDescent="0.15">
      <c r="A127">
        <f t="shared" ref="A127:A155" si="25">A126-1</f>
        <v>28</v>
      </c>
      <c r="B127">
        <f t="shared" ref="B127:B155" si="26">B126-1</f>
        <v>2011</v>
      </c>
      <c r="C127" s="81">
        <f t="shared" ref="C127:C152" si="27">(D127*G127+D128*F128)/F127</f>
        <v>12.750064168013838</v>
      </c>
      <c r="D127" s="7">
        <f t="shared" si="24"/>
        <v>12.120936936418405</v>
      </c>
      <c r="E127" s="7">
        <f t="shared" ref="E127:E155" si="28">F127/1000000</f>
        <v>30.463775999999992</v>
      </c>
      <c r="F127" s="15">
        <f>F128+H127+J127</f>
        <v>30463775.999999993</v>
      </c>
      <c r="G127" s="15">
        <f>H127+J127</f>
        <v>776438.06896551722</v>
      </c>
      <c r="H127" s="15">
        <f>H126</f>
        <v>189216</v>
      </c>
      <c r="I127" s="16">
        <f t="shared" ref="I127:I155" si="29">J127*1000*$N$126/1000000</f>
        <v>1103.9774896551721</v>
      </c>
      <c r="J127" s="15">
        <f>J126+(J$33-J$4)/29</f>
        <v>587222.06896551722</v>
      </c>
      <c r="K127" s="15">
        <f t="shared" ref="K127:K155" si="30">L127*M$126/1000</f>
        <v>8307.1793793103461</v>
      </c>
      <c r="L127" s="15">
        <f>L126+(L$33-L$4)/29</f>
        <v>307673.31034482759</v>
      </c>
    </row>
    <row r="128" spans="1:17" x14ac:dyDescent="0.15">
      <c r="A128">
        <f t="shared" si="25"/>
        <v>27</v>
      </c>
      <c r="B128">
        <f t="shared" si="26"/>
        <v>2010</v>
      </c>
      <c r="C128" s="81">
        <f t="shared" si="27"/>
        <v>13.36463248118822</v>
      </c>
      <c r="D128" s="7">
        <f t="shared" si="24"/>
        <v>12.766518264840181</v>
      </c>
      <c r="E128" s="7">
        <f t="shared" si="28"/>
        <v>29.687337931034474</v>
      </c>
      <c r="F128" s="15">
        <f>F129+H128+J128</f>
        <v>29687337.931034476</v>
      </c>
      <c r="G128" s="15">
        <f>H128+J128</f>
        <v>796012.13793103443</v>
      </c>
      <c r="H128" s="15">
        <f t="shared" ref="H128:H154" si="31">H127</f>
        <v>189216</v>
      </c>
      <c r="I128" s="16">
        <f t="shared" si="29"/>
        <v>1140.7767393103447</v>
      </c>
      <c r="J128" s="15">
        <f>J127+(J$33-J$4)/29</f>
        <v>606796.13793103443</v>
      </c>
      <c r="K128" s="15">
        <f t="shared" si="30"/>
        <v>9021.5267586206901</v>
      </c>
      <c r="L128" s="15">
        <f t="shared" ref="L128:L154" si="32">L127+(L$33-L$4)/29</f>
        <v>334130.62068965519</v>
      </c>
    </row>
    <row r="129" spans="1:16" x14ac:dyDescent="0.15">
      <c r="A129">
        <f t="shared" si="25"/>
        <v>26</v>
      </c>
      <c r="B129">
        <f t="shared" si="26"/>
        <v>2009</v>
      </c>
      <c r="C129" s="81">
        <f t="shared" si="27"/>
        <v>13.950359677741508</v>
      </c>
      <c r="D129" s="7">
        <f t="shared" si="24"/>
        <v>13.38111168949772</v>
      </c>
      <c r="E129" s="7">
        <f t="shared" si="28"/>
        <v>28.891325793103441</v>
      </c>
      <c r="F129" s="15">
        <f t="shared" ref="F129:F154" si="33">F130+H129+J129</f>
        <v>28891325.793103442</v>
      </c>
      <c r="G129" s="15">
        <f t="shared" ref="G129:G155" si="34">H129+J129</f>
        <v>815586.20689655165</v>
      </c>
      <c r="H129" s="15">
        <f t="shared" si="31"/>
        <v>189216</v>
      </c>
      <c r="I129" s="16">
        <f t="shared" si="29"/>
        <v>1177.5759889655171</v>
      </c>
      <c r="J129" s="15">
        <f t="shared" ref="J129:J154" si="35">J128+(J$33-J$4)/29</f>
        <v>626370.20689655165</v>
      </c>
      <c r="K129" s="15">
        <f t="shared" si="30"/>
        <v>9735.8741379310359</v>
      </c>
      <c r="L129" s="15">
        <f t="shared" si="32"/>
        <v>360587.93103448278</v>
      </c>
    </row>
    <row r="130" spans="1:16" x14ac:dyDescent="0.15">
      <c r="A130">
        <f t="shared" si="25"/>
        <v>25</v>
      </c>
      <c r="B130">
        <f t="shared" si="26"/>
        <v>2008</v>
      </c>
      <c r="C130" s="81">
        <f t="shared" si="27"/>
        <v>14.509223540827268</v>
      </c>
      <c r="D130" s="7">
        <f t="shared" si="24"/>
        <v>13.966896047374432</v>
      </c>
      <c r="E130" s="7">
        <f t="shared" si="28"/>
        <v>28.07573958620689</v>
      </c>
      <c r="F130" s="15">
        <f t="shared" si="33"/>
        <v>28075739.586206891</v>
      </c>
      <c r="G130" s="15">
        <f t="shared" si="34"/>
        <v>835160.27586206887</v>
      </c>
      <c r="H130" s="15">
        <f t="shared" si="31"/>
        <v>189216</v>
      </c>
      <c r="I130" s="16">
        <f t="shared" si="29"/>
        <v>1214.3752386206893</v>
      </c>
      <c r="J130" s="15">
        <f t="shared" si="35"/>
        <v>645944.27586206887</v>
      </c>
      <c r="K130" s="15">
        <f t="shared" si="30"/>
        <v>10450.221517241382</v>
      </c>
      <c r="L130" s="15">
        <f t="shared" si="32"/>
        <v>387045.24137931038</v>
      </c>
      <c r="M130">
        <v>20</v>
      </c>
      <c r="N130">
        <v>68.2</v>
      </c>
      <c r="O130">
        <v>58.4</v>
      </c>
      <c r="P130" t="s">
        <v>1241</v>
      </c>
    </row>
    <row r="131" spans="1:16" x14ac:dyDescent="0.15">
      <c r="A131">
        <f t="shared" si="25"/>
        <v>24</v>
      </c>
      <c r="B131">
        <f t="shared" si="26"/>
        <v>2007</v>
      </c>
      <c r="C131" s="81">
        <f t="shared" si="27"/>
        <v>15.043024162143924</v>
      </c>
      <c r="D131" s="7">
        <f t="shared" si="24"/>
        <v>14.525850587333126</v>
      </c>
      <c r="E131" s="7">
        <f t="shared" si="28"/>
        <v>27.240579310344824</v>
      </c>
      <c r="F131" s="15">
        <f t="shared" si="33"/>
        <v>27240579.310344823</v>
      </c>
      <c r="G131" s="15">
        <f t="shared" si="34"/>
        <v>854734.34482758609</v>
      </c>
      <c r="H131" s="15">
        <f t="shared" si="31"/>
        <v>189216</v>
      </c>
      <c r="I131" s="16">
        <f t="shared" si="29"/>
        <v>1251.1744882758617</v>
      </c>
      <c r="J131" s="15">
        <f>J130+(J$33-J$4)/29</f>
        <v>665518.34482758609</v>
      </c>
      <c r="K131" s="15">
        <f t="shared" si="30"/>
        <v>11164.568896551724</v>
      </c>
      <c r="L131" s="15">
        <f t="shared" si="32"/>
        <v>413502.55172413797</v>
      </c>
      <c r="M131">
        <v>0</v>
      </c>
      <c r="N131">
        <v>126</v>
      </c>
      <c r="O131">
        <v>68.7</v>
      </c>
      <c r="P131" t="s">
        <v>1240</v>
      </c>
    </row>
    <row r="132" spans="1:16" x14ac:dyDescent="0.15">
      <c r="A132">
        <f t="shared" si="25"/>
        <v>23</v>
      </c>
      <c r="B132">
        <f t="shared" si="26"/>
        <v>2006</v>
      </c>
      <c r="C132" s="81">
        <f t="shared" si="27"/>
        <v>15.553403279850061</v>
      </c>
      <c r="D132" s="7">
        <f t="shared" si="24"/>
        <v>15.059777312069791</v>
      </c>
      <c r="E132" s="7">
        <f t="shared" si="28"/>
        <v>26.385844965517236</v>
      </c>
      <c r="F132" s="15">
        <f t="shared" si="33"/>
        <v>26385844.965517238</v>
      </c>
      <c r="G132" s="15">
        <f t="shared" si="34"/>
        <v>874308.4137931033</v>
      </c>
      <c r="H132" s="15">
        <f t="shared" si="31"/>
        <v>189216</v>
      </c>
      <c r="I132" s="16">
        <f t="shared" si="29"/>
        <v>1287.9737379310341</v>
      </c>
      <c r="J132" s="15">
        <f t="shared" si="35"/>
        <v>685092.4137931033</v>
      </c>
      <c r="K132" s="15">
        <f t="shared" si="30"/>
        <v>11878.91627586207</v>
      </c>
      <c r="L132" s="15">
        <f t="shared" si="32"/>
        <v>439959.86206896557</v>
      </c>
      <c r="M132">
        <v>27</v>
      </c>
      <c r="N132">
        <v>1.88</v>
      </c>
      <c r="O132">
        <v>12</v>
      </c>
      <c r="P132" t="s">
        <v>1187</v>
      </c>
    </row>
    <row r="133" spans="1:16" x14ac:dyDescent="0.15">
      <c r="A133">
        <f t="shared" si="25"/>
        <v>22</v>
      </c>
      <c r="B133">
        <f t="shared" si="26"/>
        <v>2005</v>
      </c>
      <c r="C133" s="81">
        <f t="shared" si="27"/>
        <v>16.041861100211381</v>
      </c>
      <c r="D133" s="7">
        <f t="shared" si="24"/>
        <v>15.570320384628207</v>
      </c>
      <c r="E133" s="7">
        <f t="shared" si="28"/>
        <v>25.511536551724134</v>
      </c>
      <c r="F133" s="15">
        <f t="shared" si="33"/>
        <v>25511536.551724136</v>
      </c>
      <c r="G133" s="15">
        <f t="shared" si="34"/>
        <v>893882.48275862052</v>
      </c>
      <c r="H133" s="15">
        <f t="shared" si="31"/>
        <v>189216</v>
      </c>
      <c r="I133" s="16">
        <f t="shared" si="29"/>
        <v>1324.7729875862065</v>
      </c>
      <c r="J133" s="15">
        <f t="shared" si="35"/>
        <v>704666.48275862052</v>
      </c>
      <c r="K133" s="15">
        <f t="shared" si="30"/>
        <v>12593.263655172415</v>
      </c>
      <c r="L133" s="15">
        <f t="shared" si="32"/>
        <v>466417.17241379316</v>
      </c>
      <c r="M133">
        <v>19</v>
      </c>
      <c r="N133">
        <v>0.18</v>
      </c>
      <c r="O133">
        <v>7.7</v>
      </c>
      <c r="P133" t="s">
        <v>1182</v>
      </c>
    </row>
    <row r="134" spans="1:16" x14ac:dyDescent="0.15">
      <c r="A134">
        <f t="shared" si="25"/>
        <v>21</v>
      </c>
      <c r="B134">
        <f t="shared" si="26"/>
        <v>2004</v>
      </c>
      <c r="C134" s="81">
        <f t="shared" si="27"/>
        <v>16.509770963167352</v>
      </c>
      <c r="D134" s="7">
        <f t="shared" si="24"/>
        <v>16.058983039791265</v>
      </c>
      <c r="E134" s="7">
        <f t="shared" si="28"/>
        <v>24.617654068965518</v>
      </c>
      <c r="F134" s="15">
        <f t="shared" si="33"/>
        <v>24617654.068965517</v>
      </c>
      <c r="G134" s="15">
        <f t="shared" si="34"/>
        <v>913456.55172413774</v>
      </c>
      <c r="H134" s="15">
        <f t="shared" si="31"/>
        <v>189216</v>
      </c>
      <c r="I134" s="16">
        <f t="shared" si="29"/>
        <v>1361.5722372413791</v>
      </c>
      <c r="J134" s="15">
        <f t="shared" si="35"/>
        <v>724240.55172413774</v>
      </c>
      <c r="K134" s="15">
        <f t="shared" si="30"/>
        <v>13307.611034482761</v>
      </c>
      <c r="L134" s="15">
        <f t="shared" si="32"/>
        <v>492874.48275862075</v>
      </c>
      <c r="M134" s="117">
        <v>1.4</v>
      </c>
      <c r="N134" s="116">
        <v>0.38</v>
      </c>
      <c r="O134">
        <v>0.84</v>
      </c>
      <c r="P134" t="s">
        <v>1123</v>
      </c>
    </row>
    <row r="135" spans="1:16" x14ac:dyDescent="0.15">
      <c r="A135">
        <f t="shared" si="25"/>
        <v>20</v>
      </c>
      <c r="B135">
        <f t="shared" si="26"/>
        <v>2003</v>
      </c>
      <c r="C135" s="81">
        <f t="shared" si="27"/>
        <v>16.95839214931393</v>
      </c>
      <c r="D135" s="7">
        <f t="shared" si="24"/>
        <v>16.527142366765659</v>
      </c>
      <c r="E135" s="7">
        <f t="shared" si="28"/>
        <v>23.704197517241376</v>
      </c>
      <c r="F135" s="15">
        <f t="shared" si="33"/>
        <v>23704197.517241377</v>
      </c>
      <c r="G135" s="15">
        <f t="shared" si="34"/>
        <v>933030.62068965496</v>
      </c>
      <c r="H135" s="15">
        <f t="shared" si="31"/>
        <v>189216</v>
      </c>
      <c r="I135" s="16">
        <f t="shared" si="29"/>
        <v>1398.3714868965512</v>
      </c>
      <c r="J135" s="15">
        <f t="shared" si="35"/>
        <v>743814.62068965496</v>
      </c>
      <c r="K135" s="15">
        <f t="shared" si="30"/>
        <v>14021.958413793105</v>
      </c>
      <c r="L135" s="15">
        <f t="shared" si="32"/>
        <v>519331.79310344835</v>
      </c>
      <c r="M135" s="81">
        <v>0.01</v>
      </c>
      <c r="N135" s="83">
        <v>0.27</v>
      </c>
      <c r="O135">
        <v>0.13</v>
      </c>
      <c r="P135" t="s">
        <v>1122</v>
      </c>
    </row>
    <row r="136" spans="1:16" x14ac:dyDescent="0.15">
      <c r="A136">
        <f t="shared" si="25"/>
        <v>19</v>
      </c>
      <c r="B136">
        <f t="shared" si="26"/>
        <v>2002</v>
      </c>
      <c r="C136" s="81">
        <f t="shared" si="27"/>
        <v>17.388881072931603</v>
      </c>
      <c r="D136" s="7">
        <f t="shared" si="24"/>
        <v>16.976062269343846</v>
      </c>
      <c r="E136" s="7">
        <f t="shared" si="28"/>
        <v>22.771166896551719</v>
      </c>
      <c r="F136" s="15">
        <f t="shared" si="33"/>
        <v>22771166.896551721</v>
      </c>
      <c r="G136" s="15">
        <f t="shared" si="34"/>
        <v>952604.68965517217</v>
      </c>
      <c r="H136" s="15">
        <f t="shared" si="31"/>
        <v>189216</v>
      </c>
      <c r="I136" s="16">
        <f t="shared" si="29"/>
        <v>1435.1707365517236</v>
      </c>
      <c r="J136" s="15">
        <f t="shared" si="35"/>
        <v>763388.68965517217</v>
      </c>
      <c r="K136" s="15">
        <f t="shared" si="30"/>
        <v>14736.305793103451</v>
      </c>
      <c r="L136" s="15">
        <f t="shared" si="32"/>
        <v>545789.10344827594</v>
      </c>
      <c r="M136">
        <v>0.01</v>
      </c>
      <c r="N136">
        <v>2.8</v>
      </c>
      <c r="O136">
        <v>1.5</v>
      </c>
      <c r="P136" t="s">
        <v>1177</v>
      </c>
    </row>
    <row r="137" spans="1:16" x14ac:dyDescent="0.15">
      <c r="A137">
        <f t="shared" si="25"/>
        <v>18</v>
      </c>
      <c r="B137">
        <f t="shared" si="26"/>
        <v>2001</v>
      </c>
      <c r="C137" s="81">
        <f t="shared" si="27"/>
        <v>17.802301059913979</v>
      </c>
      <c r="D137" s="7">
        <f t="shared" si="24"/>
        <v>17.406904860408822</v>
      </c>
      <c r="E137" s="7">
        <f t="shared" si="28"/>
        <v>21.818562206896548</v>
      </c>
      <c r="F137" s="15">
        <f t="shared" si="33"/>
        <v>21818562.206896547</v>
      </c>
      <c r="G137" s="15">
        <f t="shared" si="34"/>
        <v>972178.75862068939</v>
      </c>
      <c r="H137" s="15">
        <f t="shared" si="31"/>
        <v>189216</v>
      </c>
      <c r="I137" s="16">
        <f t="shared" si="29"/>
        <v>1471.969986206896</v>
      </c>
      <c r="J137" s="15">
        <f t="shared" si="35"/>
        <v>782962.75862068939</v>
      </c>
      <c r="K137" s="15">
        <f t="shared" si="30"/>
        <v>15450.653172413797</v>
      </c>
      <c r="L137" s="15">
        <f t="shared" si="32"/>
        <v>572246.41379310354</v>
      </c>
      <c r="M137">
        <v>7.5</v>
      </c>
      <c r="N137">
        <v>0.94</v>
      </c>
      <c r="O137">
        <v>3.6</v>
      </c>
      <c r="P137" t="s">
        <v>1183</v>
      </c>
    </row>
    <row r="138" spans="1:16" x14ac:dyDescent="0.15">
      <c r="A138">
        <f t="shared" si="25"/>
        <v>17</v>
      </c>
      <c r="B138">
        <f t="shared" si="26"/>
        <v>2000</v>
      </c>
      <c r="C138" s="81">
        <f t="shared" si="27"/>
        <v>18.199630868146979</v>
      </c>
      <c r="D138" s="7">
        <f t="shared" si="24"/>
        <v>17.820740507089649</v>
      </c>
      <c r="E138" s="7">
        <f t="shared" si="28"/>
        <v>20.846383448275855</v>
      </c>
      <c r="F138" s="15">
        <f t="shared" si="33"/>
        <v>20846383.448275857</v>
      </c>
      <c r="G138" s="15">
        <f t="shared" si="34"/>
        <v>991752.82758620661</v>
      </c>
      <c r="H138" s="15">
        <f t="shared" si="31"/>
        <v>189216</v>
      </c>
      <c r="I138" s="16">
        <f t="shared" si="29"/>
        <v>1508.7692358620682</v>
      </c>
      <c r="J138" s="15">
        <f t="shared" si="35"/>
        <v>802536.82758620661</v>
      </c>
      <c r="K138" s="15">
        <f t="shared" si="30"/>
        <v>16165.000551724139</v>
      </c>
      <c r="L138" s="15">
        <f t="shared" si="32"/>
        <v>598703.72413793113</v>
      </c>
      <c r="P138" t="s">
        <v>1244</v>
      </c>
    </row>
    <row r="139" spans="1:16" x14ac:dyDescent="0.15">
      <c r="A139">
        <f t="shared" si="25"/>
        <v>16</v>
      </c>
      <c r="B139">
        <f t="shared" si="26"/>
        <v>1999</v>
      </c>
      <c r="C139" s="81">
        <f t="shared" si="27"/>
        <v>18.58177206818068</v>
      </c>
      <c r="D139" s="7">
        <f t="shared" si="24"/>
        <v>18.218556709382835</v>
      </c>
      <c r="E139" s="7">
        <f t="shared" si="28"/>
        <v>19.854630620689647</v>
      </c>
      <c r="F139" s="15">
        <f t="shared" si="33"/>
        <v>19854630.620689649</v>
      </c>
      <c r="G139" s="15">
        <f t="shared" si="34"/>
        <v>1011326.8965517238</v>
      </c>
      <c r="H139" s="15">
        <f t="shared" si="31"/>
        <v>189216</v>
      </c>
      <c r="I139" s="16">
        <f t="shared" si="29"/>
        <v>1545.5684855172408</v>
      </c>
      <c r="J139" s="15">
        <f t="shared" si="35"/>
        <v>822110.89655172382</v>
      </c>
      <c r="K139" s="15">
        <f t="shared" si="30"/>
        <v>16879.347931034488</v>
      </c>
      <c r="L139" s="15">
        <f t="shared" si="32"/>
        <v>625161.03448275873</v>
      </c>
    </row>
    <row r="140" spans="1:16" x14ac:dyDescent="0.15">
      <c r="A140">
        <f t="shared" si="25"/>
        <v>15</v>
      </c>
      <c r="B140">
        <f t="shared" si="26"/>
        <v>1998</v>
      </c>
      <c r="C140" s="81">
        <f t="shared" si="27"/>
        <v>18.949555360278548</v>
      </c>
      <c r="D140" s="7">
        <f t="shared" si="24"/>
        <v>18.601265967285137</v>
      </c>
      <c r="E140" s="7">
        <f t="shared" si="28"/>
        <v>18.843303724137925</v>
      </c>
      <c r="F140" s="15">
        <f t="shared" si="33"/>
        <v>18843303.724137925</v>
      </c>
      <c r="G140" s="15">
        <f t="shared" si="34"/>
        <v>1030900.965517241</v>
      </c>
      <c r="H140" s="15">
        <f t="shared" si="31"/>
        <v>189216</v>
      </c>
      <c r="I140" s="16">
        <f t="shared" si="29"/>
        <v>1582.3677351724132</v>
      </c>
      <c r="J140" s="15">
        <f t="shared" si="35"/>
        <v>841684.96551724104</v>
      </c>
      <c r="K140" s="15">
        <f t="shared" si="30"/>
        <v>17593.695310344829</v>
      </c>
      <c r="L140" s="15">
        <f t="shared" si="32"/>
        <v>651618.34482758632</v>
      </c>
    </row>
    <row r="141" spans="1:16" x14ac:dyDescent="0.15">
      <c r="A141">
        <f t="shared" si="25"/>
        <v>14</v>
      </c>
      <c r="B141">
        <f t="shared" si="26"/>
        <v>1997</v>
      </c>
      <c r="C141" s="81">
        <f t="shared" si="27"/>
        <v>19.30374585479673</v>
      </c>
      <c r="D141" s="7">
        <f t="shared" si="24"/>
        <v>18.969712768371206</v>
      </c>
      <c r="E141" s="7">
        <f t="shared" si="28"/>
        <v>17.812402758620681</v>
      </c>
      <c r="F141" s="15">
        <f t="shared" si="33"/>
        <v>17812402.758620683</v>
      </c>
      <c r="G141" s="15">
        <f t="shared" si="34"/>
        <v>1050475.0344827583</v>
      </c>
      <c r="H141" s="15">
        <f t="shared" si="31"/>
        <v>189216</v>
      </c>
      <c r="I141" s="16">
        <f t="shared" si="29"/>
        <v>1619.1669848275856</v>
      </c>
      <c r="J141" s="15">
        <f t="shared" si="35"/>
        <v>861259.03448275826</v>
      </c>
      <c r="K141" s="15">
        <f t="shared" si="30"/>
        <v>18308.042689655176</v>
      </c>
      <c r="L141" s="15">
        <f t="shared" si="32"/>
        <v>678075.65517241391</v>
      </c>
    </row>
    <row r="142" spans="1:16" x14ac:dyDescent="0.15">
      <c r="A142">
        <f t="shared" si="25"/>
        <v>13</v>
      </c>
      <c r="B142">
        <f t="shared" si="26"/>
        <v>1996</v>
      </c>
      <c r="C142" s="81">
        <f t="shared" si="27"/>
        <v>19.645047277669882</v>
      </c>
      <c r="D142" s="7">
        <f t="shared" si="24"/>
        <v>19.324679808441928</v>
      </c>
      <c r="E142" s="7">
        <f t="shared" si="28"/>
        <v>16.761927724137923</v>
      </c>
      <c r="F142" s="15">
        <f t="shared" si="33"/>
        <v>16761927.724137925</v>
      </c>
      <c r="G142" s="15">
        <f t="shared" si="34"/>
        <v>1070049.1034482755</v>
      </c>
      <c r="H142" s="15">
        <f t="shared" si="31"/>
        <v>189216</v>
      </c>
      <c r="I142" s="16">
        <f t="shared" si="29"/>
        <v>1655.9662344827577</v>
      </c>
      <c r="J142" s="15">
        <f t="shared" si="35"/>
        <v>880833.10344827548</v>
      </c>
      <c r="K142" s="15">
        <f t="shared" si="30"/>
        <v>19022.39006896552</v>
      </c>
      <c r="L142" s="15">
        <f t="shared" si="32"/>
        <v>704532.96551724151</v>
      </c>
    </row>
    <row r="143" spans="1:16" x14ac:dyDescent="0.15">
      <c r="A143">
        <f t="shared" si="25"/>
        <v>12</v>
      </c>
      <c r="B143">
        <f t="shared" si="26"/>
        <v>1995</v>
      </c>
      <c r="C143" s="81">
        <f t="shared" si="27"/>
        <v>19.974104966263003</v>
      </c>
      <c r="D143" s="7">
        <f t="shared" si="24"/>
        <v>19.666893541683763</v>
      </c>
      <c r="E143" s="7">
        <f t="shared" si="28"/>
        <v>15.69187862068965</v>
      </c>
      <c r="F143" s="15">
        <f t="shared" si="33"/>
        <v>15691878.620689649</v>
      </c>
      <c r="G143" s="15">
        <f t="shared" si="34"/>
        <v>1089623.1724137927</v>
      </c>
      <c r="H143" s="15">
        <f t="shared" si="31"/>
        <v>189216</v>
      </c>
      <c r="I143" s="16">
        <f t="shared" si="29"/>
        <v>1692.7654841379301</v>
      </c>
      <c r="J143" s="15">
        <f t="shared" si="35"/>
        <v>900407.17241379269</v>
      </c>
      <c r="K143" s="15">
        <f t="shared" si="30"/>
        <v>19736.737448275864</v>
      </c>
      <c r="L143" s="15">
        <f t="shared" si="32"/>
        <v>730990.2758620691</v>
      </c>
    </row>
    <row r="144" spans="1:16" x14ac:dyDescent="0.15">
      <c r="A144">
        <f t="shared" si="25"/>
        <v>11</v>
      </c>
      <c r="B144">
        <f t="shared" si="26"/>
        <v>1994</v>
      </c>
      <c r="C144" s="81">
        <f t="shared" si="27"/>
        <v>20.291507364286545</v>
      </c>
      <c r="D144" s="7">
        <f t="shared" si="24"/>
        <v>19.997029143164131</v>
      </c>
      <c r="E144" s="7">
        <f t="shared" si="28"/>
        <v>14.602255448275857</v>
      </c>
      <c r="F144" s="15">
        <f t="shared" si="33"/>
        <v>14602255.448275857</v>
      </c>
      <c r="G144" s="15">
        <f t="shared" si="34"/>
        <v>1109197.2413793099</v>
      </c>
      <c r="H144" s="15">
        <f t="shared" si="31"/>
        <v>189216</v>
      </c>
      <c r="I144" s="16">
        <f t="shared" si="29"/>
        <v>1729.5647337931025</v>
      </c>
      <c r="J144" s="15">
        <f t="shared" si="35"/>
        <v>919981.24137930991</v>
      </c>
      <c r="K144" s="15">
        <f t="shared" si="30"/>
        <v>20451.084827586212</v>
      </c>
      <c r="L144" s="15">
        <f t="shared" si="32"/>
        <v>757447.5862068967</v>
      </c>
    </row>
    <row r="145" spans="1:14" x14ac:dyDescent="0.15">
      <c r="A145">
        <f t="shared" si="25"/>
        <v>10</v>
      </c>
      <c r="B145">
        <f t="shared" si="26"/>
        <v>1993</v>
      </c>
      <c r="C145" s="81">
        <f t="shared" si="27"/>
        <v>20.597785450981505</v>
      </c>
      <c r="D145" s="7">
        <f t="shared" si="24"/>
        <v>20.315714954997766</v>
      </c>
      <c r="E145" s="7">
        <f t="shared" si="28"/>
        <v>13.493058206896547</v>
      </c>
      <c r="F145" s="15">
        <f t="shared" si="33"/>
        <v>13493058.206896547</v>
      </c>
      <c r="G145" s="15">
        <f t="shared" si="34"/>
        <v>1128771.3103448271</v>
      </c>
      <c r="H145" s="15">
        <f t="shared" si="31"/>
        <v>189216</v>
      </c>
      <c r="I145" s="16">
        <f t="shared" si="29"/>
        <v>1766.3639834482751</v>
      </c>
      <c r="J145" s="15">
        <f t="shared" si="35"/>
        <v>939555.31034482713</v>
      </c>
      <c r="K145" s="15">
        <f t="shared" si="30"/>
        <v>21165.432206896556</v>
      </c>
      <c r="L145" s="15">
        <f t="shared" si="32"/>
        <v>783904.89655172429</v>
      </c>
    </row>
    <row r="146" spans="1:14" x14ac:dyDescent="0.15">
      <c r="A146">
        <f t="shared" si="25"/>
        <v>9</v>
      </c>
      <c r="B146">
        <f t="shared" si="26"/>
        <v>1992</v>
      </c>
      <c r="C146" s="81">
        <f t="shared" si="27"/>
        <v>20.893409030375157</v>
      </c>
      <c r="D146" s="7">
        <f t="shared" si="24"/>
        <v>20.623536477791628</v>
      </c>
      <c r="E146" s="7">
        <f t="shared" si="28"/>
        <v>12.364286896551722</v>
      </c>
      <c r="F146" s="15">
        <f t="shared" si="33"/>
        <v>12364286.896551721</v>
      </c>
      <c r="G146" s="15">
        <f t="shared" si="34"/>
        <v>1148345.3793103443</v>
      </c>
      <c r="H146" s="15">
        <f t="shared" si="31"/>
        <v>189216</v>
      </c>
      <c r="I146" s="16">
        <f t="shared" si="29"/>
        <v>1803.1632331034473</v>
      </c>
      <c r="J146" s="15">
        <f t="shared" si="35"/>
        <v>959129.37931034435</v>
      </c>
      <c r="K146" s="15">
        <f t="shared" si="30"/>
        <v>21879.779586206903</v>
      </c>
      <c r="L146" s="15">
        <f t="shared" si="32"/>
        <v>810362.20689655188</v>
      </c>
    </row>
    <row r="147" spans="1:14" x14ac:dyDescent="0.15">
      <c r="A147">
        <f t="shared" si="25"/>
        <v>8</v>
      </c>
      <c r="B147">
        <f t="shared" si="26"/>
        <v>1991</v>
      </c>
      <c r="C147" s="81">
        <f t="shared" si="27"/>
        <v>21.178777797087175</v>
      </c>
      <c r="D147" s="7">
        <f t="shared" si="24"/>
        <v>20.921039960715298</v>
      </c>
      <c r="E147" s="7">
        <f t="shared" si="28"/>
        <v>11.215941517241376</v>
      </c>
      <c r="F147" s="15">
        <f t="shared" si="33"/>
        <v>11215941.517241376</v>
      </c>
      <c r="G147" s="15">
        <f t="shared" si="34"/>
        <v>1167919.4482758616</v>
      </c>
      <c r="H147" s="15">
        <f t="shared" si="31"/>
        <v>189216</v>
      </c>
      <c r="I147" s="16">
        <f t="shared" si="29"/>
        <v>1839.9624827586199</v>
      </c>
      <c r="J147" s="15">
        <f t="shared" si="35"/>
        <v>978703.44827586156</v>
      </c>
      <c r="K147" s="15">
        <f t="shared" si="30"/>
        <v>22594.126965517244</v>
      </c>
      <c r="L147" s="15">
        <f t="shared" si="32"/>
        <v>836819.51724137948</v>
      </c>
    </row>
    <row r="148" spans="1:14" x14ac:dyDescent="0.15">
      <c r="A148">
        <f t="shared" si="25"/>
        <v>7</v>
      </c>
      <c r="B148">
        <f t="shared" si="26"/>
        <v>1990</v>
      </c>
      <c r="C148" s="81">
        <f t="shared" si="27"/>
        <v>21.4542029593016</v>
      </c>
      <c r="D148" s="7">
        <f t="shared" si="24"/>
        <v>21.208735636509619</v>
      </c>
      <c r="E148" s="7">
        <f t="shared" si="28"/>
        <v>10.048022068965514</v>
      </c>
      <c r="F148" s="15">
        <f t="shared" si="33"/>
        <v>10048022.068965513</v>
      </c>
      <c r="G148" s="15">
        <f t="shared" si="34"/>
        <v>1187493.5172413788</v>
      </c>
      <c r="H148" s="15">
        <f t="shared" si="31"/>
        <v>189216</v>
      </c>
      <c r="I148" s="16">
        <f t="shared" si="29"/>
        <v>1876.7617324137918</v>
      </c>
      <c r="J148" s="15">
        <f t="shared" si="35"/>
        <v>998277.51724137878</v>
      </c>
      <c r="K148" s="15">
        <f t="shared" si="30"/>
        <v>23308.474344827591</v>
      </c>
      <c r="L148" s="15">
        <f t="shared" si="32"/>
        <v>863276.82758620707</v>
      </c>
    </row>
    <row r="149" spans="1:14" x14ac:dyDescent="0.15">
      <c r="A149">
        <f t="shared" si="25"/>
        <v>6</v>
      </c>
      <c r="B149">
        <f t="shared" si="26"/>
        <v>1989</v>
      </c>
      <c r="C149" s="81">
        <f t="shared" si="27"/>
        <v>21.719870326137841</v>
      </c>
      <c r="D149" s="7">
        <f t="shared" si="24"/>
        <v>21.487100641737641</v>
      </c>
      <c r="E149" s="7">
        <f t="shared" si="28"/>
        <v>8.8605285517241335</v>
      </c>
      <c r="F149" s="15">
        <f t="shared" si="33"/>
        <v>8860528.551724134</v>
      </c>
      <c r="G149" s="15">
        <f t="shared" si="34"/>
        <v>1207067.586206896</v>
      </c>
      <c r="H149" s="15">
        <f t="shared" si="31"/>
        <v>189216</v>
      </c>
      <c r="I149" s="16">
        <f t="shared" si="29"/>
        <v>1913.5609820689642</v>
      </c>
      <c r="J149" s="15">
        <f t="shared" si="35"/>
        <v>1017851.586206896</v>
      </c>
      <c r="K149" s="15">
        <f t="shared" si="30"/>
        <v>24022.821724137935</v>
      </c>
      <c r="L149" s="15">
        <f t="shared" si="32"/>
        <v>889734.13793103467</v>
      </c>
    </row>
    <row r="150" spans="1:14" x14ac:dyDescent="0.15">
      <c r="A150">
        <f t="shared" si="25"/>
        <v>5</v>
      </c>
      <c r="B150">
        <f t="shared" si="26"/>
        <v>1988</v>
      </c>
      <c r="C150" s="81">
        <f t="shared" si="27"/>
        <v>21.975763591645428</v>
      </c>
      <c r="D150" s="7">
        <f t="shared" si="24"/>
        <v>21.756581657437106</v>
      </c>
      <c r="E150" s="7">
        <f t="shared" si="28"/>
        <v>7.6534609655172376</v>
      </c>
      <c r="F150" s="15">
        <f t="shared" si="33"/>
        <v>7653460.9655172378</v>
      </c>
      <c r="G150" s="15">
        <f t="shared" si="34"/>
        <v>1226641.6551724132</v>
      </c>
      <c r="H150" s="15">
        <f t="shared" si="31"/>
        <v>189216</v>
      </c>
      <c r="I150" s="16">
        <f t="shared" si="29"/>
        <v>1950.3602317241368</v>
      </c>
      <c r="J150" s="15">
        <f t="shared" si="35"/>
        <v>1037425.6551724132</v>
      </c>
      <c r="K150" s="15">
        <f t="shared" si="30"/>
        <v>24737.169103448279</v>
      </c>
      <c r="L150" s="15">
        <f t="shared" si="32"/>
        <v>916191.44827586226</v>
      </c>
    </row>
    <row r="151" spans="1:14" x14ac:dyDescent="0.15">
      <c r="A151">
        <f t="shared" si="25"/>
        <v>4</v>
      </c>
      <c r="B151">
        <f t="shared" si="26"/>
        <v>1987</v>
      </c>
      <c r="C151" s="81">
        <f t="shared" si="27"/>
        <v>22.22149246619551</v>
      </c>
      <c r="D151" s="7">
        <f t="shared" si="24"/>
        <v>22.017597300915646</v>
      </c>
      <c r="E151" s="7">
        <f t="shared" si="28"/>
        <v>6.4268193103448246</v>
      </c>
      <c r="F151" s="15">
        <f t="shared" si="33"/>
        <v>6426819.3103448246</v>
      </c>
      <c r="G151" s="15">
        <f t="shared" si="34"/>
        <v>1246215.7241379304</v>
      </c>
      <c r="H151" s="15">
        <f t="shared" si="31"/>
        <v>189216</v>
      </c>
      <c r="I151" s="16">
        <f t="shared" si="29"/>
        <v>1987.159481379309</v>
      </c>
      <c r="J151" s="15">
        <f t="shared" si="35"/>
        <v>1056999.7241379304</v>
      </c>
      <c r="K151" s="15">
        <f t="shared" si="30"/>
        <v>25451.516482758627</v>
      </c>
      <c r="L151" s="15">
        <f t="shared" si="32"/>
        <v>942648.75862068986</v>
      </c>
    </row>
    <row r="152" spans="1:14" x14ac:dyDescent="0.15">
      <c r="A152">
        <f t="shared" si="25"/>
        <v>3</v>
      </c>
      <c r="B152">
        <f t="shared" si="26"/>
        <v>1986</v>
      </c>
      <c r="C152" s="81">
        <f t="shared" si="27"/>
        <v>22.45585955040503</v>
      </c>
      <c r="D152" s="7">
        <f t="shared" si="24"/>
        <v>22.270540295626809</v>
      </c>
      <c r="E152" s="7">
        <f t="shared" si="28"/>
        <v>5.1806035862068942</v>
      </c>
      <c r="F152" s="15">
        <f t="shared" si="33"/>
        <v>5180603.5862068944</v>
      </c>
      <c r="G152" s="15">
        <f t="shared" si="34"/>
        <v>1265789.7931034476</v>
      </c>
      <c r="H152" s="15">
        <f t="shared" si="31"/>
        <v>189216</v>
      </c>
      <c r="I152" s="16">
        <f t="shared" si="29"/>
        <v>2023.9587310344816</v>
      </c>
      <c r="J152" s="15">
        <f t="shared" si="35"/>
        <v>1076573.7931034476</v>
      </c>
      <c r="K152" s="15">
        <f t="shared" si="30"/>
        <v>26165.863862068971</v>
      </c>
      <c r="L152" s="15">
        <f t="shared" si="32"/>
        <v>969106.06896551745</v>
      </c>
    </row>
    <row r="153" spans="1:14" x14ac:dyDescent="0.15">
      <c r="A153">
        <f t="shared" si="25"/>
        <v>2</v>
      </c>
      <c r="B153">
        <f t="shared" si="26"/>
        <v>1985</v>
      </c>
      <c r="C153" s="81">
        <f>(D153*G153+D154*F154)/F153</f>
        <v>22.675556834474897</v>
      </c>
      <c r="D153" s="7">
        <f t="shared" si="24"/>
        <v>22.51577944278332</v>
      </c>
      <c r="E153" s="7">
        <f t="shared" si="28"/>
        <v>3.914813793103447</v>
      </c>
      <c r="F153" s="15">
        <f t="shared" si="33"/>
        <v>3914813.7931034472</v>
      </c>
      <c r="G153" s="15">
        <f t="shared" si="34"/>
        <v>1285363.8620689649</v>
      </c>
      <c r="H153" s="15">
        <f t="shared" si="31"/>
        <v>189216</v>
      </c>
      <c r="I153" s="16">
        <f t="shared" si="29"/>
        <v>2060.7579806896542</v>
      </c>
      <c r="J153" s="15">
        <f t="shared" si="35"/>
        <v>1096147.8620689649</v>
      </c>
      <c r="K153" s="15">
        <f t="shared" si="30"/>
        <v>26880.211241379318</v>
      </c>
      <c r="L153" s="15">
        <f t="shared" si="32"/>
        <v>995563.37931034504</v>
      </c>
      <c r="M153" s="15">
        <v>3871920</v>
      </c>
      <c r="N153" t="s">
        <v>966</v>
      </c>
    </row>
    <row r="154" spans="1:14" x14ac:dyDescent="0.15">
      <c r="A154">
        <f t="shared" si="25"/>
        <v>1</v>
      </c>
      <c r="B154">
        <f t="shared" si="26"/>
        <v>1984</v>
      </c>
      <c r="C154" s="81">
        <f>(D154*G154+D155*G155)/F154</f>
        <v>22.869946151580049</v>
      </c>
      <c r="D154" s="7">
        <f>(K154+I154)*1000/G154</f>
        <v>22.753661415525126</v>
      </c>
      <c r="E154" s="7">
        <f t="shared" si="28"/>
        <v>2.6294499310344821</v>
      </c>
      <c r="F154" s="15">
        <f t="shared" si="33"/>
        <v>2629449.9310344821</v>
      </c>
      <c r="G154" s="15">
        <f t="shared" si="34"/>
        <v>1304937.9310344821</v>
      </c>
      <c r="H154" s="15">
        <f t="shared" si="31"/>
        <v>189216</v>
      </c>
      <c r="I154" s="16">
        <f t="shared" si="29"/>
        <v>2097.5572303448262</v>
      </c>
      <c r="J154" s="15">
        <f t="shared" si="35"/>
        <v>1115721.9310344821</v>
      </c>
      <c r="K154" s="15">
        <f t="shared" si="30"/>
        <v>27594.558620689659</v>
      </c>
      <c r="L154" s="15">
        <f t="shared" si="32"/>
        <v>1022020.6896551726</v>
      </c>
      <c r="M154" s="15">
        <v>388592</v>
      </c>
      <c r="N154" t="s">
        <v>965</v>
      </c>
    </row>
    <row r="155" spans="1:14" x14ac:dyDescent="0.15">
      <c r="A155">
        <f t="shared" si="25"/>
        <v>0</v>
      </c>
      <c r="B155">
        <f t="shared" si="26"/>
        <v>1983</v>
      </c>
      <c r="C155" s="81">
        <f>D155</f>
        <v>22.984512393998692</v>
      </c>
      <c r="D155" s="7">
        <f>(K155+I155)*1000/F155</f>
        <v>22.984512393998692</v>
      </c>
      <c r="E155" s="7">
        <f t="shared" si="28"/>
        <v>1.3245119999999999</v>
      </c>
      <c r="F155" s="15">
        <f>H155+J155</f>
        <v>1324512</v>
      </c>
      <c r="G155" s="15">
        <f t="shared" si="34"/>
        <v>1324512</v>
      </c>
      <c r="H155" s="15">
        <f>H154</f>
        <v>189216</v>
      </c>
      <c r="I155" s="16">
        <f t="shared" si="29"/>
        <v>2134.3564799999999</v>
      </c>
      <c r="J155" s="15">
        <f>M156</f>
        <v>1135296</v>
      </c>
      <c r="K155" s="15">
        <f t="shared" si="30"/>
        <v>28308.905999999999</v>
      </c>
      <c r="L155" s="15">
        <v>1048478</v>
      </c>
      <c r="M155" s="15">
        <f>6*60*60*24*365/1000</f>
        <v>189216</v>
      </c>
      <c r="N155" t="s">
        <v>1105</v>
      </c>
    </row>
    <row r="156" spans="1:14" x14ac:dyDescent="0.15">
      <c r="M156" s="15">
        <f>36*60*60*24*365/1000</f>
        <v>1135296</v>
      </c>
      <c r="N156" t="s">
        <v>1106</v>
      </c>
    </row>
    <row r="157" spans="1:14" x14ac:dyDescent="0.15">
      <c r="B157">
        <v>2020</v>
      </c>
      <c r="G157" s="15"/>
      <c r="J157" s="15">
        <v>2932848</v>
      </c>
      <c r="L157" s="15">
        <v>1129047</v>
      </c>
      <c r="M157" s="15">
        <f>18*60*60*24*365/1000</f>
        <v>567648</v>
      </c>
      <c r="N157" t="s">
        <v>964</v>
      </c>
    </row>
    <row r="158" spans="1:14" x14ac:dyDescent="0.15">
      <c r="L158" s="15">
        <v>1048478</v>
      </c>
    </row>
    <row r="159" spans="1:14" x14ac:dyDescent="0.15">
      <c r="B159" s="15">
        <v>2932848</v>
      </c>
    </row>
  </sheetData>
  <phoneticPr fontId="8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78"/>
  <sheetViews>
    <sheetView topLeftCell="K343" workbookViewId="0">
      <selection activeCell="J54" sqref="J54"/>
    </sheetView>
  </sheetViews>
  <sheetFormatPr baseColWidth="10" defaultRowHeight="13" x14ac:dyDescent="0.15"/>
  <cols>
    <col min="7" max="7" width="11.5" customWidth="1"/>
    <col min="10" max="10" width="12.1640625" customWidth="1"/>
    <col min="13" max="13" width="12.5" customWidth="1"/>
    <col min="15" max="15" width="16.83203125" customWidth="1"/>
  </cols>
  <sheetData>
    <row r="1" spans="1:17" ht="16" x14ac:dyDescent="0.2">
      <c r="A1" s="8" t="s">
        <v>1145</v>
      </c>
    </row>
    <row r="2" spans="1:17" ht="70" x14ac:dyDescent="0.15">
      <c r="A2" s="12"/>
      <c r="B2" s="12"/>
      <c r="C2" s="12" t="s">
        <v>754</v>
      </c>
      <c r="D2" s="13" t="s">
        <v>985</v>
      </c>
      <c r="E2" s="13" t="s">
        <v>751</v>
      </c>
      <c r="F2" s="13" t="s">
        <v>751</v>
      </c>
      <c r="G2" s="13" t="s">
        <v>1147</v>
      </c>
      <c r="H2" s="13" t="s">
        <v>883</v>
      </c>
      <c r="I2" s="12" t="s">
        <v>1102</v>
      </c>
      <c r="J2" s="13" t="s">
        <v>1103</v>
      </c>
      <c r="K2" s="13" t="s">
        <v>745</v>
      </c>
      <c r="L2" s="13" t="s">
        <v>898</v>
      </c>
      <c r="M2" s="12" t="s">
        <v>750</v>
      </c>
      <c r="N2" s="13" t="s">
        <v>1101</v>
      </c>
      <c r="O2" s="12"/>
      <c r="P2" s="12"/>
      <c r="Q2" s="12"/>
    </row>
    <row r="3" spans="1:17" x14ac:dyDescent="0.15">
      <c r="A3" s="1" t="s">
        <v>746</v>
      </c>
      <c r="B3" s="1" t="s">
        <v>747</v>
      </c>
      <c r="C3" s="1"/>
      <c r="D3" s="14" t="s">
        <v>748</v>
      </c>
      <c r="E3" s="14" t="s">
        <v>1104</v>
      </c>
      <c r="F3" s="14" t="s">
        <v>718</v>
      </c>
      <c r="G3" s="14" t="s">
        <v>749</v>
      </c>
      <c r="H3" s="14" t="s">
        <v>749</v>
      </c>
      <c r="I3" s="14" t="s">
        <v>884</v>
      </c>
      <c r="J3" s="14" t="s">
        <v>749</v>
      </c>
      <c r="K3" s="14" t="s">
        <v>884</v>
      </c>
      <c r="L3" s="14" t="s">
        <v>1144</v>
      </c>
      <c r="M3" s="1" t="s">
        <v>885</v>
      </c>
      <c r="N3" s="14" t="s">
        <v>748</v>
      </c>
      <c r="O3" s="1"/>
      <c r="P3" s="1"/>
      <c r="Q3" s="1"/>
    </row>
    <row r="4" spans="1:17" x14ac:dyDescent="0.15">
      <c r="A4">
        <v>0</v>
      </c>
      <c r="B4">
        <v>2014</v>
      </c>
      <c r="C4" s="20">
        <f>(D4*G4+D5*F5)/F4</f>
        <v>21.57845148529892</v>
      </c>
      <c r="D4" s="17">
        <f>(K4*1000/G4*12/7*1000)+(I4/G4*7/12*1000)</f>
        <v>24.426881511508714</v>
      </c>
      <c r="E4" s="18">
        <f t="shared" ref="E4:E19" si="0">F4/1000000</f>
        <v>43.842048000000005</v>
      </c>
      <c r="F4" s="19">
        <f t="shared" ref="F4:F18" si="1">F5+H4+J4</f>
        <v>43842048.000000007</v>
      </c>
      <c r="G4" s="15">
        <f>H4+J4</f>
        <v>1324512</v>
      </c>
      <c r="H4" s="15">
        <f>6*60*60*24*365/1000</f>
        <v>189216</v>
      </c>
      <c r="I4" s="16">
        <f>J4*1000*$N$4/1000000000</f>
        <v>1.1352960000000001</v>
      </c>
      <c r="J4" s="15">
        <f>36*60*60*24*365/1000</f>
        <v>1135296</v>
      </c>
      <c r="K4" s="16">
        <f>L4*$M$4/1000000</f>
        <v>18.872603999999999</v>
      </c>
      <c r="L4" s="15">
        <v>1048478</v>
      </c>
      <c r="M4">
        <v>18</v>
      </c>
      <c r="N4" s="15">
        <v>1</v>
      </c>
    </row>
    <row r="5" spans="1:17" x14ac:dyDescent="0.15">
      <c r="A5">
        <f>A4+1</f>
        <v>1</v>
      </c>
      <c r="B5">
        <f>B4+1</f>
        <v>2015</v>
      </c>
      <c r="C5" s="20">
        <f t="shared" ref="C5:C18" si="2">(D5*G5+D6*F6)/F5</f>
        <v>19.285353145381173</v>
      </c>
      <c r="D5" s="17">
        <f t="shared" ref="D5:D19" si="3">(K5*1000/G5*12/7*1000)+(I5/G5*7/12*1000)</f>
        <v>21.489716810013995</v>
      </c>
      <c r="E5" s="18">
        <f t="shared" si="0"/>
        <v>42.517536000000007</v>
      </c>
      <c r="F5" s="19">
        <f t="shared" si="1"/>
        <v>42517536.000000007</v>
      </c>
      <c r="G5" s="15">
        <f>H5+J5</f>
        <v>1513260.8</v>
      </c>
      <c r="H5" s="15">
        <f>H4+(H$19-H$4)/15</f>
        <v>195523.20000000001</v>
      </c>
      <c r="I5" s="16">
        <f>J5*1000*$N$4/1000000000</f>
        <v>1.3177376000000001</v>
      </c>
      <c r="J5" s="15">
        <f>J4+(J$19-J$4)/15</f>
        <v>1317737.6000000001</v>
      </c>
      <c r="K5" s="16">
        <f>L5*$M$4/1000000</f>
        <v>18.969286799999995</v>
      </c>
      <c r="L5" s="15">
        <f>L4+(L$19-L$4)/15</f>
        <v>1053849.2666666666</v>
      </c>
    </row>
    <row r="6" spans="1:17" x14ac:dyDescent="0.15">
      <c r="A6">
        <f t="shared" ref="A6:A19" si="4">A5+1</f>
        <v>2</v>
      </c>
      <c r="B6">
        <f t="shared" ref="B6:B19" si="5">B5+1</f>
        <v>2016</v>
      </c>
      <c r="C6" s="20">
        <f t="shared" si="2"/>
        <v>17.450571413592151</v>
      </c>
      <c r="D6" s="17">
        <f t="shared" si="3"/>
        <v>19.204001210580159</v>
      </c>
      <c r="E6" s="18">
        <f t="shared" si="0"/>
        <v>41.004275200000002</v>
      </c>
      <c r="F6" s="19">
        <f>F7+H6+J6</f>
        <v>41004275.200000003</v>
      </c>
      <c r="G6" s="15">
        <f>H6+J6</f>
        <v>1702009.6</v>
      </c>
      <c r="H6" s="15">
        <f t="shared" ref="H6:H18" si="6">H5+(H$19-H$4)/15</f>
        <v>201830.40000000002</v>
      </c>
      <c r="I6" s="16">
        <f>J6*1000*$N$4/1000000000</f>
        <v>1.5001792000000003</v>
      </c>
      <c r="J6" s="15">
        <f t="shared" ref="J6:J18" si="7">J5+(J$19-J$4)/15</f>
        <v>1500179.2000000002</v>
      </c>
      <c r="K6" s="16">
        <f t="shared" ref="K6:K19" si="8">L6*$M$4/1000000</f>
        <v>19.065969599999999</v>
      </c>
      <c r="L6" s="15">
        <f t="shared" ref="L6:L18" si="9">L5+(L$19-L$4)/15</f>
        <v>1059220.5333333332</v>
      </c>
    </row>
    <row r="7" spans="1:17" x14ac:dyDescent="0.15">
      <c r="A7">
        <f t="shared" si="4"/>
        <v>3</v>
      </c>
      <c r="B7">
        <f t="shared" si="5"/>
        <v>2017</v>
      </c>
      <c r="C7" s="20">
        <f t="shared" si="2"/>
        <v>15.949394316059616</v>
      </c>
      <c r="D7" s="17">
        <f t="shared" si="3"/>
        <v>17.374638021411329</v>
      </c>
      <c r="E7" s="18">
        <f t="shared" si="0"/>
        <v>39.302265599999998</v>
      </c>
      <c r="F7" s="19">
        <f t="shared" si="1"/>
        <v>39302265.600000001</v>
      </c>
      <c r="G7" s="15">
        <f t="shared" ref="G7:G19" si="10">H7+J7</f>
        <v>1890758.4000000004</v>
      </c>
      <c r="H7" s="15">
        <f t="shared" si="6"/>
        <v>208137.60000000003</v>
      </c>
      <c r="I7" s="16">
        <f t="shared" ref="I7:I19" si="11">J7*1000*$N$4/1000000000</f>
        <v>1.6826208000000002</v>
      </c>
      <c r="J7" s="15">
        <f>J6+(J$19-J$4)/15</f>
        <v>1682620.8000000003</v>
      </c>
      <c r="K7" s="16">
        <f t="shared" si="8"/>
        <v>19.162652399999999</v>
      </c>
      <c r="L7" s="15">
        <f t="shared" si="9"/>
        <v>1064591.7999999998</v>
      </c>
    </row>
    <row r="8" spans="1:17" x14ac:dyDescent="0.15">
      <c r="A8">
        <f t="shared" si="4"/>
        <v>4</v>
      </c>
      <c r="B8">
        <f t="shared" si="5"/>
        <v>2018</v>
      </c>
      <c r="C8" s="20">
        <f t="shared" si="2"/>
        <v>14.698649072471881</v>
      </c>
      <c r="D8" s="17">
        <f t="shared" si="3"/>
        <v>15.877363229647225</v>
      </c>
      <c r="E8" s="18">
        <f t="shared" si="0"/>
        <v>37.411507200000003</v>
      </c>
      <c r="F8" s="19">
        <f t="shared" si="1"/>
        <v>37411507.200000003</v>
      </c>
      <c r="G8" s="15">
        <f t="shared" si="10"/>
        <v>2079507.2000000004</v>
      </c>
      <c r="H8" s="15">
        <f t="shared" si="6"/>
        <v>214444.80000000005</v>
      </c>
      <c r="I8" s="16">
        <f t="shared" si="11"/>
        <v>1.8650624000000005</v>
      </c>
      <c r="J8" s="15">
        <f t="shared" si="7"/>
        <v>1865062.4000000004</v>
      </c>
      <c r="K8" s="16">
        <f t="shared" si="8"/>
        <v>19.259335199999995</v>
      </c>
      <c r="L8" s="15">
        <f t="shared" si="9"/>
        <v>1069963.0666666664</v>
      </c>
    </row>
    <row r="9" spans="1:17" x14ac:dyDescent="0.15">
      <c r="A9">
        <f t="shared" si="4"/>
        <v>5</v>
      </c>
      <c r="B9">
        <f t="shared" si="5"/>
        <v>2019</v>
      </c>
      <c r="C9" s="20">
        <f t="shared" si="2"/>
        <v>13.640758412639792</v>
      </c>
      <c r="D9" s="17">
        <f t="shared" si="3"/>
        <v>14.629274438242621</v>
      </c>
      <c r="E9" s="18">
        <f t="shared" si="0"/>
        <v>35.332000000000008</v>
      </c>
      <c r="F9" s="19">
        <f t="shared" si="1"/>
        <v>35332000.000000007</v>
      </c>
      <c r="G9" s="15">
        <f t="shared" si="10"/>
        <v>2268256.0000000005</v>
      </c>
      <c r="H9" s="15">
        <f t="shared" si="6"/>
        <v>220752.00000000006</v>
      </c>
      <c r="I9" s="16">
        <f t="shared" si="11"/>
        <v>2.0475040000000004</v>
      </c>
      <c r="J9" s="15">
        <f t="shared" si="7"/>
        <v>2047504.0000000005</v>
      </c>
      <c r="K9" s="16">
        <f t="shared" si="8"/>
        <v>19.356017999999992</v>
      </c>
      <c r="L9" s="15">
        <f t="shared" si="9"/>
        <v>1075334.333333333</v>
      </c>
    </row>
    <row r="10" spans="1:17" x14ac:dyDescent="0.15">
      <c r="A10">
        <f t="shared" si="4"/>
        <v>6</v>
      </c>
      <c r="B10">
        <f t="shared" si="5"/>
        <v>2020</v>
      </c>
      <c r="C10" s="20">
        <f t="shared" si="2"/>
        <v>12.734628002722912</v>
      </c>
      <c r="D10" s="17">
        <f t="shared" si="3"/>
        <v>13.572943726977764</v>
      </c>
      <c r="E10" s="18">
        <f t="shared" si="0"/>
        <v>33.063744000000007</v>
      </c>
      <c r="F10" s="19">
        <f t="shared" si="1"/>
        <v>33063744.000000007</v>
      </c>
      <c r="G10" s="15">
        <f t="shared" si="10"/>
        <v>2457004.8000000007</v>
      </c>
      <c r="H10" s="15">
        <f t="shared" si="6"/>
        <v>227059.20000000007</v>
      </c>
      <c r="I10" s="16">
        <f t="shared" si="11"/>
        <v>2.2299456000000006</v>
      </c>
      <c r="J10" s="15">
        <f t="shared" si="7"/>
        <v>2229945.6000000006</v>
      </c>
      <c r="K10" s="16">
        <f t="shared" si="8"/>
        <v>19.452700799999992</v>
      </c>
      <c r="L10" s="15">
        <f t="shared" si="9"/>
        <v>1080705.5999999996</v>
      </c>
    </row>
    <row r="11" spans="1:17" x14ac:dyDescent="0.15">
      <c r="A11">
        <f t="shared" si="4"/>
        <v>7</v>
      </c>
      <c r="B11">
        <f t="shared" si="5"/>
        <v>2021</v>
      </c>
      <c r="C11" s="20">
        <f t="shared" si="2"/>
        <v>11.950185552290307</v>
      </c>
      <c r="D11" s="17">
        <f t="shared" si="3"/>
        <v>12.667330871037299</v>
      </c>
      <c r="E11" s="18">
        <f t="shared" si="0"/>
        <v>30.606739200000007</v>
      </c>
      <c r="F11" s="19">
        <f t="shared" si="1"/>
        <v>30606739.200000007</v>
      </c>
      <c r="G11" s="15">
        <f t="shared" si="10"/>
        <v>2645753.6000000006</v>
      </c>
      <c r="H11" s="15">
        <f t="shared" si="6"/>
        <v>233366.40000000008</v>
      </c>
      <c r="I11" s="16">
        <f t="shared" si="11"/>
        <v>2.4123872000000004</v>
      </c>
      <c r="J11" s="15">
        <f t="shared" si="7"/>
        <v>2412387.2000000007</v>
      </c>
      <c r="K11" s="16">
        <f t="shared" si="8"/>
        <v>19.549383599999995</v>
      </c>
      <c r="L11" s="15">
        <f t="shared" si="9"/>
        <v>1086076.8666666662</v>
      </c>
    </row>
    <row r="12" spans="1:17" x14ac:dyDescent="0.15">
      <c r="A12">
        <f t="shared" si="4"/>
        <v>8</v>
      </c>
      <c r="B12">
        <f t="shared" si="5"/>
        <v>2022</v>
      </c>
      <c r="C12" s="20">
        <f t="shared" si="2"/>
        <v>11.264984618474257</v>
      </c>
      <c r="D12" s="17">
        <f t="shared" si="3"/>
        <v>11.882327078488936</v>
      </c>
      <c r="E12" s="18">
        <f t="shared" si="0"/>
        <v>27.960985600000008</v>
      </c>
      <c r="F12" s="19">
        <f t="shared" si="1"/>
        <v>27960985.600000009</v>
      </c>
      <c r="G12" s="15">
        <f t="shared" si="10"/>
        <v>2834502.4000000008</v>
      </c>
      <c r="H12" s="15">
        <f t="shared" si="6"/>
        <v>239673.60000000009</v>
      </c>
      <c r="I12" s="16">
        <f t="shared" si="11"/>
        <v>2.594828800000001</v>
      </c>
      <c r="J12" s="15">
        <f t="shared" si="7"/>
        <v>2594828.8000000007</v>
      </c>
      <c r="K12" s="16">
        <f t="shared" si="8"/>
        <v>19.646066399999992</v>
      </c>
      <c r="L12" s="15">
        <f t="shared" si="9"/>
        <v>1091448.1333333328</v>
      </c>
    </row>
    <row r="13" spans="1:17" x14ac:dyDescent="0.15">
      <c r="A13">
        <f t="shared" si="4"/>
        <v>9</v>
      </c>
      <c r="B13">
        <f t="shared" si="5"/>
        <v>2023</v>
      </c>
      <c r="C13" s="20">
        <f t="shared" si="2"/>
        <v>10.662041752840494</v>
      </c>
      <c r="D13" s="17">
        <f t="shared" si="3"/>
        <v>11.195342612841991</v>
      </c>
      <c r="E13" s="18">
        <f t="shared" si="0"/>
        <v>25.126483200000006</v>
      </c>
      <c r="F13" s="19">
        <f t="shared" si="1"/>
        <v>25126483.200000007</v>
      </c>
      <c r="G13" s="15">
        <f t="shared" si="10"/>
        <v>3023251.2000000011</v>
      </c>
      <c r="H13" s="15">
        <f t="shared" si="6"/>
        <v>245980.8000000001</v>
      </c>
      <c r="I13" s="16">
        <f t="shared" si="11"/>
        <v>2.7772704000000008</v>
      </c>
      <c r="J13" s="15">
        <f t="shared" si="7"/>
        <v>2777270.4000000008</v>
      </c>
      <c r="K13" s="16">
        <f t="shared" si="8"/>
        <v>19.742749199999988</v>
      </c>
      <c r="L13" s="15">
        <f t="shared" si="9"/>
        <v>1096819.3999999994</v>
      </c>
    </row>
    <row r="14" spans="1:17" x14ac:dyDescent="0.15">
      <c r="A14">
        <f t="shared" si="4"/>
        <v>10</v>
      </c>
      <c r="B14">
        <f t="shared" si="5"/>
        <v>2024</v>
      </c>
      <c r="C14" s="20">
        <f t="shared" si="2"/>
        <v>10.128467377903933</v>
      </c>
      <c r="D14" s="17">
        <f t="shared" si="3"/>
        <v>10.589097557848534</v>
      </c>
      <c r="E14" s="18">
        <f t="shared" si="0"/>
        <v>22.103232000000002</v>
      </c>
      <c r="F14" s="19">
        <f t="shared" si="1"/>
        <v>22103232.000000004</v>
      </c>
      <c r="G14" s="15">
        <f t="shared" si="10"/>
        <v>3212000.0000000009</v>
      </c>
      <c r="H14" s="15">
        <f t="shared" si="6"/>
        <v>252288.00000000012</v>
      </c>
      <c r="I14" s="16">
        <f t="shared" si="11"/>
        <v>2.959712000000001</v>
      </c>
      <c r="J14" s="15">
        <f t="shared" si="7"/>
        <v>2959712.0000000009</v>
      </c>
      <c r="K14" s="16">
        <f t="shared" si="8"/>
        <v>19.839431999999988</v>
      </c>
      <c r="L14" s="15">
        <f t="shared" si="9"/>
        <v>1102190.666666666</v>
      </c>
    </row>
    <row r="15" spans="1:17" x14ac:dyDescent="0.15">
      <c r="A15">
        <f t="shared" si="4"/>
        <v>11</v>
      </c>
      <c r="B15">
        <f t="shared" si="5"/>
        <v>2025</v>
      </c>
      <c r="C15" s="20">
        <f t="shared" si="2"/>
        <v>9.6546956793024474</v>
      </c>
      <c r="D15" s="17">
        <f t="shared" si="3"/>
        <v>10.050148285852018</v>
      </c>
      <c r="E15" s="18">
        <f t="shared" si="0"/>
        <v>18.891232000000002</v>
      </c>
      <c r="F15" s="19">
        <f t="shared" si="1"/>
        <v>18891232.000000004</v>
      </c>
      <c r="G15" s="15">
        <f t="shared" si="10"/>
        <v>3400748.8000000012</v>
      </c>
      <c r="H15" s="15">
        <f t="shared" si="6"/>
        <v>258595.20000000013</v>
      </c>
      <c r="I15" s="16">
        <f t="shared" si="11"/>
        <v>3.1421536000000008</v>
      </c>
      <c r="J15" s="15">
        <f t="shared" si="7"/>
        <v>3142153.600000001</v>
      </c>
      <c r="K15" s="16">
        <f t="shared" si="8"/>
        <v>19.936114799999988</v>
      </c>
      <c r="L15" s="15">
        <f t="shared" si="9"/>
        <v>1107561.9333333327</v>
      </c>
    </row>
    <row r="16" spans="1:17" x14ac:dyDescent="0.15">
      <c r="A16">
        <f t="shared" si="4"/>
        <v>12</v>
      </c>
      <c r="B16">
        <f t="shared" si="5"/>
        <v>2026</v>
      </c>
      <c r="C16" s="20">
        <f t="shared" si="2"/>
        <v>9.2343817755092452</v>
      </c>
      <c r="D16" s="17">
        <f t="shared" si="3"/>
        <v>9.5678788279610814</v>
      </c>
      <c r="E16" s="18">
        <f t="shared" si="0"/>
        <v>15.490483200000003</v>
      </c>
      <c r="F16" s="19">
        <f t="shared" si="1"/>
        <v>15490483.200000003</v>
      </c>
      <c r="G16" s="15">
        <f t="shared" si="10"/>
        <v>3589497.6000000015</v>
      </c>
      <c r="H16" s="15">
        <f t="shared" si="6"/>
        <v>264902.40000000014</v>
      </c>
      <c r="I16" s="16">
        <f t="shared" si="11"/>
        <v>3.324595200000001</v>
      </c>
      <c r="J16" s="15">
        <f t="shared" si="7"/>
        <v>3324595.2000000011</v>
      </c>
      <c r="K16" s="16">
        <f t="shared" si="8"/>
        <v>20.032797599999988</v>
      </c>
      <c r="L16" s="15">
        <f t="shared" si="9"/>
        <v>1112933.1999999993</v>
      </c>
    </row>
    <row r="17" spans="1:16" x14ac:dyDescent="0.15">
      <c r="A17">
        <f t="shared" si="4"/>
        <v>13</v>
      </c>
      <c r="B17">
        <f t="shared" si="5"/>
        <v>2027</v>
      </c>
      <c r="C17" s="20">
        <f t="shared" si="2"/>
        <v>8.865713835227286</v>
      </c>
      <c r="D17" s="17">
        <f t="shared" si="3"/>
        <v>9.133794571254251</v>
      </c>
      <c r="E17" s="18">
        <f t="shared" si="0"/>
        <v>11.900985600000002</v>
      </c>
      <c r="F17" s="19">
        <f t="shared" si="1"/>
        <v>11900985.600000001</v>
      </c>
      <c r="G17" s="15">
        <f t="shared" si="10"/>
        <v>3778246.4000000013</v>
      </c>
      <c r="H17" s="15">
        <f>H16+(H$19-H$4)/15</f>
        <v>271209.60000000015</v>
      </c>
      <c r="I17" s="16">
        <f t="shared" si="11"/>
        <v>3.5070368000000016</v>
      </c>
      <c r="J17" s="15">
        <f t="shared" si="7"/>
        <v>3507036.8000000012</v>
      </c>
      <c r="K17" s="16">
        <f t="shared" si="8"/>
        <v>20.129480399999984</v>
      </c>
      <c r="L17" s="15">
        <f t="shared" si="9"/>
        <v>1118304.4666666659</v>
      </c>
      <c r="M17" s="15">
        <v>388592</v>
      </c>
      <c r="N17" t="s">
        <v>965</v>
      </c>
    </row>
    <row r="18" spans="1:16" x14ac:dyDescent="0.15">
      <c r="A18">
        <f t="shared" si="4"/>
        <v>14</v>
      </c>
      <c r="B18">
        <f t="shared" si="5"/>
        <v>2028</v>
      </c>
      <c r="C18" s="20">
        <f t="shared" si="2"/>
        <v>8.558319589496767</v>
      </c>
      <c r="D18" s="17">
        <f t="shared" si="3"/>
        <v>8.7410175904182399</v>
      </c>
      <c r="E18" s="18">
        <f t="shared" si="0"/>
        <v>8.1227392000000016</v>
      </c>
      <c r="F18" s="19">
        <f t="shared" si="1"/>
        <v>8122739.2000000011</v>
      </c>
      <c r="G18" s="15">
        <f t="shared" si="10"/>
        <v>3966995.2000000016</v>
      </c>
      <c r="H18" s="15">
        <f t="shared" si="6"/>
        <v>277516.80000000016</v>
      </c>
      <c r="I18" s="16">
        <f t="shared" si="11"/>
        <v>3.6894784000000014</v>
      </c>
      <c r="J18" s="15">
        <f t="shared" si="7"/>
        <v>3689478.4000000013</v>
      </c>
      <c r="K18" s="16">
        <f t="shared" si="8"/>
        <v>20.226163199999984</v>
      </c>
      <c r="L18" s="15">
        <f t="shared" si="9"/>
        <v>1123675.7333333325</v>
      </c>
      <c r="M18" s="15">
        <v>3871920</v>
      </c>
      <c r="N18" t="s">
        <v>911</v>
      </c>
    </row>
    <row r="19" spans="1:16" x14ac:dyDescent="0.15">
      <c r="A19">
        <f t="shared" si="4"/>
        <v>15</v>
      </c>
      <c r="B19">
        <f t="shared" si="5"/>
        <v>2029</v>
      </c>
      <c r="C19" s="20">
        <f>(D19*G19+D20*F20)/F19</f>
        <v>8.3839195078976392</v>
      </c>
      <c r="D19" s="17">
        <f t="shared" si="3"/>
        <v>8.3839195078976392</v>
      </c>
      <c r="E19" s="18">
        <f t="shared" si="0"/>
        <v>4.1557440000000003</v>
      </c>
      <c r="F19" s="19">
        <f>F20+H19+J19</f>
        <v>4155744</v>
      </c>
      <c r="G19" s="15">
        <f t="shared" si="10"/>
        <v>4155744</v>
      </c>
      <c r="H19" s="15">
        <v>283824</v>
      </c>
      <c r="I19" s="16">
        <f t="shared" si="11"/>
        <v>3.8719199999999998</v>
      </c>
      <c r="J19" s="15">
        <f>M18</f>
        <v>3871920</v>
      </c>
      <c r="K19" s="16">
        <f t="shared" si="8"/>
        <v>20.322845999999998</v>
      </c>
      <c r="L19" s="15">
        <v>1129047</v>
      </c>
      <c r="M19" s="16">
        <v>118000000</v>
      </c>
      <c r="N19" t="s">
        <v>755</v>
      </c>
    </row>
    <row r="20" spans="1:16" ht="16" customHeight="1" x14ac:dyDescent="0.15">
      <c r="C20" s="17" t="s">
        <v>1148</v>
      </c>
      <c r="D20" s="7"/>
      <c r="E20" s="7"/>
      <c r="F20" s="15"/>
      <c r="G20" s="15"/>
      <c r="H20" s="15"/>
      <c r="I20" s="16"/>
      <c r="J20" s="15"/>
      <c r="K20" s="15"/>
      <c r="L20" s="15"/>
      <c r="M20" s="15">
        <v>2932848</v>
      </c>
      <c r="N20" t="s">
        <v>966</v>
      </c>
    </row>
    <row r="21" spans="1:16" x14ac:dyDescent="0.15">
      <c r="C21" s="17"/>
      <c r="D21" s="7"/>
      <c r="E21" s="7"/>
      <c r="F21" s="15"/>
      <c r="G21" s="15"/>
      <c r="H21" s="15"/>
      <c r="I21" s="16"/>
      <c r="J21" s="15"/>
      <c r="K21" s="15"/>
      <c r="L21" s="15"/>
      <c r="M21" s="15">
        <v>283824</v>
      </c>
      <c r="N21" t="s">
        <v>965</v>
      </c>
    </row>
    <row r="22" spans="1:16" x14ac:dyDescent="0.15">
      <c r="C22" s="17"/>
      <c r="D22" s="7"/>
      <c r="E22" s="7"/>
      <c r="F22" s="15"/>
      <c r="G22" s="64"/>
      <c r="H22" s="15"/>
      <c r="I22" s="16"/>
      <c r="J22" s="15"/>
      <c r="K22" s="15"/>
      <c r="L22" s="15"/>
      <c r="M22" s="15">
        <f>6*60*60*24*365/1000</f>
        <v>189216</v>
      </c>
      <c r="N22" t="s">
        <v>1105</v>
      </c>
    </row>
    <row r="23" spans="1:16" x14ac:dyDescent="0.15">
      <c r="C23" s="17"/>
      <c r="D23" s="7"/>
      <c r="E23" s="7"/>
      <c r="F23" s="15"/>
      <c r="G23" s="15"/>
      <c r="H23" s="15"/>
      <c r="I23" s="16"/>
      <c r="M23" s="15">
        <f>36*60*60*24*365/1000</f>
        <v>1135296</v>
      </c>
      <c r="N23" t="s">
        <v>1106</v>
      </c>
    </row>
    <row r="24" spans="1:16" x14ac:dyDescent="0.15">
      <c r="C24" s="17"/>
      <c r="D24" s="7"/>
      <c r="E24" s="7"/>
      <c r="F24" s="15"/>
      <c r="G24" s="15"/>
      <c r="H24" s="15"/>
      <c r="I24" s="16"/>
      <c r="K24" s="15"/>
      <c r="M24" s="15">
        <f>18*60*60*24*365/1000</f>
        <v>567648</v>
      </c>
      <c r="N24" t="s">
        <v>964</v>
      </c>
    </row>
    <row r="25" spans="1:16" x14ac:dyDescent="0.15">
      <c r="B25" s="15"/>
      <c r="C25" s="17"/>
      <c r="D25" s="7"/>
      <c r="E25" s="7"/>
      <c r="F25" s="15"/>
      <c r="G25" s="15"/>
      <c r="H25" s="15"/>
      <c r="I25" s="16"/>
      <c r="J25" s="15"/>
      <c r="K25" s="15"/>
      <c r="L25" s="15"/>
      <c r="M25" s="15">
        <v>1129047</v>
      </c>
      <c r="N25" t="s">
        <v>1150</v>
      </c>
    </row>
    <row r="26" spans="1:16" x14ac:dyDescent="0.15">
      <c r="C26" s="17"/>
      <c r="D26" s="7"/>
      <c r="E26" s="7"/>
      <c r="F26" s="15"/>
      <c r="G26" s="15"/>
      <c r="H26" s="15"/>
      <c r="I26" s="16"/>
      <c r="J26" s="15"/>
      <c r="K26" s="15"/>
      <c r="L26" s="15"/>
      <c r="M26" s="15">
        <v>1048478</v>
      </c>
      <c r="N26" t="s">
        <v>1149</v>
      </c>
    </row>
    <row r="27" spans="1:16" x14ac:dyDescent="0.15">
      <c r="C27" s="17"/>
      <c r="D27" s="7"/>
      <c r="E27" s="7"/>
      <c r="F27" s="15"/>
      <c r="G27" s="15"/>
      <c r="H27" s="15"/>
      <c r="I27" s="16"/>
      <c r="J27" s="15"/>
      <c r="K27" s="15"/>
      <c r="L27" s="15"/>
    </row>
    <row r="28" spans="1:16" x14ac:dyDescent="0.15">
      <c r="C28" s="17"/>
      <c r="D28" s="7"/>
      <c r="E28" s="7"/>
      <c r="F28" s="15"/>
      <c r="G28" s="15"/>
      <c r="H28" s="15"/>
      <c r="I28" s="16"/>
      <c r="J28" s="15"/>
      <c r="K28" s="15"/>
      <c r="L28" s="15"/>
    </row>
    <row r="29" spans="1:16" x14ac:dyDescent="0.15">
      <c r="C29" s="17"/>
      <c r="D29" s="7"/>
      <c r="E29" s="7"/>
      <c r="F29" s="15"/>
      <c r="G29" s="15"/>
      <c r="H29" s="15"/>
      <c r="I29" s="16"/>
      <c r="J29" s="15"/>
      <c r="K29" s="15"/>
      <c r="L29" s="15"/>
      <c r="M29" s="15" t="s">
        <v>935</v>
      </c>
      <c r="N29" s="15" t="s">
        <v>1119</v>
      </c>
    </row>
    <row r="30" spans="1:16" x14ac:dyDescent="0.15">
      <c r="C30" s="17"/>
      <c r="D30" s="7"/>
      <c r="E30" s="7"/>
      <c r="F30" s="15"/>
      <c r="G30" s="15"/>
      <c r="H30" s="15"/>
      <c r="I30" s="16"/>
      <c r="J30" s="15"/>
      <c r="K30" s="15"/>
      <c r="L30" s="15"/>
    </row>
    <row r="31" spans="1:16" ht="16" x14ac:dyDescent="0.2">
      <c r="A31" s="8" t="s">
        <v>1145</v>
      </c>
    </row>
    <row r="32" spans="1:16" ht="56" x14ac:dyDescent="0.15">
      <c r="A32" s="12"/>
      <c r="B32" s="12"/>
      <c r="C32" s="12" t="s">
        <v>983</v>
      </c>
      <c r="D32" s="13" t="s">
        <v>981</v>
      </c>
      <c r="E32" s="13" t="s">
        <v>984</v>
      </c>
      <c r="F32" s="13" t="s">
        <v>984</v>
      </c>
      <c r="G32" s="13" t="s">
        <v>1147</v>
      </c>
      <c r="H32" s="13" t="s">
        <v>883</v>
      </c>
      <c r="I32" s="12" t="s">
        <v>1102</v>
      </c>
      <c r="J32" s="13" t="s">
        <v>1103</v>
      </c>
      <c r="K32" s="13" t="s">
        <v>745</v>
      </c>
      <c r="L32" s="13" t="s">
        <v>898</v>
      </c>
      <c r="M32" s="12"/>
      <c r="N32" s="13" t="s">
        <v>1101</v>
      </c>
      <c r="O32" s="12"/>
      <c r="P32" s="12"/>
    </row>
    <row r="33" spans="1:16" x14ac:dyDescent="0.15">
      <c r="A33" s="1" t="s">
        <v>746</v>
      </c>
      <c r="B33" s="1" t="s">
        <v>747</v>
      </c>
      <c r="C33" s="1"/>
      <c r="D33" s="14" t="s">
        <v>982</v>
      </c>
      <c r="E33" s="14" t="s">
        <v>1104</v>
      </c>
      <c r="F33" s="14" t="s">
        <v>718</v>
      </c>
      <c r="G33" s="14" t="s">
        <v>749</v>
      </c>
      <c r="H33" s="14" t="s">
        <v>749</v>
      </c>
      <c r="I33" s="14" t="s">
        <v>884</v>
      </c>
      <c r="J33" s="14" t="s">
        <v>749</v>
      </c>
      <c r="K33" s="14" t="s">
        <v>884</v>
      </c>
      <c r="L33" s="14" t="s">
        <v>1144</v>
      </c>
      <c r="M33" s="1"/>
      <c r="N33" s="14" t="s">
        <v>748</v>
      </c>
      <c r="O33" s="1"/>
      <c r="P33" s="1"/>
    </row>
    <row r="34" spans="1:16" x14ac:dyDescent="0.15">
      <c r="A34">
        <v>0</v>
      </c>
      <c r="B34">
        <v>2014</v>
      </c>
      <c r="C34" s="20">
        <f>(D34*G34+D35*F35)/F34</f>
        <v>3.630471073686437</v>
      </c>
      <c r="D34" s="17">
        <f>(K34*1000/G34*12/7)+(I34/G34)</f>
        <v>4.130047192660931</v>
      </c>
      <c r="E34" s="18">
        <f>F34/1000000</f>
        <v>43.842048000000005</v>
      </c>
      <c r="F34" s="19">
        <f>F35+H34+J34</f>
        <v>43842048.000000007</v>
      </c>
      <c r="G34" s="15">
        <f>H34+J34</f>
        <v>1324512</v>
      </c>
      <c r="H34" s="15">
        <f>6*60*60*24*365/1000</f>
        <v>189216</v>
      </c>
      <c r="I34" s="16">
        <f>J34*1000*$N$34/1000000000</f>
        <v>11.352959999999999</v>
      </c>
      <c r="J34" s="15">
        <f>36*60*60*24*365/1000</f>
        <v>1135296</v>
      </c>
      <c r="K34" s="16">
        <v>3191</v>
      </c>
      <c r="L34" s="15">
        <v>1048478</v>
      </c>
      <c r="N34" s="15">
        <v>10</v>
      </c>
    </row>
    <row r="35" spans="1:16" x14ac:dyDescent="0.15">
      <c r="A35">
        <f>A34+1</f>
        <v>1</v>
      </c>
      <c r="B35">
        <f>B34+1</f>
        <v>2015</v>
      </c>
      <c r="C35" s="20">
        <f t="shared" ref="C35:C48" si="12">(D35*G35+D36*F36)/F35</f>
        <v>3.2282926250175361</v>
      </c>
      <c r="D35" s="17">
        <f t="shared" ref="D35:D49" si="13">(K35*1000/G35*12/7)+(I35/G35)</f>
        <v>3.6149082112361026</v>
      </c>
      <c r="E35" s="18">
        <f t="shared" ref="E35:E49" si="14">F35/1000000</f>
        <v>42.517536000000007</v>
      </c>
      <c r="F35" s="19">
        <f>F36+H35+J35</f>
        <v>42517536.000000007</v>
      </c>
      <c r="G35" s="15">
        <f>H35+J35</f>
        <v>1513260.8</v>
      </c>
      <c r="H35" s="15">
        <f>H34+(H$19-H$4)/15</f>
        <v>195523.20000000001</v>
      </c>
      <c r="I35" s="16">
        <f t="shared" ref="I35:I49" si="15">J35*1000*$N$34/1000000000</f>
        <v>13.177376000000001</v>
      </c>
      <c r="J35" s="15">
        <f>J34+(J$19-J$4)/15</f>
        <v>1317737.6000000001</v>
      </c>
      <c r="K35" s="16">
        <v>3191</v>
      </c>
      <c r="L35" s="15">
        <f>L34+(L$49-L$34)/15</f>
        <v>1053849.2666666666</v>
      </c>
      <c r="N35" s="15">
        <v>3871920</v>
      </c>
      <c r="O35" t="s">
        <v>911</v>
      </c>
    </row>
    <row r="36" spans="1:16" x14ac:dyDescent="0.15">
      <c r="A36">
        <f t="shared" ref="A36:B49" si="16">A35+1</f>
        <v>2</v>
      </c>
      <c r="B36">
        <f t="shared" si="16"/>
        <v>2016</v>
      </c>
      <c r="C36" s="20">
        <f t="shared" si="12"/>
        <v>2.9064967134809168</v>
      </c>
      <c r="D36" s="17">
        <f t="shared" si="13"/>
        <v>3.2140245954415967</v>
      </c>
      <c r="E36" s="18">
        <f t="shared" si="14"/>
        <v>41.004275200000002</v>
      </c>
      <c r="F36" s="19">
        <f>F37+H36+J36</f>
        <v>41004275.200000003</v>
      </c>
      <c r="G36" s="15">
        <f>H36+J36</f>
        <v>1702009.6</v>
      </c>
      <c r="H36" s="15">
        <f>H35+(H$19-H$4)/15</f>
        <v>201830.40000000002</v>
      </c>
      <c r="I36" s="16">
        <f>J36*1000*$N$34/1000000000</f>
        <v>15.001792000000002</v>
      </c>
      <c r="J36" s="15">
        <f t="shared" ref="J36:J48" si="17">J35+(J$19-J$4)/15</f>
        <v>1500179.2000000002</v>
      </c>
      <c r="K36" s="16">
        <v>3191</v>
      </c>
      <c r="L36" s="15">
        <f>L35+(L$19-L$4)/15</f>
        <v>1059220.5333333332</v>
      </c>
      <c r="N36" s="15">
        <v>2932848</v>
      </c>
      <c r="O36" t="s">
        <v>966</v>
      </c>
    </row>
    <row r="37" spans="1:16" x14ac:dyDescent="0.15">
      <c r="A37">
        <f t="shared" si="16"/>
        <v>3</v>
      </c>
      <c r="B37">
        <f t="shared" si="16"/>
        <v>2017</v>
      </c>
      <c r="C37" s="20">
        <f t="shared" si="12"/>
        <v>2.6432105448272987</v>
      </c>
      <c r="D37" s="17">
        <f t="shared" si="13"/>
        <v>2.8931790230278569</v>
      </c>
      <c r="E37" s="18">
        <f t="shared" si="14"/>
        <v>39.302265599999998</v>
      </c>
      <c r="F37" s="19">
        <f t="shared" ref="F37:F48" si="18">F38+H37+J37</f>
        <v>39302265.600000001</v>
      </c>
      <c r="G37" s="15">
        <f t="shared" ref="G37:G49" si="19">H37+J37</f>
        <v>1890758.4000000004</v>
      </c>
      <c r="H37" s="15">
        <f t="shared" ref="H37:H48" si="20">H36+(H$19-H$4)/15</f>
        <v>208137.60000000003</v>
      </c>
      <c r="I37" s="16">
        <f t="shared" si="15"/>
        <v>16.826208000000001</v>
      </c>
      <c r="J37" s="15">
        <f t="shared" si="17"/>
        <v>1682620.8000000003</v>
      </c>
      <c r="K37" s="16">
        <v>3191</v>
      </c>
      <c r="L37" s="15">
        <f t="shared" ref="L37:L48" si="21">L36+(L$19-L$4)/15</f>
        <v>1064591.7999999998</v>
      </c>
      <c r="N37" s="15">
        <v>283824</v>
      </c>
      <c r="O37" t="s">
        <v>965</v>
      </c>
    </row>
    <row r="38" spans="1:16" x14ac:dyDescent="0.15">
      <c r="A38">
        <f t="shared" si="16"/>
        <v>4</v>
      </c>
      <c r="B38">
        <f t="shared" si="16"/>
        <v>2018</v>
      </c>
      <c r="C38" s="20">
        <f t="shared" si="12"/>
        <v>2.4238467377939901</v>
      </c>
      <c r="D38" s="17">
        <f t="shared" si="13"/>
        <v>2.6305772660511653</v>
      </c>
      <c r="E38" s="18">
        <f t="shared" si="14"/>
        <v>37.411507200000003</v>
      </c>
      <c r="F38" s="19">
        <f t="shared" si="18"/>
        <v>37411507.200000003</v>
      </c>
      <c r="G38" s="15">
        <f t="shared" si="19"/>
        <v>2079507.2000000004</v>
      </c>
      <c r="H38" s="15">
        <f t="shared" si="20"/>
        <v>214444.80000000005</v>
      </c>
      <c r="I38" s="16">
        <f t="shared" si="15"/>
        <v>18.650624000000004</v>
      </c>
      <c r="J38" s="15">
        <f t="shared" si="17"/>
        <v>1865062.4000000004</v>
      </c>
      <c r="K38" s="16">
        <v>3191</v>
      </c>
      <c r="L38" s="15">
        <f t="shared" si="21"/>
        <v>1069963.0666666664</v>
      </c>
      <c r="N38" s="15">
        <f>6*60*60*24*365/1000</f>
        <v>189216</v>
      </c>
      <c r="O38" t="s">
        <v>1105</v>
      </c>
    </row>
    <row r="39" spans="1:16" x14ac:dyDescent="0.15">
      <c r="A39">
        <f t="shared" si="16"/>
        <v>5</v>
      </c>
      <c r="B39">
        <f t="shared" si="16"/>
        <v>2019</v>
      </c>
      <c r="C39" s="20">
        <f t="shared" si="12"/>
        <v>2.2383070175708069</v>
      </c>
      <c r="D39" s="17">
        <f t="shared" si="13"/>
        <v>2.4116793648184833</v>
      </c>
      <c r="E39" s="18">
        <f t="shared" si="14"/>
        <v>35.332000000000008</v>
      </c>
      <c r="F39" s="19">
        <f t="shared" si="18"/>
        <v>35332000.000000007</v>
      </c>
      <c r="G39" s="15">
        <f t="shared" si="19"/>
        <v>2268256.0000000005</v>
      </c>
      <c r="H39" s="15">
        <f t="shared" si="20"/>
        <v>220752.00000000006</v>
      </c>
      <c r="I39" s="16">
        <f t="shared" si="15"/>
        <v>20.475040000000003</v>
      </c>
      <c r="J39" s="15">
        <f t="shared" si="17"/>
        <v>2047504.0000000005</v>
      </c>
      <c r="K39" s="16">
        <v>3191</v>
      </c>
      <c r="L39" s="15">
        <f t="shared" si="21"/>
        <v>1075334.333333333</v>
      </c>
      <c r="N39" s="15">
        <f>36*60*60*24*365/1000</f>
        <v>1135296</v>
      </c>
      <c r="O39" t="s">
        <v>1106</v>
      </c>
    </row>
    <row r="40" spans="1:16" x14ac:dyDescent="0.15">
      <c r="A40">
        <f t="shared" si="16"/>
        <v>6</v>
      </c>
      <c r="B40">
        <f t="shared" si="16"/>
        <v>2020</v>
      </c>
      <c r="C40" s="20">
        <f t="shared" si="12"/>
        <v>2.0793839935520655</v>
      </c>
      <c r="D40" s="17">
        <f t="shared" si="13"/>
        <v>2.2264132384852129</v>
      </c>
      <c r="E40" s="18">
        <f t="shared" si="14"/>
        <v>33.063744000000007</v>
      </c>
      <c r="F40" s="19">
        <f t="shared" si="18"/>
        <v>33063744.000000007</v>
      </c>
      <c r="G40" s="15">
        <f t="shared" si="19"/>
        <v>2457004.8000000007</v>
      </c>
      <c r="H40" s="15">
        <f t="shared" si="20"/>
        <v>227059.20000000007</v>
      </c>
      <c r="I40" s="16">
        <f t="shared" si="15"/>
        <v>22.299456000000003</v>
      </c>
      <c r="J40" s="15">
        <f t="shared" si="17"/>
        <v>2229945.6000000006</v>
      </c>
      <c r="K40" s="16">
        <v>3191</v>
      </c>
      <c r="L40" s="15">
        <f t="shared" si="21"/>
        <v>1080705.5999999996</v>
      </c>
      <c r="N40" s="15">
        <f>18*60*60*24*365/1000</f>
        <v>567648</v>
      </c>
      <c r="O40" t="s">
        <v>964</v>
      </c>
    </row>
    <row r="41" spans="1:16" x14ac:dyDescent="0.15">
      <c r="A41">
        <f t="shared" si="16"/>
        <v>7</v>
      </c>
      <c r="B41">
        <f t="shared" si="16"/>
        <v>2021</v>
      </c>
      <c r="C41" s="20">
        <f t="shared" si="12"/>
        <v>1.9418033925402776</v>
      </c>
      <c r="D41" s="17">
        <f t="shared" si="13"/>
        <v>2.0675809864371777</v>
      </c>
      <c r="E41" s="18">
        <f t="shared" si="14"/>
        <v>30.606739200000007</v>
      </c>
      <c r="F41" s="19">
        <f t="shared" si="18"/>
        <v>30606739.200000007</v>
      </c>
      <c r="G41" s="15">
        <f t="shared" si="19"/>
        <v>2645753.6000000006</v>
      </c>
      <c r="H41" s="15">
        <f t="shared" si="20"/>
        <v>233366.40000000008</v>
      </c>
      <c r="I41" s="16">
        <f t="shared" si="15"/>
        <v>24.123872000000002</v>
      </c>
      <c r="J41" s="15">
        <f t="shared" si="17"/>
        <v>2412387.2000000007</v>
      </c>
      <c r="K41" s="16">
        <v>3191</v>
      </c>
      <c r="L41" s="15">
        <f t="shared" si="21"/>
        <v>1086076.8666666662</v>
      </c>
      <c r="N41" s="15">
        <v>1129047</v>
      </c>
      <c r="O41" t="s">
        <v>1150</v>
      </c>
    </row>
    <row r="42" spans="1:16" x14ac:dyDescent="0.15">
      <c r="A42">
        <f t="shared" si="16"/>
        <v>8</v>
      </c>
      <c r="B42">
        <f t="shared" si="16"/>
        <v>2022</v>
      </c>
      <c r="C42" s="20">
        <f t="shared" si="12"/>
        <v>1.821628411907523</v>
      </c>
      <c r="D42" s="17">
        <f t="shared" si="13"/>
        <v>1.9299019336070107</v>
      </c>
      <c r="E42" s="18">
        <f t="shared" si="14"/>
        <v>27.960985600000008</v>
      </c>
      <c r="F42" s="19">
        <f t="shared" si="18"/>
        <v>27960985.600000009</v>
      </c>
      <c r="G42" s="15">
        <f t="shared" si="19"/>
        <v>2834502.4000000008</v>
      </c>
      <c r="H42" s="15">
        <f t="shared" si="20"/>
        <v>239673.60000000009</v>
      </c>
      <c r="I42" s="16">
        <f t="shared" si="15"/>
        <v>25.948288000000009</v>
      </c>
      <c r="J42" s="15">
        <f t="shared" si="17"/>
        <v>2594828.8000000007</v>
      </c>
      <c r="K42" s="16">
        <v>3191</v>
      </c>
      <c r="L42" s="15">
        <f t="shared" si="21"/>
        <v>1091448.1333333328</v>
      </c>
      <c r="N42" s="15">
        <v>1048478</v>
      </c>
      <c r="O42" t="s">
        <v>1149</v>
      </c>
    </row>
    <row r="43" spans="1:16" x14ac:dyDescent="0.15">
      <c r="A43">
        <f t="shared" si="16"/>
        <v>9</v>
      </c>
      <c r="B43">
        <f t="shared" si="16"/>
        <v>2023</v>
      </c>
      <c r="C43" s="20">
        <f t="shared" si="12"/>
        <v>1.715880384395861</v>
      </c>
      <c r="D43" s="17">
        <f t="shared" si="13"/>
        <v>1.8094141456024935</v>
      </c>
      <c r="E43" s="18">
        <f t="shared" si="14"/>
        <v>25.126483200000006</v>
      </c>
      <c r="F43" s="19">
        <f t="shared" si="18"/>
        <v>25126483.200000007</v>
      </c>
      <c r="G43" s="15">
        <f t="shared" si="19"/>
        <v>3023251.2000000011</v>
      </c>
      <c r="H43" s="15">
        <f t="shared" si="20"/>
        <v>245980.8000000001</v>
      </c>
      <c r="I43" s="16">
        <f t="shared" si="15"/>
        <v>27.772704000000008</v>
      </c>
      <c r="J43" s="15">
        <f t="shared" si="17"/>
        <v>2777270.4000000008</v>
      </c>
      <c r="K43" s="16">
        <v>3191</v>
      </c>
      <c r="L43" s="15">
        <f t="shared" si="21"/>
        <v>1096819.3999999994</v>
      </c>
      <c r="N43" s="15">
        <v>25000000</v>
      </c>
      <c r="O43" t="s">
        <v>1124</v>
      </c>
    </row>
    <row r="44" spans="1:16" x14ac:dyDescent="0.15">
      <c r="A44">
        <f t="shared" si="16"/>
        <v>10</v>
      </c>
      <c r="B44">
        <f t="shared" si="16"/>
        <v>2024</v>
      </c>
      <c r="C44" s="20">
        <f t="shared" si="12"/>
        <v>1.6222986523672374</v>
      </c>
      <c r="D44" s="17">
        <f t="shared" si="13"/>
        <v>1.7030869587190884</v>
      </c>
      <c r="E44" s="18">
        <f t="shared" si="14"/>
        <v>22.103232000000002</v>
      </c>
      <c r="F44" s="19">
        <f t="shared" si="18"/>
        <v>22103232.000000004</v>
      </c>
      <c r="G44" s="15">
        <f t="shared" si="19"/>
        <v>3212000.0000000009</v>
      </c>
      <c r="H44" s="15">
        <f t="shared" si="20"/>
        <v>252288.00000000012</v>
      </c>
      <c r="I44" s="16">
        <f t="shared" si="15"/>
        <v>29.597120000000007</v>
      </c>
      <c r="J44" s="15">
        <f t="shared" si="17"/>
        <v>2959712.0000000009</v>
      </c>
      <c r="K44" s="16">
        <v>3191</v>
      </c>
      <c r="L44" s="15">
        <f t="shared" si="21"/>
        <v>1102190.666666666</v>
      </c>
      <c r="N44" s="15">
        <v>20000000</v>
      </c>
      <c r="O44" t="s">
        <v>865</v>
      </c>
    </row>
    <row r="45" spans="1:16" x14ac:dyDescent="0.15">
      <c r="A45">
        <f t="shared" si="16"/>
        <v>11</v>
      </c>
      <c r="B45">
        <f t="shared" si="16"/>
        <v>2025</v>
      </c>
      <c r="C45" s="20">
        <f t="shared" si="12"/>
        <v>1.5392055013017629</v>
      </c>
      <c r="D45" s="17">
        <f t="shared" si="13"/>
        <v>1.6085625424088108</v>
      </c>
      <c r="E45" s="18">
        <f t="shared" si="14"/>
        <v>18.891232000000002</v>
      </c>
      <c r="F45" s="19">
        <f t="shared" si="18"/>
        <v>18891232.000000004</v>
      </c>
      <c r="G45" s="15">
        <f t="shared" si="19"/>
        <v>3400748.8000000012</v>
      </c>
      <c r="H45" s="15">
        <f t="shared" si="20"/>
        <v>258595.20000000013</v>
      </c>
      <c r="I45" s="16">
        <f t="shared" si="15"/>
        <v>31.421536000000007</v>
      </c>
      <c r="J45" s="15">
        <f t="shared" si="17"/>
        <v>3142153.600000001</v>
      </c>
      <c r="K45" s="16">
        <v>3191</v>
      </c>
      <c r="L45" s="15">
        <f t="shared" si="21"/>
        <v>1107561.9333333327</v>
      </c>
      <c r="N45" s="16">
        <v>0.5</v>
      </c>
      <c r="O45" s="15" t="s">
        <v>986</v>
      </c>
    </row>
    <row r="46" spans="1:16" x14ac:dyDescent="0.15">
      <c r="A46">
        <f t="shared" si="16"/>
        <v>12</v>
      </c>
      <c r="B46">
        <f t="shared" si="16"/>
        <v>2026</v>
      </c>
      <c r="C46" s="20">
        <f t="shared" si="12"/>
        <v>1.4654881247554166</v>
      </c>
      <c r="D46" s="17">
        <f t="shared" si="13"/>
        <v>1.5239789992442709</v>
      </c>
      <c r="E46" s="18">
        <f t="shared" si="14"/>
        <v>15.490483200000003</v>
      </c>
      <c r="F46" s="19">
        <f t="shared" si="18"/>
        <v>15490483.200000003</v>
      </c>
      <c r="G46" s="15">
        <f t="shared" si="19"/>
        <v>3589497.6000000015</v>
      </c>
      <c r="H46" s="15">
        <f t="shared" si="20"/>
        <v>264902.40000000014</v>
      </c>
      <c r="I46" s="16">
        <f t="shared" si="15"/>
        <v>33.24595200000001</v>
      </c>
      <c r="J46" s="15">
        <f t="shared" si="17"/>
        <v>3324595.2000000011</v>
      </c>
      <c r="K46" s="16">
        <v>3191</v>
      </c>
      <c r="L46" s="15">
        <f t="shared" si="21"/>
        <v>1112933.1999999993</v>
      </c>
      <c r="N46" s="16">
        <v>0.01</v>
      </c>
      <c r="O46" t="s">
        <v>989</v>
      </c>
    </row>
    <row r="47" spans="1:16" x14ac:dyDescent="0.15">
      <c r="A47">
        <f t="shared" si="16"/>
        <v>13</v>
      </c>
      <c r="B47">
        <f t="shared" si="16"/>
        <v>2027</v>
      </c>
      <c r="C47" s="20">
        <f t="shared" si="12"/>
        <v>1.4008287520126521</v>
      </c>
      <c r="D47" s="17">
        <f t="shared" si="13"/>
        <v>1.4478464889568112</v>
      </c>
      <c r="E47" s="18">
        <f t="shared" si="14"/>
        <v>11.900985600000002</v>
      </c>
      <c r="F47" s="19">
        <f t="shared" si="18"/>
        <v>11900985.600000001</v>
      </c>
      <c r="G47" s="15">
        <f t="shared" si="19"/>
        <v>3778246.4000000013</v>
      </c>
      <c r="H47" s="15">
        <f>H46+(H$19-H$4)/15</f>
        <v>271209.60000000015</v>
      </c>
      <c r="I47" s="16">
        <f t="shared" si="15"/>
        <v>35.070368000000016</v>
      </c>
      <c r="J47" s="15">
        <f t="shared" si="17"/>
        <v>3507036.8000000012</v>
      </c>
      <c r="K47" s="16">
        <v>3191</v>
      </c>
      <c r="L47" s="15">
        <f t="shared" si="21"/>
        <v>1118304.4666666659</v>
      </c>
      <c r="N47" s="83">
        <v>2.42</v>
      </c>
      <c r="O47" t="s">
        <v>810</v>
      </c>
    </row>
    <row r="48" spans="1:16" x14ac:dyDescent="0.15">
      <c r="A48">
        <f t="shared" si="16"/>
        <v>14</v>
      </c>
      <c r="B48">
        <f t="shared" si="16"/>
        <v>2028</v>
      </c>
      <c r="C48" s="20">
        <f t="shared" si="12"/>
        <v>1.3469159569416469</v>
      </c>
      <c r="D48" s="17">
        <f t="shared" si="13"/>
        <v>1.3789587164284223</v>
      </c>
      <c r="E48" s="18">
        <f t="shared" si="14"/>
        <v>8.1227392000000016</v>
      </c>
      <c r="F48" s="19">
        <f t="shared" si="18"/>
        <v>8122739.2000000011</v>
      </c>
      <c r="G48" s="15">
        <f t="shared" si="19"/>
        <v>3966995.2000000016</v>
      </c>
      <c r="H48" s="15">
        <f t="shared" si="20"/>
        <v>277516.80000000016</v>
      </c>
      <c r="I48" s="16">
        <f t="shared" si="15"/>
        <v>36.894784000000016</v>
      </c>
      <c r="J48" s="15">
        <f t="shared" si="17"/>
        <v>3689478.4000000013</v>
      </c>
      <c r="K48" s="16">
        <v>3191</v>
      </c>
      <c r="L48" s="15">
        <f t="shared" si="21"/>
        <v>1123675.7333333325</v>
      </c>
      <c r="N48" s="83">
        <v>0.17</v>
      </c>
      <c r="O48" t="s">
        <v>1207</v>
      </c>
    </row>
    <row r="49" spans="1:14" x14ac:dyDescent="0.15">
      <c r="A49">
        <f t="shared" si="16"/>
        <v>15</v>
      </c>
      <c r="B49">
        <f t="shared" si="16"/>
        <v>2029</v>
      </c>
      <c r="C49" s="20">
        <f>(D49*G49+D50*F50)/F49</f>
        <v>1.3163285403253218</v>
      </c>
      <c r="D49" s="17">
        <f t="shared" si="13"/>
        <v>1.3163285403253218</v>
      </c>
      <c r="E49" s="18">
        <f t="shared" si="14"/>
        <v>4.1557440000000003</v>
      </c>
      <c r="F49" s="19">
        <f>F50+H49+J49</f>
        <v>4155744</v>
      </c>
      <c r="G49" s="15">
        <f t="shared" si="19"/>
        <v>4155744</v>
      </c>
      <c r="H49" s="15">
        <v>283824</v>
      </c>
      <c r="I49" s="16">
        <f t="shared" si="15"/>
        <v>38.719200000000001</v>
      </c>
      <c r="J49" s="15">
        <f>M18</f>
        <v>3871920</v>
      </c>
      <c r="K49" s="16">
        <v>3191</v>
      </c>
      <c r="L49" s="15">
        <v>1129047</v>
      </c>
    </row>
    <row r="50" spans="1:14" x14ac:dyDescent="0.15">
      <c r="C50" s="17" t="s">
        <v>1148</v>
      </c>
      <c r="D50" s="7"/>
      <c r="E50" s="7"/>
      <c r="F50" s="15"/>
      <c r="G50" s="15"/>
      <c r="H50" s="15"/>
      <c r="I50" s="16"/>
      <c r="J50" s="15"/>
      <c r="K50" s="15"/>
      <c r="L50" s="15"/>
    </row>
    <row r="51" spans="1:14" ht="74" customHeight="1" x14ac:dyDescent="0.15">
      <c r="C51" s="79" t="s">
        <v>832</v>
      </c>
      <c r="D51" s="80" t="s">
        <v>833</v>
      </c>
      <c r="E51" s="82" t="s">
        <v>834</v>
      </c>
      <c r="F51" s="82" t="s">
        <v>835</v>
      </c>
      <c r="G51" s="79" t="s">
        <v>973</v>
      </c>
      <c r="H51" s="80" t="s">
        <v>972</v>
      </c>
      <c r="I51" s="79" t="s">
        <v>971</v>
      </c>
      <c r="J51" s="80" t="s">
        <v>970</v>
      </c>
      <c r="K51" s="79" t="s">
        <v>973</v>
      </c>
      <c r="L51" s="80" t="s">
        <v>972</v>
      </c>
      <c r="M51" s="79" t="s">
        <v>971</v>
      </c>
      <c r="N51" s="80" t="s">
        <v>970</v>
      </c>
    </row>
    <row r="52" spans="1:14" x14ac:dyDescent="0.15">
      <c r="C52" s="14" t="s">
        <v>988</v>
      </c>
      <c r="D52" s="14" t="s">
        <v>987</v>
      </c>
      <c r="E52" s="15"/>
      <c r="G52" s="14" t="s">
        <v>988</v>
      </c>
      <c r="H52" s="14" t="s">
        <v>982</v>
      </c>
      <c r="I52" s="14" t="s">
        <v>988</v>
      </c>
      <c r="J52" s="14" t="s">
        <v>982</v>
      </c>
      <c r="K52" s="14" t="s">
        <v>988</v>
      </c>
      <c r="L52" s="14" t="s">
        <v>982</v>
      </c>
      <c r="M52" s="14" t="s">
        <v>988</v>
      </c>
      <c r="N52" s="14" t="s">
        <v>982</v>
      </c>
    </row>
    <row r="53" spans="1:14" x14ac:dyDescent="0.15">
      <c r="A53">
        <v>0</v>
      </c>
      <c r="B53">
        <v>2014</v>
      </c>
      <c r="C53" s="81">
        <f t="shared" ref="C53:C68" si="22">((I4*1000000000)+(K4*1000000000)+($N$44*$N$45*1000))/(($N$44+$G$34)*1000)</f>
        <v>1.4072021906058154</v>
      </c>
      <c r="D53" s="81">
        <f>(($I34*1000000)+($K34*1000000)+($N$44*$N$46*1000))/(($N$44+$G$34)*1000)</f>
        <v>0.15955126944991754</v>
      </c>
      <c r="E53" s="15">
        <f t="shared" ref="E53:E68" si="23">I4+K4+($N$44*$N$45*1000/1000000000)</f>
        <v>30.007899999999999</v>
      </c>
      <c r="F53" s="15">
        <f t="shared" ref="F53:F68" si="24">I34+K34+($N$44*$N$46*1000/1000000)</f>
        <v>3402.3529600000002</v>
      </c>
      <c r="G53" s="81">
        <f t="shared" ref="G53:G68" si="25">(($I4*1000000000)+($K4*1000000000)+($J$71*$N$47*1000))/(($J$71+$G$34)*1000)</f>
        <v>4.1113343061038119</v>
      </c>
      <c r="H53" s="81">
        <f t="shared" ref="H53:H68" si="26">(($I4*1000000000)+($K4*1000000000)+($J$71*$N$48*1000))/(($J$71+$G$34)*1000)</f>
        <v>2.1613140132097075</v>
      </c>
      <c r="I53" s="81">
        <f t="shared" ref="I53:I68" si="27">(($I4*1000000000)+($K4*1000000000)+($J$73*$N$47*1000))/(($J$73+$G$34)*1000)</f>
        <v>3.736351221260946</v>
      </c>
      <c r="J53" s="81">
        <f>(($I4*1000000000)+($K4*1000000000)+($J$73*$N$48*1000))/(($J$73+$G$34)*1000)</f>
        <v>1.7198228964804922</v>
      </c>
    </row>
    <row r="54" spans="1:14" x14ac:dyDescent="0.15">
      <c r="A54">
        <f t="shared" ref="A54:A68" si="28">A53+1</f>
        <v>1</v>
      </c>
      <c r="B54">
        <f t="shared" ref="B54:B68" si="29">B53+1</f>
        <v>2015</v>
      </c>
      <c r="C54" s="81">
        <f>((I5*1000000000)+(K5*1000000000)+($N$44*$N$45*1000))/(($N$44+$G$34)*1000)</f>
        <v>1.4202915593097745</v>
      </c>
      <c r="D54" s="81">
        <f>((I35*1000000)+(K35*1000000)+($N$44*$N$46*1000))/(($N$44+$G$34)*1000)</f>
        <v>0.15963682432685916</v>
      </c>
      <c r="E54" s="15">
        <f t="shared" si="23"/>
        <v>30.287024399999996</v>
      </c>
      <c r="F54" s="15">
        <f t="shared" si="24"/>
        <v>3404.1773760000001</v>
      </c>
      <c r="G54" s="81">
        <f t="shared" si="25"/>
        <v>4.1394307440566775</v>
      </c>
      <c r="H54" s="81">
        <f t="shared" si="26"/>
        <v>2.1894104511625727</v>
      </c>
      <c r="I54" s="81">
        <f t="shared" si="27"/>
        <v>3.7582184418801128</v>
      </c>
      <c r="J54" s="81">
        <f t="shared" ref="J54:J68" si="30">(($I5*1000000000)+($K5*1000000000)+($J$73*$N$48*1000))/(($J$73+$G$34)*1000)</f>
        <v>1.7416901170996586</v>
      </c>
      <c r="K54" s="15"/>
    </row>
    <row r="55" spans="1:14" x14ac:dyDescent="0.15">
      <c r="A55">
        <f t="shared" si="28"/>
        <v>2</v>
      </c>
      <c r="B55">
        <f t="shared" si="29"/>
        <v>2016</v>
      </c>
      <c r="C55" s="81">
        <f t="shared" si="22"/>
        <v>1.4333809280137337</v>
      </c>
      <c r="D55" s="81">
        <f t="shared" ref="D55:D67" si="31">((I36*1000000)+(K36*1000000)+($N$44*$N$46*1000))/(($N$44+$G$34)*1000)</f>
        <v>0.15972237920380078</v>
      </c>
      <c r="E55" s="15">
        <f t="shared" si="23"/>
        <v>30.566148800000001</v>
      </c>
      <c r="F55" s="15">
        <f t="shared" si="24"/>
        <v>3406.001792</v>
      </c>
      <c r="G55" s="81">
        <f t="shared" si="25"/>
        <v>4.1675271820095432</v>
      </c>
      <c r="H55" s="81">
        <f t="shared" si="26"/>
        <v>2.2175068891154388</v>
      </c>
      <c r="I55" s="81">
        <f t="shared" si="27"/>
        <v>3.7800856624992791</v>
      </c>
      <c r="J55" s="81">
        <f t="shared" si="30"/>
        <v>1.7635573377188254</v>
      </c>
      <c r="K55" s="15"/>
      <c r="L55" s="15"/>
    </row>
    <row r="56" spans="1:14" x14ac:dyDescent="0.15">
      <c r="A56">
        <f t="shared" si="28"/>
        <v>3</v>
      </c>
      <c r="B56">
        <f t="shared" si="29"/>
        <v>2017</v>
      </c>
      <c r="C56" s="81">
        <f t="shared" si="22"/>
        <v>1.4464702967176928</v>
      </c>
      <c r="D56" s="81">
        <f t="shared" si="31"/>
        <v>0.1598079340807424</v>
      </c>
      <c r="E56" s="15">
        <f t="shared" si="23"/>
        <v>30.845273199999998</v>
      </c>
      <c r="F56" s="15">
        <f t="shared" si="24"/>
        <v>3407.826208</v>
      </c>
      <c r="G56" s="81">
        <f t="shared" si="25"/>
        <v>4.1956236199624088</v>
      </c>
      <c r="H56" s="81">
        <f t="shared" si="26"/>
        <v>2.2456033270683045</v>
      </c>
      <c r="I56" s="81">
        <f t="shared" si="27"/>
        <v>3.8019528831184459</v>
      </c>
      <c r="J56" s="81">
        <f t="shared" si="30"/>
        <v>1.7854245583379922</v>
      </c>
      <c r="K56" s="15"/>
      <c r="L56" s="15"/>
    </row>
    <row r="57" spans="1:14" x14ac:dyDescent="0.15">
      <c r="A57">
        <f t="shared" si="28"/>
        <v>4</v>
      </c>
      <c r="B57">
        <f t="shared" si="29"/>
        <v>2018</v>
      </c>
      <c r="C57" s="81">
        <f t="shared" si="22"/>
        <v>1.4595596654216516</v>
      </c>
      <c r="D57" s="81">
        <f t="shared" si="31"/>
        <v>0.15989348895768402</v>
      </c>
      <c r="E57" s="15">
        <f t="shared" si="23"/>
        <v>31.124397599999995</v>
      </c>
      <c r="F57" s="15">
        <f t="shared" si="24"/>
        <v>3409.6506239999999</v>
      </c>
      <c r="G57" s="81">
        <f t="shared" si="25"/>
        <v>4.2237200579152745</v>
      </c>
      <c r="H57" s="81">
        <f t="shared" si="26"/>
        <v>2.2736997650211697</v>
      </c>
      <c r="I57" s="81">
        <f t="shared" si="27"/>
        <v>3.8238201037376127</v>
      </c>
      <c r="J57" s="81">
        <f t="shared" si="30"/>
        <v>1.8072917789571585</v>
      </c>
      <c r="K57" s="15"/>
      <c r="L57" s="15"/>
    </row>
    <row r="58" spans="1:14" x14ac:dyDescent="0.15">
      <c r="A58">
        <f t="shared" si="28"/>
        <v>5</v>
      </c>
      <c r="B58">
        <f t="shared" si="29"/>
        <v>2019</v>
      </c>
      <c r="C58" s="81">
        <f t="shared" si="22"/>
        <v>1.4726490341256107</v>
      </c>
      <c r="D58" s="81">
        <f t="shared" si="31"/>
        <v>0.15997904383462561</v>
      </c>
      <c r="E58" s="15">
        <f t="shared" si="23"/>
        <v>31.403521999999992</v>
      </c>
      <c r="F58" s="15">
        <f t="shared" si="24"/>
        <v>3411.4750399999998</v>
      </c>
      <c r="G58" s="81">
        <f t="shared" si="25"/>
        <v>4.2518164958681401</v>
      </c>
      <c r="H58" s="81">
        <f t="shared" si="26"/>
        <v>2.3017962029740353</v>
      </c>
      <c r="I58" s="81">
        <f t="shared" si="27"/>
        <v>3.8456873243567786</v>
      </c>
      <c r="J58" s="81">
        <f t="shared" si="30"/>
        <v>1.8291589995763247</v>
      </c>
      <c r="K58" s="15"/>
      <c r="L58" s="15"/>
    </row>
    <row r="59" spans="1:14" x14ac:dyDescent="0.15">
      <c r="A59">
        <f t="shared" si="28"/>
        <v>6</v>
      </c>
      <c r="B59">
        <f t="shared" si="29"/>
        <v>2020</v>
      </c>
      <c r="C59" s="81">
        <f t="shared" si="22"/>
        <v>1.4857384028295697</v>
      </c>
      <c r="D59" s="81">
        <f t="shared" si="31"/>
        <v>0.16006459871156722</v>
      </c>
      <c r="E59" s="15">
        <f t="shared" si="23"/>
        <v>31.682646399999992</v>
      </c>
      <c r="F59" s="15">
        <f t="shared" si="24"/>
        <v>3413.2994560000002</v>
      </c>
      <c r="G59" s="81">
        <f t="shared" si="25"/>
        <v>4.2799129338210058</v>
      </c>
      <c r="H59" s="81">
        <f t="shared" si="26"/>
        <v>2.329892640926901</v>
      </c>
      <c r="I59" s="81">
        <f t="shared" si="27"/>
        <v>3.8675545449759454</v>
      </c>
      <c r="J59" s="81">
        <f t="shared" si="30"/>
        <v>1.8510262201954915</v>
      </c>
      <c r="K59" s="15"/>
      <c r="L59" s="15"/>
    </row>
    <row r="60" spans="1:14" x14ac:dyDescent="0.15">
      <c r="A60">
        <f t="shared" si="28"/>
        <v>7</v>
      </c>
      <c r="B60">
        <f t="shared" si="29"/>
        <v>2021</v>
      </c>
      <c r="C60" s="81">
        <f t="shared" si="22"/>
        <v>1.498827771533529</v>
      </c>
      <c r="D60" s="81">
        <f t="shared" si="31"/>
        <v>0.16015015358850884</v>
      </c>
      <c r="E60" s="15">
        <f t="shared" si="23"/>
        <v>31.961770799999996</v>
      </c>
      <c r="F60" s="15">
        <f t="shared" si="24"/>
        <v>3415.1238720000001</v>
      </c>
      <c r="G60" s="81">
        <f t="shared" si="25"/>
        <v>4.3080093717738723</v>
      </c>
      <c r="H60" s="81">
        <f t="shared" si="26"/>
        <v>2.3579890788797671</v>
      </c>
      <c r="I60" s="81">
        <f t="shared" si="27"/>
        <v>3.8894217655951127</v>
      </c>
      <c r="J60" s="81">
        <f t="shared" si="30"/>
        <v>1.8728934408146583</v>
      </c>
    </row>
    <row r="61" spans="1:14" x14ac:dyDescent="0.15">
      <c r="A61">
        <f t="shared" si="28"/>
        <v>8</v>
      </c>
      <c r="B61">
        <f t="shared" si="29"/>
        <v>2022</v>
      </c>
      <c r="C61" s="81">
        <f t="shared" si="22"/>
        <v>1.5119171402374878</v>
      </c>
      <c r="D61" s="81">
        <f t="shared" si="31"/>
        <v>0.16023570846545046</v>
      </c>
      <c r="E61" s="15">
        <f t="shared" si="23"/>
        <v>32.240895199999997</v>
      </c>
      <c r="F61" s="15">
        <f t="shared" si="24"/>
        <v>3416.948288</v>
      </c>
      <c r="G61" s="81">
        <f t="shared" si="25"/>
        <v>4.336105809726738</v>
      </c>
      <c r="H61" s="81">
        <f t="shared" si="26"/>
        <v>2.3860855168326323</v>
      </c>
      <c r="I61" s="81">
        <f t="shared" si="27"/>
        <v>3.9112889862142786</v>
      </c>
      <c r="J61" s="81">
        <f t="shared" si="30"/>
        <v>1.8947606614338246</v>
      </c>
    </row>
    <row r="62" spans="1:14" x14ac:dyDescent="0.15">
      <c r="A62">
        <f t="shared" si="28"/>
        <v>9</v>
      </c>
      <c r="B62">
        <f t="shared" si="29"/>
        <v>2023</v>
      </c>
      <c r="C62" s="81">
        <f t="shared" si="22"/>
        <v>1.5250065089414468</v>
      </c>
      <c r="D62" s="81">
        <f t="shared" si="31"/>
        <v>0.16032126334239208</v>
      </c>
      <c r="E62" s="15">
        <f t="shared" si="23"/>
        <v>32.520019599999991</v>
      </c>
      <c r="F62" s="15">
        <f t="shared" si="24"/>
        <v>3418.772704</v>
      </c>
      <c r="G62" s="81">
        <f t="shared" si="25"/>
        <v>4.3642022476796027</v>
      </c>
      <c r="H62" s="81">
        <f t="shared" si="26"/>
        <v>2.4141819547854975</v>
      </c>
      <c r="I62" s="81">
        <f t="shared" si="27"/>
        <v>3.9331562068334445</v>
      </c>
      <c r="J62" s="81">
        <f t="shared" si="30"/>
        <v>1.9166278820529909</v>
      </c>
    </row>
    <row r="63" spans="1:14" x14ac:dyDescent="0.15">
      <c r="A63">
        <f t="shared" si="28"/>
        <v>10</v>
      </c>
      <c r="B63">
        <f t="shared" si="29"/>
        <v>2024</v>
      </c>
      <c r="C63" s="81">
        <f t="shared" si="22"/>
        <v>1.5380958776454059</v>
      </c>
      <c r="D63" s="81">
        <f t="shared" si="31"/>
        <v>0.1604068182193337</v>
      </c>
      <c r="E63" s="15">
        <f t="shared" si="23"/>
        <v>32.799143999999984</v>
      </c>
      <c r="F63" s="15">
        <f t="shared" si="24"/>
        <v>3420.5971199999999</v>
      </c>
      <c r="G63" s="81">
        <f t="shared" si="25"/>
        <v>4.3922986856324684</v>
      </c>
      <c r="H63" s="81">
        <f t="shared" si="26"/>
        <v>2.4422783927383636</v>
      </c>
      <c r="I63" s="81">
        <f t="shared" si="27"/>
        <v>3.9550234274526113</v>
      </c>
      <c r="J63" s="81">
        <f t="shared" si="30"/>
        <v>1.9384951026721577</v>
      </c>
    </row>
    <row r="64" spans="1:14" x14ac:dyDescent="0.15">
      <c r="A64">
        <f t="shared" si="28"/>
        <v>11</v>
      </c>
      <c r="B64">
        <f t="shared" si="29"/>
        <v>2025</v>
      </c>
      <c r="C64" s="81">
        <f t="shared" si="22"/>
        <v>1.5511852463493649</v>
      </c>
      <c r="D64" s="81">
        <f t="shared" si="31"/>
        <v>0.16049237309627531</v>
      </c>
      <c r="E64" s="15">
        <f t="shared" si="23"/>
        <v>33.078268399999985</v>
      </c>
      <c r="F64" s="15">
        <f t="shared" si="24"/>
        <v>3422.4215359999998</v>
      </c>
      <c r="G64" s="81">
        <f t="shared" si="25"/>
        <v>4.420395123585334</v>
      </c>
      <c r="H64" s="81">
        <f t="shared" si="26"/>
        <v>2.4703748306912292</v>
      </c>
      <c r="I64" s="81">
        <f t="shared" si="27"/>
        <v>3.9768906480717776</v>
      </c>
      <c r="J64" s="81">
        <f t="shared" si="30"/>
        <v>1.9603623232913243</v>
      </c>
    </row>
    <row r="65" spans="1:10" x14ac:dyDescent="0.15">
      <c r="A65">
        <f t="shared" si="28"/>
        <v>12</v>
      </c>
      <c r="B65">
        <f t="shared" si="29"/>
        <v>2026</v>
      </c>
      <c r="C65" s="81">
        <f t="shared" si="22"/>
        <v>1.564274615053324</v>
      </c>
      <c r="D65" s="81">
        <f t="shared" si="31"/>
        <v>0.16057792797321693</v>
      </c>
      <c r="E65" s="15">
        <f t="shared" si="23"/>
        <v>33.357392799999985</v>
      </c>
      <c r="F65" s="15">
        <f t="shared" si="24"/>
        <v>3424.2459520000002</v>
      </c>
      <c r="G65" s="81">
        <f t="shared" si="25"/>
        <v>4.4484915615381997</v>
      </c>
      <c r="H65" s="81">
        <f t="shared" si="26"/>
        <v>2.4984712686440949</v>
      </c>
      <c r="I65" s="81">
        <f t="shared" si="27"/>
        <v>3.9987578686909444</v>
      </c>
      <c r="J65" s="81">
        <f t="shared" si="30"/>
        <v>1.9822295439104909</v>
      </c>
    </row>
    <row r="66" spans="1:10" x14ac:dyDescent="0.15">
      <c r="A66">
        <f t="shared" si="28"/>
        <v>13</v>
      </c>
      <c r="B66">
        <f t="shared" si="29"/>
        <v>2027</v>
      </c>
      <c r="C66" s="81">
        <f t="shared" si="22"/>
        <v>1.5773639837572828</v>
      </c>
      <c r="D66" s="81">
        <f t="shared" si="31"/>
        <v>0.16066348285015855</v>
      </c>
      <c r="E66" s="15">
        <f t="shared" si="23"/>
        <v>33.636517199999986</v>
      </c>
      <c r="F66" s="15">
        <f t="shared" si="24"/>
        <v>3426.0703680000001</v>
      </c>
      <c r="G66" s="81">
        <f t="shared" si="25"/>
        <v>4.4765879994910645</v>
      </c>
      <c r="H66" s="81">
        <f t="shared" si="26"/>
        <v>2.5265677065969601</v>
      </c>
      <c r="I66" s="81">
        <f t="shared" si="27"/>
        <v>4.0206250893101112</v>
      </c>
      <c r="J66" s="81">
        <f t="shared" si="30"/>
        <v>2.0040967645296575</v>
      </c>
    </row>
    <row r="67" spans="1:10" x14ac:dyDescent="0.15">
      <c r="A67">
        <f t="shared" si="28"/>
        <v>14</v>
      </c>
      <c r="B67">
        <f t="shared" si="29"/>
        <v>2028</v>
      </c>
      <c r="C67" s="81">
        <f t="shared" si="22"/>
        <v>1.5904533524612421</v>
      </c>
      <c r="D67" s="81">
        <f t="shared" si="31"/>
        <v>0.16074903772710017</v>
      </c>
      <c r="E67" s="15">
        <f t="shared" si="23"/>
        <v>33.915641599999987</v>
      </c>
      <c r="F67" s="15">
        <f t="shared" si="24"/>
        <v>3427.8947840000001</v>
      </c>
      <c r="G67" s="81">
        <f t="shared" si="25"/>
        <v>4.5046844374439301</v>
      </c>
      <c r="H67" s="81">
        <f t="shared" si="26"/>
        <v>2.5546641445498257</v>
      </c>
      <c r="I67" s="81">
        <f t="shared" si="27"/>
        <v>4.042492309929278</v>
      </c>
      <c r="J67" s="81">
        <f t="shared" si="30"/>
        <v>2.0259639851488238</v>
      </c>
    </row>
    <row r="68" spans="1:10" x14ac:dyDescent="0.15">
      <c r="A68">
        <f t="shared" si="28"/>
        <v>15</v>
      </c>
      <c r="B68">
        <f t="shared" si="29"/>
        <v>2029</v>
      </c>
      <c r="C68" s="81">
        <f t="shared" si="22"/>
        <v>1.6035427211652018</v>
      </c>
      <c r="D68" s="81">
        <f>((I49*1000000)+(K49*1000000)+($N$44*$N$46*1000))/(($N$44+$G$34)*1000)</f>
        <v>0.16083459260404176</v>
      </c>
      <c r="E68" s="15">
        <f t="shared" si="23"/>
        <v>34.194766000000001</v>
      </c>
      <c r="F68" s="15">
        <f t="shared" si="24"/>
        <v>3429.7192</v>
      </c>
      <c r="G68" s="81">
        <f t="shared" si="25"/>
        <v>4.5327808753967975</v>
      </c>
      <c r="H68" s="81">
        <f t="shared" si="26"/>
        <v>2.5827605825026931</v>
      </c>
      <c r="I68" s="81">
        <f t="shared" si="27"/>
        <v>4.0643595305484457</v>
      </c>
      <c r="J68" s="81">
        <f t="shared" si="30"/>
        <v>2.0478312057679919</v>
      </c>
    </row>
    <row r="70" spans="1:10" x14ac:dyDescent="0.15">
      <c r="A70" t="s">
        <v>963</v>
      </c>
      <c r="C70" t="s">
        <v>824</v>
      </c>
      <c r="D70" t="s">
        <v>825</v>
      </c>
      <c r="E70" t="s">
        <v>826</v>
      </c>
      <c r="F70" t="s">
        <v>827</v>
      </c>
      <c r="G70" t="s">
        <v>828</v>
      </c>
      <c r="H70" t="s">
        <v>829</v>
      </c>
      <c r="I70" t="s">
        <v>830</v>
      </c>
      <c r="J70" t="s">
        <v>831</v>
      </c>
    </row>
    <row r="71" spans="1:10" x14ac:dyDescent="0.15">
      <c r="C71">
        <v>1.43</v>
      </c>
      <c r="D71">
        <v>1.25</v>
      </c>
      <c r="E71">
        <v>1.31</v>
      </c>
      <c r="F71">
        <v>1.22</v>
      </c>
      <c r="G71">
        <v>1.36</v>
      </c>
      <c r="H71">
        <v>1.1200000000000001</v>
      </c>
      <c r="I71">
        <v>0.92</v>
      </c>
      <c r="J71">
        <f>SUM(C71:I71)*1000000</f>
        <v>8610000.0000000019</v>
      </c>
    </row>
    <row r="72" spans="1:10" x14ac:dyDescent="0.15">
      <c r="A72" t="s">
        <v>963</v>
      </c>
    </row>
    <row r="73" spans="1:10" x14ac:dyDescent="0.15">
      <c r="C73">
        <v>1.81</v>
      </c>
      <c r="D73">
        <v>1.67</v>
      </c>
      <c r="E73">
        <v>1.73</v>
      </c>
      <c r="F73">
        <v>1.66</v>
      </c>
      <c r="G73">
        <v>1.81</v>
      </c>
      <c r="H73">
        <v>1.49</v>
      </c>
      <c r="I73">
        <v>1.27</v>
      </c>
      <c r="J73">
        <f>SUM(C73:I73)*1000000</f>
        <v>11440000</v>
      </c>
    </row>
    <row r="116" spans="1:16" ht="56" x14ac:dyDescent="0.15">
      <c r="A116" s="119" t="s">
        <v>1238</v>
      </c>
      <c r="B116" s="12"/>
      <c r="C116" s="12" t="s">
        <v>1172</v>
      </c>
      <c r="D116" s="13" t="s">
        <v>1166</v>
      </c>
      <c r="E116" s="13" t="s">
        <v>751</v>
      </c>
      <c r="F116" s="13" t="s">
        <v>751</v>
      </c>
      <c r="G116" s="13" t="s">
        <v>1088</v>
      </c>
      <c r="H116" s="13" t="s">
        <v>883</v>
      </c>
      <c r="I116" s="12" t="s">
        <v>1102</v>
      </c>
      <c r="J116" s="13" t="s">
        <v>897</v>
      </c>
      <c r="K116" s="13" t="s">
        <v>745</v>
      </c>
      <c r="L116" s="13" t="s">
        <v>898</v>
      </c>
      <c r="M116" s="12" t="s">
        <v>750</v>
      </c>
      <c r="N116" s="13" t="s">
        <v>1101</v>
      </c>
      <c r="O116" s="12"/>
      <c r="P116" s="12"/>
    </row>
    <row r="117" spans="1:16" x14ac:dyDescent="0.15">
      <c r="A117" s="1" t="s">
        <v>746</v>
      </c>
      <c r="B117" s="1" t="s">
        <v>747</v>
      </c>
      <c r="C117" s="1"/>
      <c r="D117" s="14" t="s">
        <v>1188</v>
      </c>
      <c r="E117" s="14" t="s">
        <v>1104</v>
      </c>
      <c r="F117" s="14" t="s">
        <v>718</v>
      </c>
      <c r="G117" s="14" t="s">
        <v>749</v>
      </c>
      <c r="H117" s="14" t="s">
        <v>749</v>
      </c>
      <c r="I117" s="14" t="s">
        <v>884</v>
      </c>
      <c r="J117" s="14" t="s">
        <v>749</v>
      </c>
      <c r="K117" s="14" t="s">
        <v>884</v>
      </c>
      <c r="L117" s="14" t="s">
        <v>1144</v>
      </c>
      <c r="M117" s="1" t="s">
        <v>885</v>
      </c>
      <c r="N117" s="14" t="s">
        <v>1188</v>
      </c>
      <c r="O117" s="1"/>
      <c r="P117" s="1"/>
    </row>
    <row r="118" spans="1:16" x14ac:dyDescent="0.15">
      <c r="A118">
        <v>0</v>
      </c>
      <c r="B118" s="10">
        <v>2015</v>
      </c>
      <c r="C118" s="20">
        <f t="shared" ref="C118:C145" si="32">(D118*G118+D120*F120)/F118</f>
        <v>26.692009905909824</v>
      </c>
      <c r="D118" s="17">
        <f>(K118*1000/G118*1000)+(I118/G118*1000)</f>
        <v>29.364946373579695</v>
      </c>
      <c r="E118" s="18">
        <f t="shared" ref="E118:E149" si="33">F118/1000000</f>
        <v>46.112639999999999</v>
      </c>
      <c r="F118" s="19">
        <f>F119+H118+J118</f>
        <v>46112640</v>
      </c>
      <c r="G118" s="15">
        <f t="shared" ref="G118:G123" si="34">H118+J118</f>
        <v>1017036</v>
      </c>
      <c r="H118" s="15">
        <f>6*60*60*24*365/1000</f>
        <v>189216</v>
      </c>
      <c r="I118" s="16">
        <f>J118*1000*$N118/1000000</f>
        <v>1556.3016</v>
      </c>
      <c r="J118" s="15">
        <f>45*60*60*24*365/1000*O$179</f>
        <v>827820</v>
      </c>
      <c r="K118" s="16">
        <f>L118*$M$118/1000000</f>
        <v>28.308906</v>
      </c>
      <c r="L118" s="15">
        <v>1048478</v>
      </c>
      <c r="M118">
        <v>27</v>
      </c>
      <c r="N118" s="83">
        <v>1.88</v>
      </c>
    </row>
    <row r="119" spans="1:16" x14ac:dyDescent="0.15">
      <c r="B119" s="10">
        <v>2015.5</v>
      </c>
      <c r="C119" s="20">
        <f t="shared" si="32"/>
        <v>1.8333610382658734</v>
      </c>
      <c r="D119" s="17">
        <f>(K119*1000/G119*1000)+(I119/G119*1000)</f>
        <v>1.88</v>
      </c>
      <c r="E119" s="18">
        <f t="shared" si="33"/>
        <v>45.095604000000002</v>
      </c>
      <c r="F119" s="19">
        <f t="shared" ref="F119:F147" si="35">F120+H119+J119</f>
        <v>45095604</v>
      </c>
      <c r="G119" s="15">
        <f t="shared" si="34"/>
        <v>591300</v>
      </c>
      <c r="H119" s="15">
        <v>0</v>
      </c>
      <c r="I119" s="16">
        <f t="shared" ref="I119:I149" si="36">J119*1000*$N119/1000000</f>
        <v>1111.644</v>
      </c>
      <c r="J119" s="15">
        <f>45*60*60*24*365/1000*O$180</f>
        <v>591300</v>
      </c>
      <c r="K119" s="16">
        <f>L119*M119/1000000</f>
        <v>0</v>
      </c>
      <c r="L119" s="15">
        <v>1048478</v>
      </c>
      <c r="M119">
        <v>0</v>
      </c>
      <c r="N119" s="83">
        <f>N118</f>
        <v>1.88</v>
      </c>
    </row>
    <row r="120" spans="1:16" x14ac:dyDescent="0.15">
      <c r="A120">
        <f>A118+1</f>
        <v>1</v>
      </c>
      <c r="B120" s="10">
        <f>B118+1</f>
        <v>2016</v>
      </c>
      <c r="C120" s="20">
        <f t="shared" si="32"/>
        <v>24.682088908425175</v>
      </c>
      <c r="D120" s="17">
        <f t="shared" ref="D120:D149" si="37">(K120*1000/G120*1000)+(I120/G120*1000)</f>
        <v>26.985566071714182</v>
      </c>
      <c r="E120" s="18">
        <f t="shared" si="33"/>
        <v>44.504303999999998</v>
      </c>
      <c r="F120" s="19">
        <f t="shared" si="35"/>
        <v>44504304</v>
      </c>
      <c r="G120" s="15">
        <f t="shared" si="34"/>
        <v>1118729.8666666667</v>
      </c>
      <c r="H120" s="15">
        <f>H118+(H$19-H$4)/15</f>
        <v>195523.20000000001</v>
      </c>
      <c r="I120" s="16">
        <f t="shared" si="36"/>
        <v>1735.6285333333333</v>
      </c>
      <c r="J120" s="15">
        <f>J118+($J$185-$J$155)/15</f>
        <v>923206.66666666663</v>
      </c>
      <c r="K120" s="16">
        <f>L120*$M$118/1000000</f>
        <v>28.453930199999999</v>
      </c>
      <c r="L120" s="15">
        <f t="shared" ref="L120:L149" si="38">L118+(L$19-L$4)/15</f>
        <v>1053849.2666666666</v>
      </c>
      <c r="M120">
        <v>27</v>
      </c>
      <c r="N120" s="83">
        <f>N118</f>
        <v>1.88</v>
      </c>
    </row>
    <row r="121" spans="1:16" x14ac:dyDescent="0.15">
      <c r="B121" s="10">
        <v>2016.5</v>
      </c>
      <c r="C121" s="20">
        <f t="shared" si="32"/>
        <v>1.8271161402263458</v>
      </c>
      <c r="D121" s="17">
        <f t="shared" si="37"/>
        <v>1.88</v>
      </c>
      <c r="E121" s="18">
        <f t="shared" si="33"/>
        <v>43.385574133333336</v>
      </c>
      <c r="F121" s="19">
        <f t="shared" si="35"/>
        <v>43385574.133333333</v>
      </c>
      <c r="G121" s="15">
        <f t="shared" si="34"/>
        <v>659433.33333333337</v>
      </c>
      <c r="H121" s="15">
        <v>0</v>
      </c>
      <c r="I121" s="16">
        <f t="shared" si="36"/>
        <v>1239.7346666666667</v>
      </c>
      <c r="J121" s="15">
        <f>J119+($J$186-$J$156)/15</f>
        <v>659433.33333333337</v>
      </c>
      <c r="K121" s="16">
        <f>L121*M121/1000000</f>
        <v>0</v>
      </c>
      <c r="L121" s="15">
        <f t="shared" si="38"/>
        <v>1053849.2666666666</v>
      </c>
      <c r="M121">
        <v>0</v>
      </c>
      <c r="N121">
        <f t="shared" ref="N121:N149" si="39">N119</f>
        <v>1.88</v>
      </c>
    </row>
    <row r="122" spans="1:16" x14ac:dyDescent="0.15">
      <c r="A122">
        <f>A120+1</f>
        <v>2</v>
      </c>
      <c r="B122" s="10">
        <f>B120+1</f>
        <v>2017</v>
      </c>
      <c r="C122" s="20">
        <f t="shared" si="32"/>
        <v>22.975634533463207</v>
      </c>
      <c r="D122" s="17">
        <f t="shared" si="37"/>
        <v>25.002717526087658</v>
      </c>
      <c r="E122" s="18">
        <f t="shared" si="33"/>
        <v>42.726140799999996</v>
      </c>
      <c r="F122" s="19">
        <f t="shared" si="35"/>
        <v>42726140.799999997</v>
      </c>
      <c r="G122" s="15">
        <f t="shared" si="34"/>
        <v>1220423.7333333334</v>
      </c>
      <c r="H122" s="15">
        <f>H120+(H$19-H$4)/15</f>
        <v>201830.40000000002</v>
      </c>
      <c r="I122" s="16">
        <f t="shared" si="36"/>
        <v>1914.9554666666666</v>
      </c>
      <c r="J122" s="15">
        <f>J120+($J$185-$J$155)/15</f>
        <v>1018593.3333333333</v>
      </c>
      <c r="K122" s="16">
        <f>L122*$M$118/1000000</f>
        <v>28.5989544</v>
      </c>
      <c r="L122" s="15">
        <f t="shared" si="38"/>
        <v>1059220.5333333332</v>
      </c>
      <c r="M122">
        <v>27</v>
      </c>
      <c r="N122">
        <f t="shared" si="39"/>
        <v>1.88</v>
      </c>
    </row>
    <row r="123" spans="1:16" x14ac:dyDescent="0.15">
      <c r="B123" s="10">
        <f>B122+0.5</f>
        <v>2017.5</v>
      </c>
      <c r="C123" s="20">
        <f t="shared" si="32"/>
        <v>1.820114729640554</v>
      </c>
      <c r="D123" s="17">
        <f t="shared" si="37"/>
        <v>1.88</v>
      </c>
      <c r="E123" s="18">
        <f t="shared" si="33"/>
        <v>41.505717066666662</v>
      </c>
      <c r="F123" s="19">
        <f t="shared" si="35"/>
        <v>41505717.066666663</v>
      </c>
      <c r="G123" s="15">
        <f t="shared" si="34"/>
        <v>727566.66666666674</v>
      </c>
      <c r="H123" s="15">
        <v>0</v>
      </c>
      <c r="I123" s="16">
        <f t="shared" si="36"/>
        <v>1367.8253333333334</v>
      </c>
      <c r="J123" s="15">
        <f>J121+($J$186-$J$156)/15</f>
        <v>727566.66666666674</v>
      </c>
      <c r="K123" s="16">
        <f>L123*M123/1000000</f>
        <v>0</v>
      </c>
      <c r="L123" s="15">
        <f t="shared" si="38"/>
        <v>1059220.5333333332</v>
      </c>
      <c r="M123">
        <v>0</v>
      </c>
      <c r="N123">
        <f t="shared" si="39"/>
        <v>1.88</v>
      </c>
    </row>
    <row r="124" spans="1:16" x14ac:dyDescent="0.15">
      <c r="A124">
        <f>A122+1</f>
        <v>3</v>
      </c>
      <c r="B124" s="10">
        <f>B122+1</f>
        <v>2018</v>
      </c>
      <c r="C124" s="20">
        <f t="shared" si="32"/>
        <v>21.506308359133278</v>
      </c>
      <c r="D124" s="17">
        <f t="shared" si="37"/>
        <v>23.32490014504004</v>
      </c>
      <c r="E124" s="18">
        <f t="shared" si="33"/>
        <v>40.778150400000001</v>
      </c>
      <c r="F124" s="19">
        <f t="shared" si="35"/>
        <v>40778150.399999999</v>
      </c>
      <c r="G124" s="15">
        <f t="shared" ref="G124:G149" si="40">H124+J124</f>
        <v>1322117.6000000001</v>
      </c>
      <c r="H124" s="15">
        <f>H122+(H$19-H$4)/15</f>
        <v>208137.60000000003</v>
      </c>
      <c r="I124" s="16">
        <f t="shared" si="36"/>
        <v>2094.2824000000001</v>
      </c>
      <c r="J124" s="15">
        <f>J122+($J$185-$J$155)/15</f>
        <v>1113980</v>
      </c>
      <c r="K124" s="16">
        <f>L124*$M$118/1000000</f>
        <v>28.743978599999995</v>
      </c>
      <c r="L124" s="15">
        <f t="shared" si="38"/>
        <v>1064591.7999999998</v>
      </c>
      <c r="M124">
        <v>27</v>
      </c>
      <c r="N124">
        <f t="shared" si="39"/>
        <v>1.88</v>
      </c>
    </row>
    <row r="125" spans="1:16" x14ac:dyDescent="0.15">
      <c r="B125" s="10">
        <f>B124+0.5</f>
        <v>2018.5</v>
      </c>
      <c r="C125" s="20">
        <f t="shared" si="32"/>
        <v>1.8121582691574272</v>
      </c>
      <c r="D125" s="17">
        <f t="shared" si="37"/>
        <v>1.88</v>
      </c>
      <c r="E125" s="18">
        <f t="shared" si="33"/>
        <v>39.456032799999996</v>
      </c>
      <c r="F125" s="19">
        <f t="shared" si="35"/>
        <v>39456032.799999997</v>
      </c>
      <c r="G125" s="15">
        <f t="shared" si="40"/>
        <v>795700.00000000012</v>
      </c>
      <c r="H125" s="15">
        <v>0</v>
      </c>
      <c r="I125" s="16">
        <f t="shared" si="36"/>
        <v>1495.9160000000002</v>
      </c>
      <c r="J125" s="15">
        <f>J123+($J$186-$J$156)/15</f>
        <v>795700.00000000012</v>
      </c>
      <c r="K125" s="16">
        <f>L125*M125/1000000</f>
        <v>0</v>
      </c>
      <c r="L125" s="15">
        <f t="shared" si="38"/>
        <v>1064591.7999999998</v>
      </c>
      <c r="M125">
        <v>0</v>
      </c>
      <c r="N125">
        <f t="shared" si="39"/>
        <v>1.88</v>
      </c>
    </row>
    <row r="126" spans="1:16" x14ac:dyDescent="0.15">
      <c r="A126">
        <f>A124+1</f>
        <v>4</v>
      </c>
      <c r="B126" s="10">
        <f>B124+1</f>
        <v>2019</v>
      </c>
      <c r="C126" s="20">
        <f t="shared" si="32"/>
        <v>20.225061416065031</v>
      </c>
      <c r="D126" s="17">
        <f t="shared" si="37"/>
        <v>21.886754575933551</v>
      </c>
      <c r="E126" s="18">
        <f t="shared" si="33"/>
        <v>38.660332799999999</v>
      </c>
      <c r="F126" s="19">
        <f t="shared" si="35"/>
        <v>38660332.799999997</v>
      </c>
      <c r="G126" s="15">
        <f t="shared" si="40"/>
        <v>1423811.4666666668</v>
      </c>
      <c r="H126" s="15">
        <f>H124+(H$19-H$4)/15</f>
        <v>214444.80000000005</v>
      </c>
      <c r="I126" s="16">
        <f t="shared" si="36"/>
        <v>2273.6093333333333</v>
      </c>
      <c r="J126" s="15">
        <f>J124+($J$185-$J$155)/15</f>
        <v>1209366.6666666667</v>
      </c>
      <c r="K126" s="16">
        <f>L126*$M$118/1000000</f>
        <v>28.889002799999993</v>
      </c>
      <c r="L126" s="15">
        <f t="shared" si="38"/>
        <v>1069963.0666666664</v>
      </c>
      <c r="M126">
        <v>27</v>
      </c>
      <c r="N126">
        <f t="shared" si="39"/>
        <v>1.88</v>
      </c>
    </row>
    <row r="127" spans="1:16" x14ac:dyDescent="0.15">
      <c r="B127" s="10">
        <f>B126+0.5</f>
        <v>2019.5</v>
      </c>
      <c r="C127" s="20">
        <f t="shared" si="32"/>
        <v>1.8029801838632182</v>
      </c>
      <c r="D127" s="17">
        <f t="shared" si="37"/>
        <v>1.88</v>
      </c>
      <c r="E127" s="18">
        <f t="shared" si="33"/>
        <v>37.236521333333336</v>
      </c>
      <c r="F127" s="19">
        <f t="shared" si="35"/>
        <v>37236521.333333336</v>
      </c>
      <c r="G127" s="15">
        <f t="shared" si="40"/>
        <v>863833.33333333349</v>
      </c>
      <c r="H127" s="15">
        <v>0</v>
      </c>
      <c r="I127" s="16">
        <f t="shared" si="36"/>
        <v>1624.0066666666669</v>
      </c>
      <c r="J127" s="15">
        <f>J125+($J$186-$J$156)/15</f>
        <v>863833.33333333349</v>
      </c>
      <c r="K127" s="16">
        <f>L127*M127/1000000</f>
        <v>0</v>
      </c>
      <c r="L127" s="15">
        <f t="shared" si="38"/>
        <v>1069963.0666666664</v>
      </c>
      <c r="M127">
        <v>0</v>
      </c>
      <c r="N127">
        <f t="shared" si="39"/>
        <v>1.88</v>
      </c>
    </row>
    <row r="128" spans="1:16" x14ac:dyDescent="0.15">
      <c r="A128">
        <f>A126+1</f>
        <v>5</v>
      </c>
      <c r="B128" s="10">
        <f>B126+1</f>
        <v>2020</v>
      </c>
      <c r="C128" s="20">
        <f t="shared" si="32"/>
        <v>19.094560032013323</v>
      </c>
      <c r="D128" s="17">
        <f t="shared" si="37"/>
        <v>20.640349514783729</v>
      </c>
      <c r="E128" s="18">
        <f t="shared" si="33"/>
        <v>36.372687999999997</v>
      </c>
      <c r="F128" s="19">
        <f t="shared" si="35"/>
        <v>36372688</v>
      </c>
      <c r="G128" s="15">
        <f t="shared" si="40"/>
        <v>1525505.3333333335</v>
      </c>
      <c r="H128" s="15">
        <f>H126+(H$19-H$4)/15</f>
        <v>220752.00000000006</v>
      </c>
      <c r="I128" s="16">
        <f t="shared" si="36"/>
        <v>2452.9362666666671</v>
      </c>
      <c r="J128" s="15">
        <f>J126+($J$185-$J$155)/15</f>
        <v>1304753.3333333335</v>
      </c>
      <c r="K128" s="16">
        <f>L128*$M$118/1000000</f>
        <v>29.034026999999991</v>
      </c>
      <c r="L128" s="15">
        <f t="shared" si="38"/>
        <v>1075334.333333333</v>
      </c>
      <c r="M128">
        <v>27</v>
      </c>
      <c r="N128">
        <f t="shared" si="39"/>
        <v>1.88</v>
      </c>
    </row>
    <row r="129" spans="1:16" x14ac:dyDescent="0.15">
      <c r="B129" s="10">
        <f>B128+0.5</f>
        <v>2020.5</v>
      </c>
      <c r="C129" s="20">
        <f t="shared" si="32"/>
        <v>1.7922128602113296</v>
      </c>
      <c r="D129" s="17">
        <f t="shared" si="37"/>
        <v>1.8799999999999997</v>
      </c>
      <c r="E129" s="18">
        <f t="shared" si="33"/>
        <v>34.847182666666662</v>
      </c>
      <c r="F129" s="19">
        <f t="shared" si="35"/>
        <v>34847182.666666664</v>
      </c>
      <c r="G129" s="15">
        <f t="shared" si="40"/>
        <v>931966.66666666686</v>
      </c>
      <c r="H129" s="15">
        <v>0</v>
      </c>
      <c r="I129" s="16">
        <f t="shared" si="36"/>
        <v>1752.0973333333334</v>
      </c>
      <c r="J129" s="15">
        <f>J127+($J$186-$J$156)/15</f>
        <v>931966.66666666686</v>
      </c>
      <c r="K129" s="16">
        <f>L129*M129/1000000</f>
        <v>0</v>
      </c>
      <c r="L129" s="15">
        <f t="shared" si="38"/>
        <v>1075334.333333333</v>
      </c>
      <c r="M129">
        <v>0</v>
      </c>
      <c r="N129">
        <f t="shared" si="39"/>
        <v>1.88</v>
      </c>
    </row>
    <row r="130" spans="1:16" x14ac:dyDescent="0.15">
      <c r="A130">
        <f>A128+1</f>
        <v>6</v>
      </c>
      <c r="B130" s="10">
        <f>B128+1</f>
        <v>2021</v>
      </c>
      <c r="C130" s="20">
        <f t="shared" si="32"/>
        <v>18.085482241890997</v>
      </c>
      <c r="D130" s="17">
        <f t="shared" si="37"/>
        <v>19.549735766831734</v>
      </c>
      <c r="E130" s="18">
        <f t="shared" si="33"/>
        <v>33.915216000000001</v>
      </c>
      <c r="F130" s="19">
        <f t="shared" si="35"/>
        <v>33915216</v>
      </c>
      <c r="G130" s="15">
        <f t="shared" si="40"/>
        <v>1627199.2000000002</v>
      </c>
      <c r="H130" s="15">
        <f>H128+(H$19-H$4)/15</f>
        <v>227059.20000000007</v>
      </c>
      <c r="I130" s="16">
        <f t="shared" si="36"/>
        <v>2632.2632000000003</v>
      </c>
      <c r="J130" s="15">
        <f>J128+($J$185-$J$155)/15</f>
        <v>1400140.0000000002</v>
      </c>
      <c r="K130" s="16">
        <f>L130*$M$118/1000000</f>
        <v>29.179051199999989</v>
      </c>
      <c r="L130" s="15">
        <f t="shared" si="38"/>
        <v>1080705.5999999996</v>
      </c>
      <c r="M130">
        <v>27</v>
      </c>
      <c r="N130">
        <f t="shared" si="39"/>
        <v>1.88</v>
      </c>
    </row>
    <row r="131" spans="1:16" x14ac:dyDescent="0.15">
      <c r="B131" s="10">
        <f>B130+0.5</f>
        <v>2021.5</v>
      </c>
      <c r="C131" s="20">
        <f t="shared" si="32"/>
        <v>1.7793335829367711</v>
      </c>
      <c r="D131" s="17">
        <f t="shared" si="37"/>
        <v>1.88</v>
      </c>
      <c r="E131" s="18">
        <f t="shared" si="33"/>
        <v>32.288016800000001</v>
      </c>
      <c r="F131" s="19">
        <f t="shared" si="35"/>
        <v>32288016.800000001</v>
      </c>
      <c r="G131" s="15">
        <f t="shared" si="40"/>
        <v>1000100.0000000002</v>
      </c>
      <c r="H131" s="15">
        <v>0</v>
      </c>
      <c r="I131" s="16">
        <f t="shared" si="36"/>
        <v>1880.1880000000003</v>
      </c>
      <c r="J131" s="15">
        <f>J129+($J$186-$J$156)/15</f>
        <v>1000100.0000000002</v>
      </c>
      <c r="K131" s="16">
        <f>L131*M131/1000000</f>
        <v>0</v>
      </c>
      <c r="L131" s="15">
        <f t="shared" si="38"/>
        <v>1080705.5999999996</v>
      </c>
      <c r="M131">
        <v>0</v>
      </c>
      <c r="N131">
        <f t="shared" si="39"/>
        <v>1.88</v>
      </c>
    </row>
    <row r="132" spans="1:16" x14ac:dyDescent="0.15">
      <c r="A132">
        <f>A130+1</f>
        <v>7</v>
      </c>
      <c r="B132" s="10">
        <f>B130+1</f>
        <v>2022</v>
      </c>
      <c r="C132" s="20">
        <f t="shared" si="32"/>
        <v>17.17388631302553</v>
      </c>
      <c r="D132" s="17">
        <f t="shared" si="37"/>
        <v>18.587422295174903</v>
      </c>
      <c r="E132" s="18">
        <f t="shared" si="33"/>
        <v>31.287916800000001</v>
      </c>
      <c r="F132" s="19">
        <f t="shared" si="35"/>
        <v>31287916.800000001</v>
      </c>
      <c r="G132" s="15">
        <f t="shared" si="40"/>
        <v>1728893.0666666671</v>
      </c>
      <c r="H132" s="15">
        <f>H130+(H$19-H$4)/15</f>
        <v>233366.40000000008</v>
      </c>
      <c r="I132" s="16">
        <f t="shared" si="36"/>
        <v>2811.5901333333341</v>
      </c>
      <c r="J132" s="15">
        <f>J130+($J$185-$J$155)/15</f>
        <v>1495526.666666667</v>
      </c>
      <c r="K132" s="16">
        <f>L132*$M$118/1000000</f>
        <v>29.324075399999987</v>
      </c>
      <c r="L132" s="15">
        <f t="shared" si="38"/>
        <v>1086076.8666666662</v>
      </c>
      <c r="M132">
        <v>27</v>
      </c>
      <c r="N132">
        <f t="shared" si="39"/>
        <v>1.88</v>
      </c>
    </row>
    <row r="133" spans="1:16" x14ac:dyDescent="0.15">
      <c r="B133" s="10">
        <f>B132+0.5</f>
        <v>2022.5</v>
      </c>
      <c r="C133" s="20">
        <f t="shared" si="32"/>
        <v>1.7635718166569305</v>
      </c>
      <c r="D133" s="17">
        <f t="shared" si="37"/>
        <v>1.88</v>
      </c>
      <c r="E133" s="18">
        <f t="shared" si="33"/>
        <v>29.559023733333333</v>
      </c>
      <c r="F133" s="19">
        <f t="shared" si="35"/>
        <v>29559023.733333334</v>
      </c>
      <c r="G133" s="15">
        <f t="shared" si="40"/>
        <v>1068233.3333333335</v>
      </c>
      <c r="H133" s="15">
        <v>0</v>
      </c>
      <c r="I133" s="16">
        <f t="shared" si="36"/>
        <v>2008.2786666666668</v>
      </c>
      <c r="J133" s="15">
        <f>J131+($J$186-$J$156)/15</f>
        <v>1068233.3333333335</v>
      </c>
      <c r="K133" s="16">
        <f>L133*M133/1000000</f>
        <v>0</v>
      </c>
      <c r="L133" s="15">
        <f t="shared" si="38"/>
        <v>1086076.8666666662</v>
      </c>
      <c r="M133">
        <v>0</v>
      </c>
      <c r="N133">
        <f t="shared" si="39"/>
        <v>1.88</v>
      </c>
      <c r="O133" s="15">
        <v>3871920</v>
      </c>
      <c r="P133" t="s">
        <v>911</v>
      </c>
    </row>
    <row r="134" spans="1:16" x14ac:dyDescent="0.15">
      <c r="A134">
        <f>A132+1</f>
        <v>8</v>
      </c>
      <c r="B134" s="10">
        <f>B132+1</f>
        <v>2023</v>
      </c>
      <c r="C134" s="20">
        <f t="shared" si="32"/>
        <v>16.3391218072817</v>
      </c>
      <c r="D134" s="17">
        <f t="shared" si="37"/>
        <v>17.732026857396981</v>
      </c>
      <c r="E134" s="18">
        <f t="shared" si="33"/>
        <v>28.490790400000002</v>
      </c>
      <c r="F134" s="19">
        <f t="shared" si="35"/>
        <v>28490790.400000002</v>
      </c>
      <c r="G134" s="15">
        <f t="shared" si="40"/>
        <v>1830586.9333333338</v>
      </c>
      <c r="H134" s="15">
        <f>H132+(H$19-H$4)/15</f>
        <v>239673.60000000009</v>
      </c>
      <c r="I134" s="16">
        <f t="shared" si="36"/>
        <v>2990.9170666666673</v>
      </c>
      <c r="J134" s="15">
        <f>J132+($J$185-$J$155)/15</f>
        <v>1590913.3333333337</v>
      </c>
      <c r="K134" s="16">
        <f>L134*$M$118/1000000</f>
        <v>29.469099599999986</v>
      </c>
      <c r="L134" s="15">
        <f t="shared" si="38"/>
        <v>1091448.1333333328</v>
      </c>
      <c r="M134">
        <v>27</v>
      </c>
      <c r="N134">
        <f t="shared" si="39"/>
        <v>1.88</v>
      </c>
      <c r="O134" s="16">
        <v>118000000</v>
      </c>
      <c r="P134" t="s">
        <v>755</v>
      </c>
    </row>
    <row r="135" spans="1:16" x14ac:dyDescent="0.15">
      <c r="B135" s="10">
        <f>B134+0.5</f>
        <v>2023.5</v>
      </c>
      <c r="C135" s="20">
        <f t="shared" si="32"/>
        <v>1.743741178549445</v>
      </c>
      <c r="D135" s="17">
        <f t="shared" si="37"/>
        <v>1.8799999999999997</v>
      </c>
      <c r="E135" s="18">
        <f t="shared" si="33"/>
        <v>26.660203466666669</v>
      </c>
      <c r="F135" s="19">
        <f t="shared" si="35"/>
        <v>26660203.466666669</v>
      </c>
      <c r="G135" s="15">
        <f t="shared" si="40"/>
        <v>1136366.6666666667</v>
      </c>
      <c r="H135" s="15">
        <v>0</v>
      </c>
      <c r="I135" s="16">
        <f t="shared" si="36"/>
        <v>2136.3693333333331</v>
      </c>
      <c r="J135" s="15">
        <f>J133+($J$186-$J$156)/15</f>
        <v>1136366.6666666667</v>
      </c>
      <c r="K135" s="16">
        <f>L135*M135/1000000</f>
        <v>0</v>
      </c>
      <c r="L135" s="15">
        <f t="shared" si="38"/>
        <v>1091448.1333333328</v>
      </c>
      <c r="M135">
        <v>0</v>
      </c>
      <c r="N135">
        <f t="shared" si="39"/>
        <v>1.88</v>
      </c>
      <c r="O135" s="15">
        <v>2932848</v>
      </c>
      <c r="P135" t="s">
        <v>966</v>
      </c>
    </row>
    <row r="136" spans="1:16" x14ac:dyDescent="0.15">
      <c r="A136">
        <f>A134+1</f>
        <v>9</v>
      </c>
      <c r="B136" s="10">
        <f>B134+1</f>
        <v>2024</v>
      </c>
      <c r="C136" s="20">
        <f t="shared" si="32"/>
        <v>15.561819282131973</v>
      </c>
      <c r="D136" s="17">
        <f t="shared" si="37"/>
        <v>16.966668509048983</v>
      </c>
      <c r="E136" s="18">
        <f t="shared" si="33"/>
        <v>25.523836800000002</v>
      </c>
      <c r="F136" s="19">
        <f t="shared" si="35"/>
        <v>25523836.800000001</v>
      </c>
      <c r="G136" s="15">
        <f t="shared" si="40"/>
        <v>1932280.8000000005</v>
      </c>
      <c r="H136" s="15">
        <f>H134+(H$19-H$4)/15</f>
        <v>245980.8000000001</v>
      </c>
      <c r="I136" s="16">
        <f t="shared" si="36"/>
        <v>3170.2440000000011</v>
      </c>
      <c r="J136" s="15">
        <f>J134+($J$185-$J$155)/15</f>
        <v>1686300.0000000005</v>
      </c>
      <c r="K136" s="16">
        <f>L136*$M$118/1000000</f>
        <v>29.614123799999987</v>
      </c>
      <c r="L136" s="15">
        <f t="shared" si="38"/>
        <v>1096819.3999999994</v>
      </c>
      <c r="M136">
        <v>27</v>
      </c>
      <c r="N136">
        <f t="shared" si="39"/>
        <v>1.88</v>
      </c>
      <c r="O136" s="15">
        <v>283824</v>
      </c>
      <c r="P136" t="s">
        <v>911</v>
      </c>
    </row>
    <row r="137" spans="1:16" x14ac:dyDescent="0.15">
      <c r="B137" s="10">
        <f>B136+0.5</f>
        <v>2024.5</v>
      </c>
      <c r="C137" s="20">
        <f t="shared" si="32"/>
        <v>1.7179135156098504</v>
      </c>
      <c r="D137" s="17">
        <f t="shared" si="37"/>
        <v>1.88</v>
      </c>
      <c r="E137" s="18">
        <f t="shared" si="33"/>
        <v>23.591556000000001</v>
      </c>
      <c r="F137" s="19">
        <f t="shared" si="35"/>
        <v>23591556</v>
      </c>
      <c r="G137" s="15">
        <f t="shared" si="40"/>
        <v>1204500</v>
      </c>
      <c r="H137" s="15">
        <v>0</v>
      </c>
      <c r="I137" s="16">
        <f t="shared" si="36"/>
        <v>2264.46</v>
      </c>
      <c r="J137" s="15">
        <f>J135+($J$186-$J$156)/15</f>
        <v>1204500</v>
      </c>
      <c r="K137" s="16">
        <f>L137*M137/1000000</f>
        <v>0</v>
      </c>
      <c r="L137" s="15">
        <f t="shared" si="38"/>
        <v>1096819.3999999994</v>
      </c>
      <c r="M137">
        <v>0</v>
      </c>
      <c r="N137">
        <f t="shared" si="39"/>
        <v>1.88</v>
      </c>
      <c r="O137" s="15">
        <f>6*60*60*24*365/1000</f>
        <v>189216</v>
      </c>
      <c r="P137" t="s">
        <v>1105</v>
      </c>
    </row>
    <row r="138" spans="1:16" x14ac:dyDescent="0.15">
      <c r="A138">
        <f>A136+1</f>
        <v>10</v>
      </c>
      <c r="B138" s="10">
        <f>B136+1</f>
        <v>2025</v>
      </c>
      <c r="C138" s="20">
        <f t="shared" si="32"/>
        <v>14.821323491375285</v>
      </c>
      <c r="D138" s="17">
        <f t="shared" si="37"/>
        <v>16.277842333008397</v>
      </c>
      <c r="E138" s="18">
        <f t="shared" si="33"/>
        <v>22.387056000000001</v>
      </c>
      <c r="F138" s="19">
        <f t="shared" si="35"/>
        <v>22387056</v>
      </c>
      <c r="G138" s="15">
        <f t="shared" si="40"/>
        <v>2033974.6666666674</v>
      </c>
      <c r="H138" s="15">
        <f>H136+(H$19-H$4)/15</f>
        <v>252288.00000000012</v>
      </c>
      <c r="I138" s="16">
        <f t="shared" si="36"/>
        <v>3349.5709333333339</v>
      </c>
      <c r="J138" s="15">
        <f>J136+($J$185-$J$155)/15</f>
        <v>1781686.6666666672</v>
      </c>
      <c r="K138" s="16">
        <f>L138*$M$118/1000000</f>
        <v>29.759147999999986</v>
      </c>
      <c r="L138" s="15">
        <f t="shared" si="38"/>
        <v>1102190.666666666</v>
      </c>
      <c r="M138">
        <v>27</v>
      </c>
      <c r="N138">
        <f t="shared" si="39"/>
        <v>1.88</v>
      </c>
      <c r="O138" s="15">
        <f>36*60*60*24*365/1000</f>
        <v>1135296</v>
      </c>
      <c r="P138" t="s">
        <v>1106</v>
      </c>
    </row>
    <row r="139" spans="1:16" x14ac:dyDescent="0.15">
      <c r="B139" s="10">
        <f>B138+0.5</f>
        <v>2025.5</v>
      </c>
      <c r="C139" s="20">
        <f t="shared" si="32"/>
        <v>1.6827297794908829</v>
      </c>
      <c r="D139" s="17">
        <f t="shared" si="37"/>
        <v>1.88</v>
      </c>
      <c r="E139" s="18">
        <f t="shared" si="33"/>
        <v>20.353081333333332</v>
      </c>
      <c r="F139" s="19">
        <f t="shared" si="35"/>
        <v>20353081.333333332</v>
      </c>
      <c r="G139" s="15">
        <f t="shared" si="40"/>
        <v>1272633.3333333333</v>
      </c>
      <c r="H139" s="15">
        <v>0</v>
      </c>
      <c r="I139" s="16">
        <f t="shared" si="36"/>
        <v>2392.5506666666665</v>
      </c>
      <c r="J139" s="15">
        <f>J137+($J$186-$J$156)/15</f>
        <v>1272633.3333333333</v>
      </c>
      <c r="K139" s="16">
        <f>L139*M139/1000000</f>
        <v>0</v>
      </c>
      <c r="L139" s="15">
        <f t="shared" si="38"/>
        <v>1102190.666666666</v>
      </c>
      <c r="M139">
        <v>0</v>
      </c>
      <c r="N139">
        <f t="shared" si="39"/>
        <v>1.88</v>
      </c>
      <c r="O139" s="15">
        <f>18*60*60*24*365/1000</f>
        <v>567648</v>
      </c>
      <c r="P139" t="s">
        <v>964</v>
      </c>
    </row>
    <row r="140" spans="1:16" x14ac:dyDescent="0.15">
      <c r="A140">
        <f>A138+1</f>
        <v>11</v>
      </c>
      <c r="B140" s="10">
        <f>B138+1</f>
        <v>2026</v>
      </c>
      <c r="C140" s="20">
        <f t="shared" si="32"/>
        <v>14.091235900372768</v>
      </c>
      <c r="D140" s="17">
        <f t="shared" si="37"/>
        <v>15.654615660083067</v>
      </c>
      <c r="E140" s="18">
        <f t="shared" si="33"/>
        <v>19.080448000000001</v>
      </c>
      <c r="F140" s="19">
        <f t="shared" si="35"/>
        <v>19080448</v>
      </c>
      <c r="G140" s="15">
        <f t="shared" si="40"/>
        <v>2135668.5333333341</v>
      </c>
      <c r="H140" s="15">
        <f>H138+(H$19-H$4)/15</f>
        <v>258595.20000000013</v>
      </c>
      <c r="I140" s="16">
        <f t="shared" si="36"/>
        <v>3528.8978666666676</v>
      </c>
      <c r="J140" s="15">
        <f>J138+($J$185-$J$155)/15</f>
        <v>1877073.333333334</v>
      </c>
      <c r="K140" s="16">
        <f>L140*$M$118/1000000</f>
        <v>29.90417219999998</v>
      </c>
      <c r="L140" s="15">
        <f t="shared" si="38"/>
        <v>1107561.9333333327</v>
      </c>
      <c r="M140">
        <v>27</v>
      </c>
      <c r="N140">
        <f t="shared" si="39"/>
        <v>1.88</v>
      </c>
      <c r="O140" s="15">
        <v>1129047</v>
      </c>
      <c r="P140" t="s">
        <v>1150</v>
      </c>
    </row>
    <row r="141" spans="1:16" x14ac:dyDescent="0.15">
      <c r="B141" s="10">
        <f>B140+0.5</f>
        <v>2026.5</v>
      </c>
      <c r="C141" s="20">
        <f t="shared" si="32"/>
        <v>1.6317677158162835</v>
      </c>
      <c r="D141" s="17">
        <f t="shared" si="37"/>
        <v>1.88</v>
      </c>
      <c r="E141" s="18">
        <f t="shared" si="33"/>
        <v>16.94477946666667</v>
      </c>
      <c r="F141" s="19">
        <f t="shared" si="35"/>
        <v>16944779.466666669</v>
      </c>
      <c r="G141" s="15">
        <f t="shared" si="40"/>
        <v>1340766.6666666665</v>
      </c>
      <c r="H141" s="15">
        <v>0</v>
      </c>
      <c r="I141" s="16">
        <f t="shared" si="36"/>
        <v>2520.641333333333</v>
      </c>
      <c r="J141" s="15">
        <f>J139+($J$186-$J$156)/15</f>
        <v>1340766.6666666665</v>
      </c>
      <c r="K141" s="16">
        <f>L141*M141/1000000</f>
        <v>0</v>
      </c>
      <c r="L141" s="15">
        <f t="shared" si="38"/>
        <v>1107561.9333333327</v>
      </c>
      <c r="M141">
        <v>0</v>
      </c>
      <c r="N141">
        <f t="shared" si="39"/>
        <v>1.88</v>
      </c>
      <c r="O141" s="15">
        <v>1048478</v>
      </c>
      <c r="P141" t="s">
        <v>1149</v>
      </c>
    </row>
    <row r="142" spans="1:16" x14ac:dyDescent="0.15">
      <c r="A142">
        <f>A140+1</f>
        <v>12</v>
      </c>
      <c r="B142" s="10">
        <f>B140+1</f>
        <v>2027</v>
      </c>
      <c r="C142" s="20">
        <f t="shared" si="32"/>
        <v>13.329305296102458</v>
      </c>
      <c r="D142" s="17">
        <f t="shared" si="37"/>
        <v>15.088043492641143</v>
      </c>
      <c r="E142" s="18">
        <f t="shared" si="33"/>
        <v>15.604012800000001</v>
      </c>
      <c r="F142" s="19">
        <f t="shared" si="35"/>
        <v>15604012.800000001</v>
      </c>
      <c r="G142" s="15">
        <f t="shared" si="40"/>
        <v>2237362.4000000008</v>
      </c>
      <c r="H142" s="15">
        <f>H140+(H$19-H$4)/15</f>
        <v>264902.40000000014</v>
      </c>
      <c r="I142" s="16">
        <f t="shared" si="36"/>
        <v>3708.2248000000009</v>
      </c>
      <c r="J142" s="15">
        <f>J140+($J$185-$J$155)/15</f>
        <v>1972460.0000000007</v>
      </c>
      <c r="K142" s="16">
        <f>L142*$M$118/1000000</f>
        <v>30.049196399999978</v>
      </c>
      <c r="L142" s="15">
        <f t="shared" si="38"/>
        <v>1112933.1999999993</v>
      </c>
      <c r="M142">
        <v>27</v>
      </c>
      <c r="N142">
        <f t="shared" si="39"/>
        <v>1.88</v>
      </c>
      <c r="O142" s="10">
        <f>7/12</f>
        <v>0.58333333333333337</v>
      </c>
      <c r="P142" s="10" t="s">
        <v>1086</v>
      </c>
    </row>
    <row r="143" spans="1:16" x14ac:dyDescent="0.15">
      <c r="B143" s="10">
        <f>B142+0.5</f>
        <v>2027.5</v>
      </c>
      <c r="C143" s="20">
        <f t="shared" si="32"/>
        <v>1.551015127220404</v>
      </c>
      <c r="D143" s="17">
        <f t="shared" si="37"/>
        <v>1.88</v>
      </c>
      <c r="E143" s="18">
        <f t="shared" si="33"/>
        <v>13.366650400000001</v>
      </c>
      <c r="F143" s="19">
        <f t="shared" si="35"/>
        <v>13366650.4</v>
      </c>
      <c r="G143" s="15">
        <f t="shared" si="40"/>
        <v>1408899.9999999998</v>
      </c>
      <c r="H143" s="15">
        <v>0</v>
      </c>
      <c r="I143" s="16">
        <f t="shared" si="36"/>
        <v>2648.7319999999995</v>
      </c>
      <c r="J143" s="15">
        <f>J141+($J$186-$J$156)/15</f>
        <v>1408899.9999999998</v>
      </c>
      <c r="K143" s="16">
        <f>L143*M143/1000000</f>
        <v>0</v>
      </c>
      <c r="L143" s="15">
        <f t="shared" si="38"/>
        <v>1112933.1999999993</v>
      </c>
      <c r="M143">
        <v>0</v>
      </c>
      <c r="N143">
        <f t="shared" si="39"/>
        <v>1.88</v>
      </c>
      <c r="O143">
        <f>5/12</f>
        <v>0.41666666666666669</v>
      </c>
      <c r="P143" s="10" t="s">
        <v>1087</v>
      </c>
    </row>
    <row r="144" spans="1:16" x14ac:dyDescent="0.15">
      <c r="A144">
        <f>A142+1</f>
        <v>13</v>
      </c>
      <c r="B144" s="10">
        <f>B142+1</f>
        <v>2028</v>
      </c>
      <c r="C144" s="20">
        <f t="shared" si="32"/>
        <v>12.44807646990985</v>
      </c>
      <c r="D144" s="17">
        <f t="shared" si="37"/>
        <v>14.570736420078694</v>
      </c>
      <c r="E144" s="18">
        <f t="shared" si="33"/>
        <v>11.9577504</v>
      </c>
      <c r="F144" s="19">
        <f t="shared" si="35"/>
        <v>11957750.4</v>
      </c>
      <c r="G144" s="15">
        <f t="shared" si="40"/>
        <v>2339056.2666666675</v>
      </c>
      <c r="H144" s="15">
        <f>H142+(H$19-H$4)/15</f>
        <v>271209.60000000015</v>
      </c>
      <c r="I144" s="16">
        <f t="shared" si="36"/>
        <v>3887.5517333333346</v>
      </c>
      <c r="J144" s="15">
        <f>J142+($J$185-$J$155)/15</f>
        <v>2067846.6666666674</v>
      </c>
      <c r="K144" s="16">
        <f>L144*$M$118/1000000</f>
        <v>30.19422059999998</v>
      </c>
      <c r="L144" s="15">
        <f t="shared" si="38"/>
        <v>1118304.4666666659</v>
      </c>
      <c r="M144">
        <v>27</v>
      </c>
      <c r="N144">
        <f t="shared" si="39"/>
        <v>1.88</v>
      </c>
      <c r="O144" s="15" t="s">
        <v>935</v>
      </c>
      <c r="P144" s="15" t="s">
        <v>1119</v>
      </c>
    </row>
    <row r="145" spans="1:16" x14ac:dyDescent="0.15">
      <c r="B145" s="10">
        <f>B144+0.5</f>
        <v>2028.5</v>
      </c>
      <c r="C145" s="20">
        <f t="shared" si="32"/>
        <v>1.4029487301436314</v>
      </c>
      <c r="D145" s="17">
        <f t="shared" si="37"/>
        <v>1.88</v>
      </c>
      <c r="E145" s="18">
        <f t="shared" si="33"/>
        <v>9.6186941333333333</v>
      </c>
      <c r="F145" s="19">
        <f t="shared" si="35"/>
        <v>9618694.1333333328</v>
      </c>
      <c r="G145" s="15">
        <f t="shared" si="40"/>
        <v>1477033.333333333</v>
      </c>
      <c r="H145" s="15">
        <v>0</v>
      </c>
      <c r="I145" s="16">
        <f t="shared" si="36"/>
        <v>2776.822666666666</v>
      </c>
      <c r="J145" s="15">
        <f>J143+($J$186-$J$156)/15</f>
        <v>1477033.333333333</v>
      </c>
      <c r="K145" s="16">
        <f>L145*M145/1000000</f>
        <v>0</v>
      </c>
      <c r="L145" s="15">
        <f t="shared" si="38"/>
        <v>1118304.4666666659</v>
      </c>
      <c r="M145">
        <v>0</v>
      </c>
      <c r="N145">
        <f t="shared" si="39"/>
        <v>1.88</v>
      </c>
    </row>
    <row r="146" spans="1:16" x14ac:dyDescent="0.15">
      <c r="A146">
        <f>A144+1</f>
        <v>14</v>
      </c>
      <c r="B146" s="10">
        <f>B144+1</f>
        <v>2029</v>
      </c>
      <c r="C146" s="20">
        <f>(D146*G146+D148*F148)/F146</f>
        <v>11.198539937310846</v>
      </c>
      <c r="D146" s="17">
        <f t="shared" si="37"/>
        <v>14.09653655111274</v>
      </c>
      <c r="E146" s="18">
        <f t="shared" si="33"/>
        <v>8.1416608000000004</v>
      </c>
      <c r="F146" s="19">
        <f t="shared" si="35"/>
        <v>8141660.7999999998</v>
      </c>
      <c r="G146" s="15">
        <f t="shared" si="40"/>
        <v>2440750.1333333342</v>
      </c>
      <c r="H146" s="15">
        <f>H144+(H$19-H$4)/15</f>
        <v>277516.80000000016</v>
      </c>
      <c r="I146" s="16">
        <f t="shared" si="36"/>
        <v>4066.8786666666674</v>
      </c>
      <c r="J146" s="15">
        <f>J144+($J$185-$J$155)/15</f>
        <v>2163233.333333334</v>
      </c>
      <c r="K146" s="16">
        <f>L146*$M$118/1000000</f>
        <v>30.339244799999975</v>
      </c>
      <c r="L146" s="15">
        <f t="shared" si="38"/>
        <v>1123675.7333333325</v>
      </c>
      <c r="M146">
        <v>27</v>
      </c>
      <c r="N146">
        <f t="shared" si="39"/>
        <v>1.88</v>
      </c>
    </row>
    <row r="147" spans="1:16" x14ac:dyDescent="0.15">
      <c r="B147" s="10">
        <f>B146+0.5</f>
        <v>2029.5</v>
      </c>
      <c r="C147" s="20">
        <f>(D147*G147+D149*F149)/F147</f>
        <v>1.0415734749278651</v>
      </c>
      <c r="D147" s="17">
        <f t="shared" si="37"/>
        <v>1.88</v>
      </c>
      <c r="E147" s="18">
        <f t="shared" si="33"/>
        <v>5.7009106666666662</v>
      </c>
      <c r="F147" s="19">
        <f t="shared" si="35"/>
        <v>5700910.666666666</v>
      </c>
      <c r="G147" s="15">
        <f t="shared" si="40"/>
        <v>1545166.6666666663</v>
      </c>
      <c r="H147" s="15">
        <v>0</v>
      </c>
      <c r="I147" s="16">
        <f t="shared" si="36"/>
        <v>2904.9133333333325</v>
      </c>
      <c r="J147" s="15">
        <f>J145+($J$186-$J$156)/15</f>
        <v>1545166.6666666663</v>
      </c>
      <c r="K147" s="16">
        <f>L147*M147/1000000</f>
        <v>0</v>
      </c>
      <c r="L147" s="15">
        <f t="shared" si="38"/>
        <v>1123675.7333333325</v>
      </c>
      <c r="M147">
        <v>0</v>
      </c>
      <c r="N147">
        <f t="shared" si="39"/>
        <v>1.88</v>
      </c>
    </row>
    <row r="148" spans="1:16" x14ac:dyDescent="0.15">
      <c r="A148">
        <f>A146+1</f>
        <v>15</v>
      </c>
      <c r="B148" s="10">
        <f>B146+1</f>
        <v>2030</v>
      </c>
      <c r="C148" s="20">
        <f>(D148*G148+D149*F149)/F148</f>
        <v>9.0870560361754649</v>
      </c>
      <c r="D148" s="17">
        <f t="shared" si="37"/>
        <v>13.660271219346413</v>
      </c>
      <c r="E148" s="18">
        <f t="shared" si="33"/>
        <v>4.1557440000000003</v>
      </c>
      <c r="F148" s="19">
        <f>F149+H148+J148</f>
        <v>4155744</v>
      </c>
      <c r="G148" s="15">
        <f t="shared" si="40"/>
        <v>2542444</v>
      </c>
      <c r="H148" s="15">
        <f>H146+(H$19-H$4)/15</f>
        <v>283824.00000000017</v>
      </c>
      <c r="I148" s="16">
        <f t="shared" si="36"/>
        <v>4246.2055999999993</v>
      </c>
      <c r="J148" s="15">
        <f>O133*O142</f>
        <v>2258620</v>
      </c>
      <c r="K148" s="16">
        <f>L148*$M$118/1000000</f>
        <v>30.484268999999973</v>
      </c>
      <c r="L148" s="15">
        <f t="shared" si="38"/>
        <v>1129046.9999999991</v>
      </c>
      <c r="M148">
        <v>27</v>
      </c>
      <c r="N148">
        <f t="shared" si="39"/>
        <v>1.88</v>
      </c>
    </row>
    <row r="149" spans="1:16" x14ac:dyDescent="0.15">
      <c r="B149" s="10">
        <f>B148+0.5</f>
        <v>2030.5</v>
      </c>
      <c r="C149" s="20" t="e">
        <f>(D149*G149+#REF!*#REF!)/F149</f>
        <v>#REF!</v>
      </c>
      <c r="D149" s="17">
        <f t="shared" si="37"/>
        <v>1.88</v>
      </c>
      <c r="E149" s="18">
        <f t="shared" si="33"/>
        <v>1.6133</v>
      </c>
      <c r="F149" s="19">
        <f>F150+H149+J149</f>
        <v>1613300</v>
      </c>
      <c r="G149" s="15">
        <f t="shared" si="40"/>
        <v>1613300</v>
      </c>
      <c r="H149" s="15">
        <v>0</v>
      </c>
      <c r="I149" s="16">
        <f t="shared" si="36"/>
        <v>3033.0039999999999</v>
      </c>
      <c r="J149" s="15">
        <f>O133*O143</f>
        <v>1613300</v>
      </c>
      <c r="K149" s="16">
        <f>L149*M149/1000000</f>
        <v>0</v>
      </c>
      <c r="L149" s="15">
        <f t="shared" si="38"/>
        <v>1129046.9999999991</v>
      </c>
      <c r="M149">
        <v>0</v>
      </c>
      <c r="N149">
        <f t="shared" si="39"/>
        <v>1.88</v>
      </c>
    </row>
    <row r="150" spans="1:16" x14ac:dyDescent="0.15">
      <c r="C150" s="17"/>
      <c r="D150" s="7"/>
      <c r="E150" s="7"/>
      <c r="F150" s="15"/>
      <c r="G150" s="15"/>
      <c r="H150" s="15"/>
      <c r="I150" s="16"/>
      <c r="L150" s="15"/>
    </row>
    <row r="153" spans="1:16" ht="56" x14ac:dyDescent="0.15">
      <c r="A153" s="119" t="s">
        <v>1070</v>
      </c>
      <c r="B153" s="12"/>
      <c r="C153" s="12" t="s">
        <v>1172</v>
      </c>
      <c r="D153" s="13" t="s">
        <v>1166</v>
      </c>
      <c r="E153" s="13" t="s">
        <v>751</v>
      </c>
      <c r="F153" s="13" t="s">
        <v>751</v>
      </c>
      <c r="G153" s="13" t="s">
        <v>1088</v>
      </c>
      <c r="H153" s="13" t="s">
        <v>883</v>
      </c>
      <c r="I153" s="12" t="s">
        <v>1102</v>
      </c>
      <c r="J153" s="13" t="s">
        <v>897</v>
      </c>
      <c r="K153" s="13" t="s">
        <v>745</v>
      </c>
      <c r="L153" s="13" t="s">
        <v>898</v>
      </c>
      <c r="M153" s="12" t="s">
        <v>750</v>
      </c>
      <c r="N153" s="13" t="s">
        <v>1101</v>
      </c>
      <c r="O153" s="12"/>
      <c r="P153" s="12"/>
    </row>
    <row r="154" spans="1:16" x14ac:dyDescent="0.15">
      <c r="A154" s="1" t="s">
        <v>746</v>
      </c>
      <c r="B154" s="1" t="s">
        <v>747</v>
      </c>
      <c r="C154" s="1"/>
      <c r="D154" s="14" t="s">
        <v>748</v>
      </c>
      <c r="E154" s="14" t="s">
        <v>1104</v>
      </c>
      <c r="F154" s="14" t="s">
        <v>718</v>
      </c>
      <c r="G154" s="14" t="s">
        <v>749</v>
      </c>
      <c r="H154" s="14" t="s">
        <v>749</v>
      </c>
      <c r="I154" s="14" t="s">
        <v>884</v>
      </c>
      <c r="J154" s="14" t="s">
        <v>749</v>
      </c>
      <c r="K154" s="14" t="s">
        <v>884</v>
      </c>
      <c r="L154" s="14" t="s">
        <v>1144</v>
      </c>
      <c r="M154" s="1" t="s">
        <v>885</v>
      </c>
      <c r="N154" s="14" t="s">
        <v>748</v>
      </c>
      <c r="O154" s="1"/>
      <c r="P154" s="1"/>
    </row>
    <row r="155" spans="1:16" x14ac:dyDescent="0.15">
      <c r="A155">
        <v>0</v>
      </c>
      <c r="B155" s="10">
        <v>2015</v>
      </c>
      <c r="C155" s="20">
        <f t="shared" ref="C155:C182" si="41">(D155*G155+D157*F157)/F155</f>
        <v>1.301237563291139</v>
      </c>
      <c r="D155" s="17">
        <f>(K155*1000/G155*1000)+(I155/G155*1000)</f>
        <v>1.4435907594224786</v>
      </c>
      <c r="E155" s="18">
        <f t="shared" ref="E155:E185" si="42">F155/1000000</f>
        <v>49.140096000000007</v>
      </c>
      <c r="F155" s="19">
        <f t="shared" ref="F155:F184" si="43">F156+H155+J155</f>
        <v>49140096.000000007</v>
      </c>
      <c r="G155" s="15">
        <f t="shared" ref="G155:G160" si="44">H155+J155</f>
        <v>1017036</v>
      </c>
      <c r="H155" s="15">
        <f>6*60*60*24*365/1000</f>
        <v>189216</v>
      </c>
      <c r="I155" s="16">
        <f>J155*1000*$N156/1000000000</f>
        <v>0.31457160000000001</v>
      </c>
      <c r="J155" s="15">
        <f>45*60*60*24*365/1000*O$179</f>
        <v>827820</v>
      </c>
      <c r="K155" s="16">
        <f>L155*$M$155/1000000</f>
        <v>1.4678692</v>
      </c>
      <c r="L155" s="15">
        <v>1048478</v>
      </c>
      <c r="M155">
        <v>1.4</v>
      </c>
      <c r="N155" s="83">
        <v>0.38</v>
      </c>
    </row>
    <row r="156" spans="1:16" x14ac:dyDescent="0.15">
      <c r="B156" s="10">
        <v>2015.5</v>
      </c>
      <c r="C156" s="20">
        <f t="shared" si="41"/>
        <v>2.882904011428484E-4</v>
      </c>
      <c r="D156" s="81">
        <f t="shared" ref="D156:D186" si="45">(K156*1000/G156*1000)+(I156/G156*1000)</f>
        <v>2.8787878787878791E-4</v>
      </c>
      <c r="E156" s="18">
        <f>F156/1000000</f>
        <v>48.123060000000009</v>
      </c>
      <c r="F156" s="19">
        <f t="shared" si="43"/>
        <v>48123060.000000007</v>
      </c>
      <c r="G156" s="15">
        <f t="shared" si="44"/>
        <v>780516</v>
      </c>
      <c r="H156" s="15">
        <f>6*60*60*24*365/1000</f>
        <v>189216</v>
      </c>
      <c r="I156" s="16">
        <f>J156*1000*$N156/1000000000</f>
        <v>0.224694</v>
      </c>
      <c r="J156" s="15">
        <f>45*60*60*24*365/1000*O$180</f>
        <v>591300</v>
      </c>
      <c r="K156" s="16">
        <f>L156*M156/1000000</f>
        <v>0</v>
      </c>
      <c r="L156" s="15">
        <v>1048478</v>
      </c>
      <c r="M156">
        <v>0</v>
      </c>
      <c r="N156" s="83">
        <v>0.38</v>
      </c>
    </row>
    <row r="157" spans="1:16" x14ac:dyDescent="0.15">
      <c r="A157">
        <f>A155+1</f>
        <v>1</v>
      </c>
      <c r="B157" s="10">
        <f>B155+1</f>
        <v>2016</v>
      </c>
      <c r="C157" s="20">
        <f t="shared" si="41"/>
        <v>1.1965664569669321</v>
      </c>
      <c r="D157" s="81">
        <f t="shared" si="45"/>
        <v>1.3196324009823521</v>
      </c>
      <c r="E157" s="18">
        <f t="shared" si="42"/>
        <v>47.342544000000011</v>
      </c>
      <c r="F157" s="19">
        <f t="shared" si="43"/>
        <v>47342544.000000007</v>
      </c>
      <c r="G157" s="15">
        <f t="shared" si="44"/>
        <v>1118729.8666666667</v>
      </c>
      <c r="H157" s="15">
        <f>H155+(H$19-H$4)/15</f>
        <v>195523.20000000001</v>
      </c>
      <c r="I157" s="16">
        <f>J157*1000*$N$4/1000000000</f>
        <v>0.92320666666666662</v>
      </c>
      <c r="J157" s="15">
        <f>J155+($J$185-$J$155)/15</f>
        <v>923206.66666666663</v>
      </c>
      <c r="K157" s="16">
        <f t="shared" ref="K157:K185" si="46">L157*$M$155/1000000</f>
        <v>1.4753889733333332</v>
      </c>
      <c r="L157" s="15">
        <f t="shared" ref="L157:L182" si="47">L155+(L$19-L$4)/15</f>
        <v>1053849.2666666666</v>
      </c>
      <c r="M157">
        <v>1.4</v>
      </c>
      <c r="N157">
        <f t="shared" ref="N157:N186" si="48">N155</f>
        <v>0.38</v>
      </c>
    </row>
    <row r="158" spans="1:16" x14ac:dyDescent="0.15">
      <c r="B158" s="10">
        <v>2016.5</v>
      </c>
      <c r="C158" s="20">
        <f t="shared" si="41"/>
        <v>2.9349345646793239E-4</v>
      </c>
      <c r="D158" s="81">
        <f t="shared" si="45"/>
        <v>2.9527468746415873E-4</v>
      </c>
      <c r="E158" s="18">
        <f t="shared" si="42"/>
        <v>46.223814133333342</v>
      </c>
      <c r="F158" s="19">
        <f t="shared" si="43"/>
        <v>46223814.13333334</v>
      </c>
      <c r="G158" s="15">
        <f t="shared" si="44"/>
        <v>848649.33333333337</v>
      </c>
      <c r="H158" s="15">
        <f>6*60*60*24*365/1000</f>
        <v>189216</v>
      </c>
      <c r="I158" s="16">
        <f>J158*1000*$N158/1000000000</f>
        <v>0.25058466666666668</v>
      </c>
      <c r="J158" s="15">
        <f>J156+($J$186-$J$156)/15</f>
        <v>659433.33333333337</v>
      </c>
      <c r="K158" s="16">
        <f>L158*M158/1000000</f>
        <v>0</v>
      </c>
      <c r="L158" s="15">
        <f t="shared" si="47"/>
        <v>1053849.2666666666</v>
      </c>
      <c r="M158">
        <v>0</v>
      </c>
      <c r="N158">
        <f t="shared" si="48"/>
        <v>0.38</v>
      </c>
    </row>
    <row r="159" spans="1:16" x14ac:dyDescent="0.15">
      <c r="A159">
        <f>A157+1</f>
        <v>2</v>
      </c>
      <c r="B159" s="10">
        <f>B157+1</f>
        <v>2017</v>
      </c>
      <c r="C159" s="20">
        <f t="shared" si="41"/>
        <v>1.1077135285608137</v>
      </c>
      <c r="D159" s="81">
        <f t="shared" si="45"/>
        <v>1.2159115719152407</v>
      </c>
      <c r="E159" s="18">
        <f t="shared" si="42"/>
        <v>45.375164800000007</v>
      </c>
      <c r="F159" s="19">
        <f t="shared" si="43"/>
        <v>45375164.800000004</v>
      </c>
      <c r="G159" s="15">
        <f t="shared" si="44"/>
        <v>1220423.7333333334</v>
      </c>
      <c r="H159" s="15">
        <f>H157+(H$19-H$4)/15</f>
        <v>201830.40000000002</v>
      </c>
      <c r="I159" s="16">
        <f>J159*1000*$N$4/1000000000</f>
        <v>1.0185933333333332</v>
      </c>
      <c r="J159" s="15">
        <f>J157+($J$185-$J$155)/15</f>
        <v>1018593.3333333333</v>
      </c>
      <c r="K159" s="16">
        <f t="shared" si="46"/>
        <v>1.4829087466666664</v>
      </c>
      <c r="L159" s="15">
        <f t="shared" si="47"/>
        <v>1059220.5333333332</v>
      </c>
      <c r="M159">
        <v>1.4</v>
      </c>
      <c r="N159">
        <f t="shared" si="48"/>
        <v>0.38</v>
      </c>
    </row>
    <row r="160" spans="1:16" x14ac:dyDescent="0.15">
      <c r="B160" s="10">
        <f>B159+0.5</f>
        <v>2017.5</v>
      </c>
      <c r="C160" s="20">
        <f t="shared" si="41"/>
        <v>2.9769174149363E-4</v>
      </c>
      <c r="D160" s="81">
        <f t="shared" si="45"/>
        <v>3.0157129206922182E-4</v>
      </c>
      <c r="E160" s="18">
        <f>F160/1000000</f>
        <v>44.154741066666674</v>
      </c>
      <c r="F160" s="19">
        <f t="shared" si="43"/>
        <v>44154741.06666667</v>
      </c>
      <c r="G160" s="15">
        <f t="shared" si="44"/>
        <v>916782.66666666674</v>
      </c>
      <c r="H160" s="15">
        <f>6*60*60*24*365/1000</f>
        <v>189216</v>
      </c>
      <c r="I160" s="16">
        <f>J160*1000*$N160/1000000000</f>
        <v>0.27647533333333335</v>
      </c>
      <c r="J160" s="15">
        <f>J158+($J$186-$J$156)/15</f>
        <v>727566.66666666674</v>
      </c>
      <c r="K160" s="16">
        <f>L160*M160/1000000</f>
        <v>0</v>
      </c>
      <c r="L160" s="15">
        <f t="shared" si="47"/>
        <v>1059220.5333333332</v>
      </c>
      <c r="M160">
        <v>0</v>
      </c>
      <c r="N160">
        <f t="shared" si="48"/>
        <v>0.38</v>
      </c>
    </row>
    <row r="161" spans="1:16" x14ac:dyDescent="0.15">
      <c r="A161">
        <f>A159+1</f>
        <v>3</v>
      </c>
      <c r="B161" s="10">
        <f>B159+1</f>
        <v>2018</v>
      </c>
      <c r="C161" s="20">
        <f t="shared" si="41"/>
        <v>1.0312345586532339</v>
      </c>
      <c r="D161" s="81">
        <f t="shared" si="45"/>
        <v>1.1281466187274105</v>
      </c>
      <c r="E161" s="18">
        <f t="shared" si="42"/>
        <v>43.237958400000004</v>
      </c>
      <c r="F161" s="19">
        <f t="shared" si="43"/>
        <v>43237958.400000006</v>
      </c>
      <c r="G161" s="15">
        <f t="shared" ref="G161:G185" si="49">H161+J161</f>
        <v>1322117.6000000001</v>
      </c>
      <c r="H161" s="15">
        <f>H159+(H$19-H$4)/15</f>
        <v>208137.60000000003</v>
      </c>
      <c r="I161" s="16">
        <f t="shared" ref="I161:I185" si="50">J161*1000*$N$4/1000000000</f>
        <v>1.11398</v>
      </c>
      <c r="J161" s="15">
        <f>J159+($J$185-$J$155)/15</f>
        <v>1113980</v>
      </c>
      <c r="K161" s="16">
        <f t="shared" si="46"/>
        <v>1.4904285199999996</v>
      </c>
      <c r="L161" s="15">
        <f t="shared" si="47"/>
        <v>1064591.7999999998</v>
      </c>
      <c r="M161">
        <v>1.4</v>
      </c>
      <c r="N161">
        <f t="shared" si="48"/>
        <v>0.38</v>
      </c>
    </row>
    <row r="162" spans="1:16" x14ac:dyDescent="0.15">
      <c r="B162" s="10">
        <f>B161+0.5</f>
        <v>2018.5</v>
      </c>
      <c r="C162" s="20">
        <f t="shared" si="41"/>
        <v>3.0102051987071032E-4</v>
      </c>
      <c r="D162" s="81">
        <f t="shared" si="45"/>
        <v>3.0699673880818268E-4</v>
      </c>
      <c r="E162" s="18">
        <f>F162/1000000</f>
        <v>41.915840800000005</v>
      </c>
      <c r="F162" s="19">
        <f t="shared" si="43"/>
        <v>41915840.800000004</v>
      </c>
      <c r="G162" s="15">
        <f>H162+J162</f>
        <v>984916.00000000012</v>
      </c>
      <c r="H162" s="15">
        <f>6*60*60*24*365/1000</f>
        <v>189216</v>
      </c>
      <c r="I162" s="16">
        <f>J162*1000*$N162/1000000000</f>
        <v>0.30236600000000008</v>
      </c>
      <c r="J162" s="15">
        <f>J160+($J$186-$J$156)/15</f>
        <v>795700.00000000012</v>
      </c>
      <c r="K162" s="16">
        <f>L162*M162/1000000</f>
        <v>0</v>
      </c>
      <c r="L162" s="15">
        <f t="shared" si="47"/>
        <v>1064591.7999999998</v>
      </c>
      <c r="M162">
        <v>0</v>
      </c>
      <c r="N162">
        <f t="shared" si="48"/>
        <v>0.38</v>
      </c>
    </row>
    <row r="163" spans="1:16" x14ac:dyDescent="0.15">
      <c r="A163">
        <f>A161+1</f>
        <v>4</v>
      </c>
      <c r="B163" s="10">
        <f>B161+1</f>
        <v>2019</v>
      </c>
      <c r="C163" s="20">
        <f t="shared" si="41"/>
        <v>0.96457686686943622</v>
      </c>
      <c r="D163" s="81">
        <f t="shared" si="45"/>
        <v>1.0529186588936024</v>
      </c>
      <c r="E163" s="18">
        <f t="shared" si="42"/>
        <v>40.930924800000007</v>
      </c>
      <c r="F163" s="19">
        <f t="shared" si="43"/>
        <v>40930924.800000004</v>
      </c>
      <c r="G163" s="15">
        <f t="shared" si="49"/>
        <v>1423811.4666666668</v>
      </c>
      <c r="H163" s="15">
        <f>H161+(H$19-H$4)/15</f>
        <v>214444.80000000005</v>
      </c>
      <c r="I163" s="16">
        <f t="shared" si="50"/>
        <v>1.2093666666666667</v>
      </c>
      <c r="J163" s="15">
        <f>J161+($J$185-$J$155)/15</f>
        <v>1209366.6666666667</v>
      </c>
      <c r="K163" s="16">
        <f t="shared" si="46"/>
        <v>1.497948293333333</v>
      </c>
      <c r="L163" s="15">
        <f t="shared" si="47"/>
        <v>1069963.0666666664</v>
      </c>
      <c r="M163">
        <v>1.4</v>
      </c>
      <c r="N163">
        <f t="shared" si="48"/>
        <v>0.38</v>
      </c>
    </row>
    <row r="164" spans="1:16" x14ac:dyDescent="0.15">
      <c r="B164" s="10">
        <f>B163+0.5</f>
        <v>2019.5</v>
      </c>
      <c r="C164" s="20">
        <f t="shared" si="41"/>
        <v>3.0356203089574392E-4</v>
      </c>
      <c r="D164" s="81">
        <f t="shared" si="45"/>
        <v>3.1172012200757931E-4</v>
      </c>
      <c r="E164" s="18">
        <f>F164/1000000</f>
        <v>39.507113333333344</v>
      </c>
      <c r="F164" s="19">
        <f t="shared" si="43"/>
        <v>39507113.333333343</v>
      </c>
      <c r="G164" s="15">
        <f>H164+J164</f>
        <v>1053049.3333333335</v>
      </c>
      <c r="H164" s="15">
        <f>6*60*60*24*365/1000</f>
        <v>189216</v>
      </c>
      <c r="I164" s="16">
        <f>J164*1000*$N164/1000000000</f>
        <v>0.32825666666666675</v>
      </c>
      <c r="J164" s="15">
        <f>J162+($J$186-$J$156)/15</f>
        <v>863833.33333333349</v>
      </c>
      <c r="K164" s="16">
        <f>L164*M164/1000000</f>
        <v>0</v>
      </c>
      <c r="L164" s="15">
        <f t="shared" si="47"/>
        <v>1069963.0666666664</v>
      </c>
      <c r="M164">
        <v>0</v>
      </c>
      <c r="N164">
        <f t="shared" si="48"/>
        <v>0.38</v>
      </c>
    </row>
    <row r="165" spans="1:16" x14ac:dyDescent="0.15">
      <c r="A165">
        <f>A163+1</f>
        <v>5</v>
      </c>
      <c r="B165" s="10">
        <f>B163+1</f>
        <v>2020</v>
      </c>
      <c r="C165" s="20">
        <f t="shared" si="41"/>
        <v>0.90579966964044567</v>
      </c>
      <c r="D165" s="81">
        <f t="shared" si="45"/>
        <v>0.98772045372506023</v>
      </c>
      <c r="E165" s="18">
        <f t="shared" si="42"/>
        <v>38.45406400000001</v>
      </c>
      <c r="F165" s="19">
        <f t="shared" si="43"/>
        <v>38454064.000000007</v>
      </c>
      <c r="G165" s="15">
        <f t="shared" si="49"/>
        <v>1525505.3333333335</v>
      </c>
      <c r="H165" s="15">
        <f>H163+(H$19-H$4)/15</f>
        <v>220752.00000000006</v>
      </c>
      <c r="I165" s="16">
        <f t="shared" si="50"/>
        <v>1.3047533333333334</v>
      </c>
      <c r="J165" s="15">
        <f>J163+($J$185-$J$155)/15</f>
        <v>1304753.3333333335</v>
      </c>
      <c r="K165" s="16">
        <f t="shared" si="46"/>
        <v>1.5054680666666662</v>
      </c>
      <c r="L165" s="15">
        <f t="shared" si="47"/>
        <v>1075334.333333333</v>
      </c>
      <c r="M165">
        <v>1.4</v>
      </c>
      <c r="N165">
        <f t="shared" si="48"/>
        <v>0.38</v>
      </c>
    </row>
    <row r="166" spans="1:16" x14ac:dyDescent="0.15">
      <c r="B166" s="10">
        <f>B165+0.5</f>
        <v>2020.5</v>
      </c>
      <c r="C166" s="20">
        <f t="shared" si="41"/>
        <v>3.0535161395506516E-4</v>
      </c>
      <c r="D166" s="81">
        <f t="shared" si="45"/>
        <v>3.1586943311051309E-4</v>
      </c>
      <c r="E166" s="18">
        <f>F166/1000000</f>
        <v>36.928558666666675</v>
      </c>
      <c r="F166" s="19">
        <f t="shared" si="43"/>
        <v>36928558.666666672</v>
      </c>
      <c r="G166" s="15">
        <f>H166+J166</f>
        <v>1121182.666666667</v>
      </c>
      <c r="H166" s="15">
        <f>6*60*60*24*365/1000</f>
        <v>189216</v>
      </c>
      <c r="I166" s="16">
        <f>J166*1000*$N166/1000000000</f>
        <v>0.35414733333333343</v>
      </c>
      <c r="J166" s="15">
        <f>J164+($J$186-$J$156)/15</f>
        <v>931966.66666666686</v>
      </c>
      <c r="K166" s="16">
        <f>L166*M166/1000000</f>
        <v>0</v>
      </c>
      <c r="L166" s="15">
        <f t="shared" si="47"/>
        <v>1075334.333333333</v>
      </c>
      <c r="M166">
        <v>0</v>
      </c>
      <c r="N166">
        <f t="shared" si="48"/>
        <v>0.38</v>
      </c>
    </row>
    <row r="167" spans="1:16" x14ac:dyDescent="0.15">
      <c r="A167">
        <f>A165+1</f>
        <v>6</v>
      </c>
      <c r="B167" s="10">
        <f>B165+1</f>
        <v>2021</v>
      </c>
      <c r="C167" s="20">
        <f t="shared" si="41"/>
        <v>0.85338172906862975</v>
      </c>
      <c r="D167" s="81">
        <f t="shared" si="45"/>
        <v>0.93067153671166947</v>
      </c>
      <c r="E167" s="18">
        <f t="shared" si="42"/>
        <v>35.807376000000005</v>
      </c>
      <c r="F167" s="19">
        <f t="shared" si="43"/>
        <v>35807376.000000007</v>
      </c>
      <c r="G167" s="15">
        <f t="shared" si="49"/>
        <v>1627199.2000000002</v>
      </c>
      <c r="H167" s="15">
        <f>H165+(H$19-H$4)/15</f>
        <v>227059.20000000007</v>
      </c>
      <c r="I167" s="16">
        <f t="shared" si="50"/>
        <v>1.4001400000000002</v>
      </c>
      <c r="J167" s="15">
        <f>J165+($J$185-$J$155)/15</f>
        <v>1400140.0000000002</v>
      </c>
      <c r="K167" s="16">
        <f t="shared" si="46"/>
        <v>1.5129878399999994</v>
      </c>
      <c r="L167" s="15">
        <f t="shared" si="47"/>
        <v>1080705.5999999996</v>
      </c>
      <c r="M167">
        <v>1.4</v>
      </c>
      <c r="N167">
        <f t="shared" si="48"/>
        <v>0.38</v>
      </c>
    </row>
    <row r="168" spans="1:16" x14ac:dyDescent="0.15">
      <c r="B168" s="10">
        <f>B167+0.5</f>
        <v>2021.5</v>
      </c>
      <c r="C168" s="20">
        <f t="shared" si="41"/>
        <v>3.0637636730651351E-4</v>
      </c>
      <c r="D168" s="81">
        <f t="shared" si="45"/>
        <v>3.1954333415173096E-4</v>
      </c>
      <c r="E168" s="18">
        <f t="shared" si="42"/>
        <v>34.180176800000005</v>
      </c>
      <c r="F168" s="19">
        <f t="shared" si="43"/>
        <v>34180176.800000004</v>
      </c>
      <c r="G168" s="15">
        <f>H168+J168</f>
        <v>1189316.0000000002</v>
      </c>
      <c r="H168" s="15">
        <f>6*60*60*24*365/1000</f>
        <v>189216</v>
      </c>
      <c r="I168" s="16">
        <f>J168*1000*$N168/1000000000</f>
        <v>0.3800380000000001</v>
      </c>
      <c r="J168" s="15">
        <f>J166+($J$186-$J$156)/15</f>
        <v>1000100.0000000002</v>
      </c>
      <c r="K168" s="16">
        <f>L168*M168/1000000</f>
        <v>0</v>
      </c>
      <c r="L168" s="15">
        <f t="shared" si="47"/>
        <v>1080705.5999999996</v>
      </c>
      <c r="M168">
        <v>0</v>
      </c>
      <c r="N168">
        <f t="shared" si="48"/>
        <v>0.38</v>
      </c>
    </row>
    <row r="169" spans="1:16" x14ac:dyDescent="0.15">
      <c r="A169">
        <f>A167+1</f>
        <v>7</v>
      </c>
      <c r="B169" s="10">
        <f>B167+1</f>
        <v>2022</v>
      </c>
      <c r="C169" s="20">
        <f t="shared" si="41"/>
        <v>0.80608531993129318</v>
      </c>
      <c r="D169" s="81">
        <f t="shared" si="45"/>
        <v>0.88033387914178229</v>
      </c>
      <c r="E169" s="18">
        <f t="shared" si="42"/>
        <v>32.9908608</v>
      </c>
      <c r="F169" s="19">
        <f t="shared" si="43"/>
        <v>32990860.800000001</v>
      </c>
      <c r="G169" s="15">
        <f t="shared" si="49"/>
        <v>1728893.0666666671</v>
      </c>
      <c r="H169" s="15">
        <f>H167+(H$19-H$4)/15</f>
        <v>233366.40000000008</v>
      </c>
      <c r="I169" s="16">
        <f t="shared" si="50"/>
        <v>1.4955266666666669</v>
      </c>
      <c r="J169" s="15">
        <f>J167+($J$185-$J$155)/15</f>
        <v>1495526.666666667</v>
      </c>
      <c r="K169" s="16">
        <f t="shared" si="46"/>
        <v>1.5205076133333326</v>
      </c>
      <c r="L169" s="15">
        <f t="shared" si="47"/>
        <v>1086076.8666666662</v>
      </c>
      <c r="M169">
        <v>1.4</v>
      </c>
      <c r="N169">
        <f t="shared" si="48"/>
        <v>0.38</v>
      </c>
    </row>
    <row r="170" spans="1:16" x14ac:dyDescent="0.15">
      <c r="B170" s="10">
        <f>B169+0.5</f>
        <v>2022.5</v>
      </c>
      <c r="C170" s="20">
        <f t="shared" si="41"/>
        <v>3.0656470618544161E-4</v>
      </c>
      <c r="D170" s="81">
        <f t="shared" si="45"/>
        <v>3.2281910364579308E-4</v>
      </c>
      <c r="E170" s="18">
        <f t="shared" si="42"/>
        <v>31.261967733333336</v>
      </c>
      <c r="F170" s="19">
        <f t="shared" si="43"/>
        <v>31261967.733333334</v>
      </c>
      <c r="G170" s="15">
        <f>H170+J170</f>
        <v>1257449.3333333335</v>
      </c>
      <c r="H170" s="15">
        <f>6*60*60*24*365/1000</f>
        <v>189216</v>
      </c>
      <c r="I170" s="16">
        <f>J170*1000*$N170/1000000000</f>
        <v>0.40592866666666677</v>
      </c>
      <c r="J170" s="15">
        <f>J168+($J$186-$J$156)/15</f>
        <v>1068233.3333333335</v>
      </c>
      <c r="K170" s="16">
        <f>L170*M170/1000000</f>
        <v>0</v>
      </c>
      <c r="L170" s="15">
        <f t="shared" si="47"/>
        <v>1086076.8666666662</v>
      </c>
      <c r="M170">
        <v>0</v>
      </c>
      <c r="N170">
        <f t="shared" si="48"/>
        <v>0.38</v>
      </c>
      <c r="O170" s="15">
        <v>3871920</v>
      </c>
      <c r="P170" t="s">
        <v>911</v>
      </c>
    </row>
    <row r="171" spans="1:16" x14ac:dyDescent="0.15">
      <c r="A171">
        <f>A169+1</f>
        <v>8</v>
      </c>
      <c r="B171" s="10">
        <f>B169+1</f>
        <v>2023</v>
      </c>
      <c r="C171" s="20">
        <f t="shared" si="41"/>
        <v>0.7628493038800982</v>
      </c>
      <c r="D171" s="81">
        <f t="shared" si="45"/>
        <v>0.83558899724838631</v>
      </c>
      <c r="E171" s="18">
        <f t="shared" si="42"/>
        <v>30.004518400000002</v>
      </c>
      <c r="F171" s="19">
        <f t="shared" si="43"/>
        <v>30004518.400000002</v>
      </c>
      <c r="G171" s="15">
        <f t="shared" si="49"/>
        <v>1830586.9333333338</v>
      </c>
      <c r="H171" s="15">
        <f>H169+(H$19-H$4)/15</f>
        <v>239673.60000000009</v>
      </c>
      <c r="I171" s="16">
        <f t="shared" si="50"/>
        <v>1.5909133333333336</v>
      </c>
      <c r="J171" s="15">
        <f>J169+($J$185-$J$155)/15</f>
        <v>1590913.3333333337</v>
      </c>
      <c r="K171" s="16">
        <f t="shared" si="46"/>
        <v>1.5280273866666658</v>
      </c>
      <c r="L171" s="15">
        <f t="shared" si="47"/>
        <v>1091448.1333333328</v>
      </c>
      <c r="M171">
        <v>1.4</v>
      </c>
      <c r="N171">
        <f t="shared" si="48"/>
        <v>0.38</v>
      </c>
      <c r="O171" s="16">
        <v>118000000</v>
      </c>
      <c r="P171" t="s">
        <v>755</v>
      </c>
    </row>
    <row r="172" spans="1:16" x14ac:dyDescent="0.15">
      <c r="B172" s="10">
        <f>B171+0.5</f>
        <v>2023.5</v>
      </c>
      <c r="C172" s="20">
        <f t="shared" si="41"/>
        <v>3.0576138728132332E-4</v>
      </c>
      <c r="D172" s="81">
        <f t="shared" si="45"/>
        <v>3.2575813202144065E-4</v>
      </c>
      <c r="E172" s="18">
        <f t="shared" si="42"/>
        <v>28.173931466666669</v>
      </c>
      <c r="F172" s="19">
        <f t="shared" si="43"/>
        <v>28173931.466666669</v>
      </c>
      <c r="G172" s="15">
        <f>H172+J172</f>
        <v>1325582.6666666667</v>
      </c>
      <c r="H172" s="15">
        <f>6*60*60*24*365/1000</f>
        <v>189216</v>
      </c>
      <c r="I172" s="16">
        <f>J172*1000*$N172/1000000000</f>
        <v>0.43181933333333339</v>
      </c>
      <c r="J172" s="15">
        <f>J170+($J$186-$J$156)/15</f>
        <v>1136366.6666666667</v>
      </c>
      <c r="K172" s="16">
        <f>L172*M172/1000000</f>
        <v>0</v>
      </c>
      <c r="L172" s="15">
        <f t="shared" si="47"/>
        <v>1091448.1333333328</v>
      </c>
      <c r="M172">
        <v>0</v>
      </c>
      <c r="N172">
        <f t="shared" si="48"/>
        <v>0.38</v>
      </c>
      <c r="O172" s="15">
        <v>2932848</v>
      </c>
      <c r="P172" t="s">
        <v>966</v>
      </c>
    </row>
    <row r="173" spans="1:16" x14ac:dyDescent="0.15">
      <c r="A173">
        <f>A171+1</f>
        <v>9</v>
      </c>
      <c r="B173" s="10">
        <f>B171+1</f>
        <v>2024</v>
      </c>
      <c r="C173" s="20">
        <f t="shared" si="41"/>
        <v>0.72268796676047686</v>
      </c>
      <c r="D173" s="81">
        <f t="shared" si="45"/>
        <v>0.79555386567004072</v>
      </c>
      <c r="E173" s="18">
        <f t="shared" si="42"/>
        <v>26.8483488</v>
      </c>
      <c r="F173" s="19">
        <f t="shared" si="43"/>
        <v>26848348.800000001</v>
      </c>
      <c r="G173" s="15">
        <f t="shared" si="49"/>
        <v>1932280.8000000005</v>
      </c>
      <c r="H173" s="15">
        <f>H171+(H$19-H$4)/15</f>
        <v>245980.8000000001</v>
      </c>
      <c r="I173" s="16">
        <f t="shared" si="50"/>
        <v>1.6863000000000006</v>
      </c>
      <c r="J173" s="15">
        <f>J171+($J$185-$J$155)/15</f>
        <v>1686300.0000000005</v>
      </c>
      <c r="K173" s="16">
        <f t="shared" si="46"/>
        <v>1.5355471599999992</v>
      </c>
      <c r="L173" s="15">
        <f t="shared" si="47"/>
        <v>1096819.3999999994</v>
      </c>
      <c r="M173">
        <v>1.4</v>
      </c>
      <c r="N173">
        <f t="shared" si="48"/>
        <v>0.38</v>
      </c>
      <c r="O173" s="15">
        <v>283824</v>
      </c>
      <c r="P173" t="s">
        <v>965</v>
      </c>
    </row>
    <row r="174" spans="1:16" x14ac:dyDescent="0.15">
      <c r="B174" s="10">
        <f>B173+0.5</f>
        <v>2024.5</v>
      </c>
      <c r="C174" s="20">
        <f t="shared" si="41"/>
        <v>3.0367442190929367E-4</v>
      </c>
      <c r="D174" s="81">
        <f t="shared" si="45"/>
        <v>3.2840980515399121E-4</v>
      </c>
      <c r="E174" s="18">
        <f t="shared" si="42"/>
        <v>24.916067999999999</v>
      </c>
      <c r="F174" s="19">
        <f t="shared" si="43"/>
        <v>24916068</v>
      </c>
      <c r="G174" s="15">
        <f>H174+J174</f>
        <v>1393716</v>
      </c>
      <c r="H174" s="15">
        <f>6*60*60*24*365/1000</f>
        <v>189216</v>
      </c>
      <c r="I174" s="16">
        <f>J174*1000*$N174/1000000000</f>
        <v>0.45771000000000001</v>
      </c>
      <c r="J174" s="15">
        <f>J172+($J$186-$J$156)/15</f>
        <v>1204500</v>
      </c>
      <c r="K174" s="16">
        <f>L174*M174/1000000</f>
        <v>0</v>
      </c>
      <c r="L174" s="15">
        <f t="shared" si="47"/>
        <v>1096819.3999999994</v>
      </c>
      <c r="M174">
        <v>0</v>
      </c>
      <c r="N174">
        <f t="shared" si="48"/>
        <v>0.38</v>
      </c>
      <c r="O174" s="15">
        <f>6*60*60*24*365/1000</f>
        <v>189216</v>
      </c>
      <c r="P174" t="s">
        <v>1105</v>
      </c>
    </row>
    <row r="175" spans="1:16" x14ac:dyDescent="0.15">
      <c r="A175">
        <f>A173+1</f>
        <v>10</v>
      </c>
      <c r="B175" s="10">
        <f>B173+1</f>
        <v>2025</v>
      </c>
      <c r="C175" s="20">
        <f t="shared" si="41"/>
        <v>0.68456446034797014</v>
      </c>
      <c r="D175" s="81">
        <f t="shared" si="45"/>
        <v>0.75952205566637587</v>
      </c>
      <c r="E175" s="18">
        <f t="shared" si="42"/>
        <v>23.522352000000001</v>
      </c>
      <c r="F175" s="19">
        <f t="shared" si="43"/>
        <v>23522352</v>
      </c>
      <c r="G175" s="15">
        <f t="shared" si="49"/>
        <v>2033974.6666666674</v>
      </c>
      <c r="H175" s="15">
        <f>H173+(H$19-H$4)/15</f>
        <v>252288.00000000012</v>
      </c>
      <c r="I175" s="16">
        <f t="shared" si="50"/>
        <v>1.7816866666666673</v>
      </c>
      <c r="J175" s="15">
        <f>J173+($J$185-$J$155)/15</f>
        <v>1781686.6666666672</v>
      </c>
      <c r="K175" s="16">
        <f t="shared" si="46"/>
        <v>1.5430669333333324</v>
      </c>
      <c r="L175" s="15">
        <f t="shared" si="47"/>
        <v>1102190.666666666</v>
      </c>
      <c r="M175">
        <v>1.4</v>
      </c>
      <c r="N175">
        <f t="shared" si="48"/>
        <v>0.38</v>
      </c>
      <c r="O175" s="15">
        <f>36*60*60*24*365/1000</f>
        <v>1135296</v>
      </c>
      <c r="P175" t="s">
        <v>1106</v>
      </c>
    </row>
    <row r="176" spans="1:16" x14ac:dyDescent="0.15">
      <c r="B176" s="10">
        <f>B175+0.5</f>
        <v>2025.5</v>
      </c>
      <c r="C176" s="20">
        <f t="shared" si="41"/>
        <v>2.9975925382337966E-4</v>
      </c>
      <c r="D176" s="81">
        <f t="shared" si="45"/>
        <v>3.3081430188427991E-4</v>
      </c>
      <c r="E176" s="18">
        <f t="shared" si="42"/>
        <v>21.488377333333332</v>
      </c>
      <c r="F176" s="19">
        <f t="shared" si="43"/>
        <v>21488377.333333332</v>
      </c>
      <c r="G176" s="15">
        <f>H176+J176</f>
        <v>1461849.3333333333</v>
      </c>
      <c r="H176" s="15">
        <f>6*60*60*24*365/1000</f>
        <v>189216</v>
      </c>
      <c r="I176" s="16">
        <f>J176*1000*$N176/1000000000</f>
        <v>0.48360066666666662</v>
      </c>
      <c r="J176" s="15">
        <f>J174+($J$186-$J$156)/15</f>
        <v>1272633.3333333333</v>
      </c>
      <c r="K176" s="16">
        <f>L176*M176/1000000</f>
        <v>0</v>
      </c>
      <c r="L176" s="15">
        <f t="shared" si="47"/>
        <v>1102190.666666666</v>
      </c>
      <c r="M176">
        <v>0</v>
      </c>
      <c r="N176">
        <f t="shared" si="48"/>
        <v>0.38</v>
      </c>
      <c r="O176" s="15">
        <f>18*60*60*24*365/1000</f>
        <v>567648</v>
      </c>
      <c r="P176" t="s">
        <v>964</v>
      </c>
    </row>
    <row r="177" spans="1:16" x14ac:dyDescent="0.15">
      <c r="A177">
        <f>A175+1</f>
        <v>11</v>
      </c>
      <c r="B177" s="10">
        <f>B175+1</f>
        <v>2026</v>
      </c>
      <c r="C177" s="20">
        <f t="shared" si="41"/>
        <v>0.64717436581064547</v>
      </c>
      <c r="D177" s="81">
        <f t="shared" si="45"/>
        <v>0.72692169021984232</v>
      </c>
      <c r="E177" s="18">
        <f t="shared" si="42"/>
        <v>20.026527999999999</v>
      </c>
      <c r="F177" s="19">
        <f t="shared" si="43"/>
        <v>20026528</v>
      </c>
      <c r="G177" s="15">
        <f t="shared" si="49"/>
        <v>2135668.5333333341</v>
      </c>
      <c r="H177" s="15">
        <f>H175+(H$19-H$4)/15</f>
        <v>258595.20000000013</v>
      </c>
      <c r="I177" s="16">
        <f t="shared" si="50"/>
        <v>1.877073333333334</v>
      </c>
      <c r="J177" s="15">
        <f>J175+($J$185-$J$155)/15</f>
        <v>1877073.333333334</v>
      </c>
      <c r="K177" s="16">
        <f t="shared" si="46"/>
        <v>1.5505867066666656</v>
      </c>
      <c r="L177" s="15">
        <f t="shared" si="47"/>
        <v>1107561.9333333327</v>
      </c>
      <c r="M177">
        <v>1.4</v>
      </c>
      <c r="N177">
        <f t="shared" si="48"/>
        <v>0.38</v>
      </c>
      <c r="O177" s="15">
        <v>1129047</v>
      </c>
      <c r="P177" t="s">
        <v>1150</v>
      </c>
    </row>
    <row r="178" spans="1:16" x14ac:dyDescent="0.15">
      <c r="B178" s="10">
        <f>B177+0.5</f>
        <v>2026.5</v>
      </c>
      <c r="C178" s="20">
        <f t="shared" si="41"/>
        <v>2.9294203518833513E-4</v>
      </c>
      <c r="D178" s="81">
        <f t="shared" si="45"/>
        <v>3.3300464406132708E-4</v>
      </c>
      <c r="E178" s="18">
        <f t="shared" si="42"/>
        <v>17.890859466666669</v>
      </c>
      <c r="F178" s="19">
        <f t="shared" si="43"/>
        <v>17890859.466666669</v>
      </c>
      <c r="G178" s="15">
        <f>H178+J178</f>
        <v>1529982.6666666665</v>
      </c>
      <c r="H178" s="15">
        <f>6*60*60*24*365/1000</f>
        <v>189216</v>
      </c>
      <c r="I178" s="16">
        <f>J178*1000*$N178/1000000000</f>
        <v>0.5094913333333333</v>
      </c>
      <c r="J178" s="15">
        <f>J176+($J$186-$J$156)/15</f>
        <v>1340766.6666666665</v>
      </c>
      <c r="K178" s="16">
        <f>L178*M178/1000000</f>
        <v>0</v>
      </c>
      <c r="L178" s="15">
        <f t="shared" si="47"/>
        <v>1107561.9333333327</v>
      </c>
      <c r="M178">
        <v>0</v>
      </c>
      <c r="N178">
        <f t="shared" si="48"/>
        <v>0.38</v>
      </c>
      <c r="O178" s="15">
        <v>1048478</v>
      </c>
      <c r="P178" t="s">
        <v>1149</v>
      </c>
    </row>
    <row r="179" spans="1:16" x14ac:dyDescent="0.15">
      <c r="A179">
        <f>A177+1</f>
        <v>12</v>
      </c>
      <c r="B179" s="10">
        <f>B177+1</f>
        <v>2027</v>
      </c>
      <c r="C179" s="20">
        <f t="shared" si="41"/>
        <v>0.60845850824747005</v>
      </c>
      <c r="D179" s="81">
        <f t="shared" si="45"/>
        <v>0.69728486542904189</v>
      </c>
      <c r="E179" s="18">
        <f t="shared" si="42"/>
        <v>16.3608768</v>
      </c>
      <c r="F179" s="19">
        <f t="shared" si="43"/>
        <v>16360876.800000001</v>
      </c>
      <c r="G179" s="15">
        <f t="shared" si="49"/>
        <v>2237362.4000000008</v>
      </c>
      <c r="H179" s="15">
        <f>H177+(H$19-H$4)/15</f>
        <v>264902.40000000014</v>
      </c>
      <c r="I179" s="16">
        <f t="shared" si="50"/>
        <v>1.9724600000000008</v>
      </c>
      <c r="J179" s="15">
        <f>J177+($J$185-$J$155)/15</f>
        <v>1972460.0000000007</v>
      </c>
      <c r="K179" s="16">
        <f t="shared" si="46"/>
        <v>1.5581064799999989</v>
      </c>
      <c r="L179" s="15">
        <f t="shared" si="47"/>
        <v>1112933.1999999993</v>
      </c>
      <c r="M179">
        <v>1.4</v>
      </c>
      <c r="N179">
        <f t="shared" si="48"/>
        <v>0.38</v>
      </c>
      <c r="O179" s="10">
        <f>7/12</f>
        <v>0.58333333333333337</v>
      </c>
      <c r="P179" s="10" t="s">
        <v>1086</v>
      </c>
    </row>
    <row r="180" spans="1:16" x14ac:dyDescent="0.15">
      <c r="B180" s="10">
        <f>B179+0.5</f>
        <v>2027.5</v>
      </c>
      <c r="C180" s="20">
        <f t="shared" si="41"/>
        <v>2.8085293220364831E-4</v>
      </c>
      <c r="D180" s="81">
        <f t="shared" si="45"/>
        <v>3.3500822218161884E-4</v>
      </c>
      <c r="E180" s="18">
        <f t="shared" si="42"/>
        <v>14.123514400000001</v>
      </c>
      <c r="F180" s="19">
        <f t="shared" si="43"/>
        <v>14123514.4</v>
      </c>
      <c r="G180" s="15">
        <f>H180+J180</f>
        <v>1598115.9999999998</v>
      </c>
      <c r="H180" s="15">
        <f>6*60*60*24*365/1000</f>
        <v>189216</v>
      </c>
      <c r="I180" s="16">
        <f>J180*1000*$N180/1000000000</f>
        <v>0.53538199999999991</v>
      </c>
      <c r="J180" s="15">
        <f>J178+($J$186-$J$156)/15</f>
        <v>1408899.9999999998</v>
      </c>
      <c r="K180" s="16">
        <f>L180*M180/1000000</f>
        <v>0</v>
      </c>
      <c r="L180" s="15">
        <f t="shared" si="47"/>
        <v>1112933.1999999993</v>
      </c>
      <c r="M180">
        <v>0</v>
      </c>
      <c r="N180">
        <f t="shared" si="48"/>
        <v>0.38</v>
      </c>
      <c r="O180">
        <f>5/12</f>
        <v>0.41666666666666669</v>
      </c>
      <c r="P180" s="10" t="s">
        <v>1087</v>
      </c>
    </row>
    <row r="181" spans="1:16" x14ac:dyDescent="0.15">
      <c r="A181">
        <f>A179+1</f>
        <v>13</v>
      </c>
      <c r="B181" s="10">
        <f>B179+1</f>
        <v>2028</v>
      </c>
      <c r="C181" s="20">
        <f t="shared" si="41"/>
        <v>0.5641923113142544</v>
      </c>
      <c r="D181" s="81">
        <f t="shared" si="45"/>
        <v>0.67022504859794652</v>
      </c>
      <c r="E181" s="18">
        <f t="shared" si="42"/>
        <v>12.5253984</v>
      </c>
      <c r="F181" s="19">
        <f t="shared" si="43"/>
        <v>12525398.4</v>
      </c>
      <c r="G181" s="15">
        <f t="shared" si="49"/>
        <v>2339056.2666666675</v>
      </c>
      <c r="H181" s="15">
        <f>H179+(H$19-H$4)/15</f>
        <v>271209.60000000015</v>
      </c>
      <c r="I181" s="16">
        <f t="shared" si="50"/>
        <v>2.0678466666666675</v>
      </c>
      <c r="J181" s="15">
        <f>J179+($J$185-$J$155)/15</f>
        <v>2067846.6666666674</v>
      </c>
      <c r="K181" s="16">
        <f t="shared" si="46"/>
        <v>1.5656262533333321</v>
      </c>
      <c r="L181" s="15">
        <f t="shared" si="47"/>
        <v>1118304.4666666659</v>
      </c>
      <c r="M181">
        <v>1.4</v>
      </c>
      <c r="N181">
        <f t="shared" si="48"/>
        <v>0.38</v>
      </c>
      <c r="O181" s="15" t="s">
        <v>935</v>
      </c>
      <c r="P181" s="15" t="s">
        <v>1119</v>
      </c>
    </row>
    <row r="182" spans="1:16" x14ac:dyDescent="0.15">
      <c r="B182" s="10">
        <f>B181+0.5</f>
        <v>2028.5</v>
      </c>
      <c r="C182" s="20">
        <f t="shared" si="41"/>
        <v>2.5714749373987136E-4</v>
      </c>
      <c r="D182" s="81">
        <f t="shared" si="45"/>
        <v>3.3684794672586012E-4</v>
      </c>
      <c r="E182" s="18">
        <f t="shared" si="42"/>
        <v>10.186342133333333</v>
      </c>
      <c r="F182" s="19">
        <f t="shared" si="43"/>
        <v>10186342.133333333</v>
      </c>
      <c r="G182" s="15">
        <f>H182+J182</f>
        <v>1666249.333333333</v>
      </c>
      <c r="H182" s="15">
        <f>6*60*60*24*365/1000</f>
        <v>189216</v>
      </c>
      <c r="I182" s="16">
        <f>J182*1000*$N182/1000000000</f>
        <v>0.56127266666666653</v>
      </c>
      <c r="J182" s="15">
        <f>J180+($J$186-$J$156)/15</f>
        <v>1477033.333333333</v>
      </c>
      <c r="K182" s="16">
        <f>L182*M182/1000000</f>
        <v>0</v>
      </c>
      <c r="L182" s="15">
        <f t="shared" si="47"/>
        <v>1118304.4666666659</v>
      </c>
      <c r="M182">
        <v>0</v>
      </c>
      <c r="N182">
        <f t="shared" si="48"/>
        <v>0.38</v>
      </c>
    </row>
    <row r="183" spans="1:16" x14ac:dyDescent="0.15">
      <c r="A183">
        <f>A181+1</f>
        <v>14</v>
      </c>
      <c r="B183" s="10">
        <f>B181+1</f>
        <v>2029</v>
      </c>
      <c r="C183" s="20">
        <f>(D183*G183+D185*F185)/F183</f>
        <v>0.50239819930448149</v>
      </c>
      <c r="D183" s="81">
        <f t="shared" si="45"/>
        <v>0.64542012657747871</v>
      </c>
      <c r="E183" s="18">
        <f t="shared" si="42"/>
        <v>8.5200928000000005</v>
      </c>
      <c r="F183" s="19">
        <f t="shared" si="43"/>
        <v>8520092.8000000007</v>
      </c>
      <c r="G183" s="15">
        <f t="shared" si="49"/>
        <v>2440750.1333333342</v>
      </c>
      <c r="H183" s="15">
        <f>H181+(H$19-H$4)/15</f>
        <v>277516.80000000016</v>
      </c>
      <c r="I183" s="16">
        <f t="shared" si="50"/>
        <v>2.1632333333333338</v>
      </c>
      <c r="J183" s="15">
        <f>J181+($J$185-$J$155)/15</f>
        <v>2163233.333333334</v>
      </c>
      <c r="K183" s="16">
        <f t="shared" si="46"/>
        <v>1.5731460266666655</v>
      </c>
      <c r="L183" s="15">
        <f>L181+(L$19-L$4)/15</f>
        <v>1123675.7333333325</v>
      </c>
      <c r="M183">
        <v>1.4</v>
      </c>
      <c r="N183">
        <f t="shared" si="48"/>
        <v>0.38</v>
      </c>
    </row>
    <row r="184" spans="1:16" x14ac:dyDescent="0.15">
      <c r="B184" s="10">
        <f>B183+0.5</f>
        <v>2029.5</v>
      </c>
      <c r="C184" s="20">
        <f>(D184*G184+D186*F186)/F184</f>
        <v>1.9742551113530472E-4</v>
      </c>
      <c r="D184" s="81">
        <f t="shared" si="45"/>
        <v>3.3854312812166786E-4</v>
      </c>
      <c r="E184" s="18">
        <f t="shared" si="42"/>
        <v>6.0793426666666663</v>
      </c>
      <c r="F184" s="19">
        <f t="shared" si="43"/>
        <v>6079342.666666666</v>
      </c>
      <c r="G184" s="15">
        <f>H184+J184</f>
        <v>1734382.6666666663</v>
      </c>
      <c r="H184" s="15">
        <f>6*60*60*24*365/1000</f>
        <v>189216</v>
      </c>
      <c r="I184" s="16">
        <f>J184*1000*$N184/1000000000</f>
        <v>0.58716333333333315</v>
      </c>
      <c r="J184" s="15">
        <f>J182+($J$186-$J$156)/15</f>
        <v>1545166.6666666663</v>
      </c>
      <c r="K184" s="16">
        <f>L184*M184/1000000</f>
        <v>0</v>
      </c>
      <c r="L184" s="15">
        <f>L182+(L$19-L$4)/15</f>
        <v>1123675.7333333325</v>
      </c>
      <c r="M184">
        <v>0</v>
      </c>
      <c r="N184">
        <f t="shared" si="48"/>
        <v>0.38</v>
      </c>
    </row>
    <row r="185" spans="1:16" x14ac:dyDescent="0.15">
      <c r="A185">
        <f>A183+1</f>
        <v>15</v>
      </c>
      <c r="B185" s="10">
        <f>B183+1</f>
        <v>2030</v>
      </c>
      <c r="C185" s="20">
        <f>(D185*G185+D186*F186)/F185</f>
        <v>0.36445386700913213</v>
      </c>
      <c r="D185" s="81">
        <f t="shared" si="45"/>
        <v>0.622599522349361</v>
      </c>
      <c r="E185" s="18">
        <f t="shared" si="42"/>
        <v>4.3449600000000004</v>
      </c>
      <c r="F185" s="19">
        <f>F186+H185+J185</f>
        <v>4344960</v>
      </c>
      <c r="G185" s="15">
        <f t="shared" si="49"/>
        <v>2542444</v>
      </c>
      <c r="H185" s="15">
        <v>283824</v>
      </c>
      <c r="I185" s="16">
        <f t="shared" si="50"/>
        <v>2.2586200000000001</v>
      </c>
      <c r="J185" s="15">
        <f>O170*O179</f>
        <v>2258620</v>
      </c>
      <c r="K185" s="16">
        <f t="shared" si="46"/>
        <v>1.5806657999999987</v>
      </c>
      <c r="L185" s="15">
        <f>L183+(L$19-L$4)/15</f>
        <v>1129046.9999999991</v>
      </c>
      <c r="M185">
        <v>1.4</v>
      </c>
      <c r="N185">
        <f t="shared" si="48"/>
        <v>0.38</v>
      </c>
    </row>
    <row r="186" spans="1:16" x14ac:dyDescent="0.15">
      <c r="B186" s="10">
        <f>B185+0.5</f>
        <v>2030.5</v>
      </c>
      <c r="C186" s="20">
        <f>(D186*G186+D188*F188)/F186</f>
        <v>3.4011015713591444E-4</v>
      </c>
      <c r="D186" s="81">
        <f t="shared" si="45"/>
        <v>3.4011015713591444E-4</v>
      </c>
      <c r="E186" s="18">
        <f>F186/1000000</f>
        <v>1.802516</v>
      </c>
      <c r="F186" s="19">
        <f>F187+H186+J186</f>
        <v>1802516</v>
      </c>
      <c r="G186" s="15">
        <f>H186+J186</f>
        <v>1802516</v>
      </c>
      <c r="H186" s="15">
        <f>6*60*60*24*365/1000</f>
        <v>189216</v>
      </c>
      <c r="I186" s="16">
        <f>J186*1000*$N186/1000000000</f>
        <v>0.61305399999999999</v>
      </c>
      <c r="J186" s="15">
        <f>O170*O180</f>
        <v>1613300</v>
      </c>
      <c r="K186" s="16">
        <f>L186*M186/1000000</f>
        <v>0</v>
      </c>
      <c r="L186" s="15">
        <f>L184+(L$19-L$4)/15</f>
        <v>1129046.9999999991</v>
      </c>
      <c r="M186">
        <v>0</v>
      </c>
      <c r="N186">
        <f t="shared" si="48"/>
        <v>0.38</v>
      </c>
    </row>
    <row r="187" spans="1:16" x14ac:dyDescent="0.15">
      <c r="C187" s="17"/>
      <c r="D187" s="7"/>
      <c r="E187" s="7"/>
      <c r="F187" s="15"/>
      <c r="G187" s="15"/>
      <c r="H187" s="15"/>
      <c r="I187" s="16"/>
      <c r="L187" s="15"/>
    </row>
    <row r="188" spans="1:16" x14ac:dyDescent="0.15">
      <c r="C188" s="17"/>
      <c r="E188" s="7"/>
      <c r="F188" s="15"/>
      <c r="G188" s="64"/>
      <c r="H188" s="15"/>
      <c r="I188" s="16"/>
      <c r="L188" s="15"/>
    </row>
    <row r="189" spans="1:16" x14ac:dyDescent="0.15">
      <c r="C189" s="17"/>
      <c r="D189" s="7"/>
      <c r="E189" s="7"/>
      <c r="F189" s="15"/>
      <c r="G189" s="15"/>
      <c r="H189" s="15"/>
      <c r="I189" s="16"/>
    </row>
    <row r="190" spans="1:16" x14ac:dyDescent="0.15">
      <c r="C190" s="17"/>
      <c r="D190" s="7"/>
      <c r="E190" s="7"/>
      <c r="F190" s="15"/>
      <c r="G190" s="15"/>
      <c r="H190" s="15"/>
      <c r="I190" s="16"/>
      <c r="K190" s="15"/>
    </row>
    <row r="191" spans="1:16" x14ac:dyDescent="0.15">
      <c r="B191" s="15"/>
      <c r="C191" s="17"/>
      <c r="E191" s="7"/>
      <c r="F191" s="15"/>
      <c r="G191" s="15"/>
      <c r="H191" s="15"/>
      <c r="I191" s="16"/>
      <c r="J191" s="15"/>
      <c r="K191" s="15"/>
      <c r="L191" s="15"/>
    </row>
    <row r="192" spans="1:16" ht="56" x14ac:dyDescent="0.15">
      <c r="A192" s="119" t="s">
        <v>1185</v>
      </c>
      <c r="B192" s="12"/>
      <c r="C192" s="12" t="s">
        <v>1172</v>
      </c>
      <c r="D192" s="13" t="s">
        <v>1166</v>
      </c>
      <c r="E192" s="13" t="s">
        <v>751</v>
      </c>
      <c r="F192" s="13" t="s">
        <v>751</v>
      </c>
      <c r="G192" s="13" t="s">
        <v>1088</v>
      </c>
      <c r="H192" s="13" t="s">
        <v>883</v>
      </c>
      <c r="I192" s="12" t="s">
        <v>1102</v>
      </c>
      <c r="J192" s="13" t="s">
        <v>897</v>
      </c>
      <c r="K192" s="13" t="s">
        <v>745</v>
      </c>
      <c r="L192" s="13" t="s">
        <v>898</v>
      </c>
      <c r="M192" s="12" t="s">
        <v>750</v>
      </c>
      <c r="N192" s="13" t="s">
        <v>1101</v>
      </c>
      <c r="O192" s="12"/>
      <c r="P192" s="12"/>
    </row>
    <row r="193" spans="1:16" x14ac:dyDescent="0.15">
      <c r="A193" s="1" t="s">
        <v>746</v>
      </c>
      <c r="B193" s="1" t="s">
        <v>747</v>
      </c>
      <c r="C193" s="1"/>
      <c r="D193" s="14" t="s">
        <v>748</v>
      </c>
      <c r="E193" s="14" t="s">
        <v>1104</v>
      </c>
      <c r="F193" s="14" t="s">
        <v>718</v>
      </c>
      <c r="G193" s="14" t="s">
        <v>749</v>
      </c>
      <c r="H193" s="14" t="s">
        <v>749</v>
      </c>
      <c r="I193" s="14" t="s">
        <v>884</v>
      </c>
      <c r="J193" s="14" t="s">
        <v>749</v>
      </c>
      <c r="K193" s="14" t="s">
        <v>884</v>
      </c>
      <c r="L193" s="14" t="s">
        <v>1144</v>
      </c>
      <c r="M193" s="1" t="s">
        <v>885</v>
      </c>
      <c r="N193" s="14" t="s">
        <v>748</v>
      </c>
      <c r="O193" s="1"/>
      <c r="P193" s="1"/>
    </row>
    <row r="194" spans="1:16" x14ac:dyDescent="0.15">
      <c r="A194">
        <v>0</v>
      </c>
      <c r="B194" s="10">
        <v>2015</v>
      </c>
      <c r="C194" s="20">
        <f t="shared" ref="C194:C221" si="51">(D194*G194+D196*F196)/F194</f>
        <v>1.0131039144842169E-2</v>
      </c>
      <c r="D194" s="17">
        <f>(K194*1000/G194*1000)+(I194/G194*1000)</f>
        <v>1.2588223032419698E-2</v>
      </c>
      <c r="E194" s="18">
        <f t="shared" ref="E194:E225" si="52">F194/1000000</f>
        <v>49.140096000000007</v>
      </c>
      <c r="F194" s="19">
        <f t="shared" ref="F194:F223" si="53">F195+H194+J194</f>
        <v>49140096.000000007</v>
      </c>
      <c r="G194" s="15">
        <f t="shared" ref="G194:G199" si="54">H194+J194</f>
        <v>1017036</v>
      </c>
      <c r="H194" s="15">
        <f>6*60*60*24*365/1000</f>
        <v>189216</v>
      </c>
      <c r="I194" s="16">
        <f>J194*1000*$N195/1000000000</f>
        <v>2.3178960000000002</v>
      </c>
      <c r="J194" s="15">
        <f>45*60*60*24*365/1000*O$179</f>
        <v>827820</v>
      </c>
      <c r="K194" s="16">
        <f>L194*$M$194/1000000</f>
        <v>1.0484780000000001E-2</v>
      </c>
      <c r="L194" s="15">
        <v>1048478</v>
      </c>
      <c r="M194">
        <v>0.01</v>
      </c>
      <c r="N194" s="83">
        <v>2.8</v>
      </c>
    </row>
    <row r="195" spans="1:16" x14ac:dyDescent="0.15">
      <c r="B195" s="10">
        <v>2015.5</v>
      </c>
      <c r="C195" s="20">
        <f t="shared" si="51"/>
        <v>1.4269985812111575E-2</v>
      </c>
      <c r="D195" s="17">
        <f t="shared" ref="D195:D225" si="55">(K195*1000/G195*1000)+(I195/G195*1000)</f>
        <v>1.5554351224062032E-2</v>
      </c>
      <c r="E195" s="18">
        <f t="shared" si="52"/>
        <v>48.123060000000009</v>
      </c>
      <c r="F195" s="19">
        <f t="shared" si="53"/>
        <v>48123060.000000007</v>
      </c>
      <c r="G195" s="15">
        <f t="shared" si="54"/>
        <v>780516</v>
      </c>
      <c r="H195" s="15">
        <f>6*60*60*24*365/1000</f>
        <v>189216</v>
      </c>
      <c r="I195" s="16">
        <f>J195*1000*$N195/1000000000</f>
        <v>1.65564</v>
      </c>
      <c r="J195" s="15">
        <f>45*60*60*24*365/1000*O$180</f>
        <v>591300</v>
      </c>
      <c r="K195" s="16">
        <f t="shared" ref="K195:K225" si="56">L195*$M$194/1000000</f>
        <v>1.0484780000000001E-2</v>
      </c>
      <c r="L195" s="15">
        <v>1048478</v>
      </c>
      <c r="M195">
        <v>0</v>
      </c>
      <c r="N195" s="83">
        <v>2.8</v>
      </c>
    </row>
    <row r="196" spans="1:16" x14ac:dyDescent="0.15">
      <c r="A196">
        <f>A194+1</f>
        <v>1</v>
      </c>
      <c r="B196" s="10">
        <f>B194+1</f>
        <v>2016</v>
      </c>
      <c r="C196" s="20">
        <f t="shared" si="51"/>
        <v>9.3604895821281751E-3</v>
      </c>
      <c r="D196" s="17">
        <f t="shared" si="55"/>
        <v>1.0245278753023963E-2</v>
      </c>
      <c r="E196" s="18">
        <f t="shared" si="52"/>
        <v>47.342544000000011</v>
      </c>
      <c r="F196" s="19">
        <f t="shared" si="53"/>
        <v>47342544.000000007</v>
      </c>
      <c r="G196" s="15">
        <f t="shared" si="54"/>
        <v>1118729.8666666667</v>
      </c>
      <c r="H196" s="15">
        <f>H194+(H$19-H$4)/15</f>
        <v>195523.20000000001</v>
      </c>
      <c r="I196" s="16">
        <f>J196*1000*$N$4/1000000000</f>
        <v>0.92320666666666662</v>
      </c>
      <c r="J196" s="15">
        <f>J194+($J$185-$J$155)/15</f>
        <v>923206.66666666663</v>
      </c>
      <c r="K196" s="16">
        <f t="shared" si="56"/>
        <v>1.0538492666666666E-2</v>
      </c>
      <c r="L196" s="15">
        <f t="shared" ref="L196:L221" si="57">L194+(L$19-L$4)/15</f>
        <v>1053849.2666666666</v>
      </c>
      <c r="M196">
        <v>0.01</v>
      </c>
      <c r="N196" s="83">
        <v>2.8</v>
      </c>
    </row>
    <row r="197" spans="1:16" x14ac:dyDescent="0.15">
      <c r="B197" s="10">
        <v>2016.5</v>
      </c>
      <c r="C197" s="20">
        <f t="shared" si="51"/>
        <v>1.3427076676418454E-2</v>
      </c>
      <c r="D197" s="17">
        <f t="shared" si="55"/>
        <v>1.459366727050199E-2</v>
      </c>
      <c r="E197" s="18">
        <f t="shared" si="52"/>
        <v>46.223814133333342</v>
      </c>
      <c r="F197" s="19">
        <f t="shared" si="53"/>
        <v>46223814.13333334</v>
      </c>
      <c r="G197" s="15">
        <f t="shared" si="54"/>
        <v>848649.33333333337</v>
      </c>
      <c r="H197" s="15">
        <f>6*60*60*24*365/1000</f>
        <v>189216</v>
      </c>
      <c r="I197" s="16">
        <f>J197*1000*$N197/1000000000</f>
        <v>1.8464133333333332</v>
      </c>
      <c r="J197" s="15">
        <f>J195+($J$186-$J$156)/15</f>
        <v>659433.33333333337</v>
      </c>
      <c r="K197" s="16">
        <f t="shared" si="56"/>
        <v>1.0538492666666666E-2</v>
      </c>
      <c r="L197" s="15">
        <f t="shared" si="57"/>
        <v>1053849.2666666666</v>
      </c>
      <c r="M197">
        <v>0</v>
      </c>
      <c r="N197" s="83">
        <v>2.8</v>
      </c>
    </row>
    <row r="198" spans="1:16" x14ac:dyDescent="0.15">
      <c r="A198">
        <f>A196+1</f>
        <v>2</v>
      </c>
      <c r="B198" s="10">
        <f>B196+1</f>
        <v>2017</v>
      </c>
      <c r="C198" s="20">
        <f t="shared" si="51"/>
        <v>8.7316792098842393E-3</v>
      </c>
      <c r="D198" s="17">
        <f t="shared" si="55"/>
        <v>9.5137437510774935E-3</v>
      </c>
      <c r="E198" s="18">
        <f t="shared" si="52"/>
        <v>45.375164800000007</v>
      </c>
      <c r="F198" s="19">
        <f t="shared" si="53"/>
        <v>45375164.800000004</v>
      </c>
      <c r="G198" s="15">
        <f t="shared" si="54"/>
        <v>1220423.7333333334</v>
      </c>
      <c r="H198" s="15">
        <f>H196+(H$19-H$4)/15</f>
        <v>201830.40000000002</v>
      </c>
      <c r="I198" s="16">
        <f>J198*1000*$N$4/1000000000</f>
        <v>1.0185933333333332</v>
      </c>
      <c r="J198" s="15">
        <f>J196+($J$185-$J$155)/15</f>
        <v>1018593.3333333333</v>
      </c>
      <c r="K198" s="16">
        <f t="shared" si="56"/>
        <v>1.0592205333333332E-2</v>
      </c>
      <c r="L198" s="15">
        <f t="shared" si="57"/>
        <v>1059220.5333333332</v>
      </c>
      <c r="M198">
        <v>0.01</v>
      </c>
      <c r="N198" s="83">
        <v>2.8</v>
      </c>
    </row>
    <row r="199" spans="1:16" x14ac:dyDescent="0.15">
      <c r="B199" s="10">
        <f>B198+0.5</f>
        <v>2017.5</v>
      </c>
      <c r="C199" s="20">
        <f t="shared" si="51"/>
        <v>1.269429005568194E-2</v>
      </c>
      <c r="D199" s="17">
        <f t="shared" si="55"/>
        <v>1.3775775283709551E-2</v>
      </c>
      <c r="E199" s="18">
        <f t="shared" si="52"/>
        <v>44.154741066666674</v>
      </c>
      <c r="F199" s="19">
        <f t="shared" si="53"/>
        <v>44154741.06666667</v>
      </c>
      <c r="G199" s="15">
        <f t="shared" si="54"/>
        <v>916782.66666666674</v>
      </c>
      <c r="H199" s="15">
        <f>6*60*60*24*365/1000</f>
        <v>189216</v>
      </c>
      <c r="I199" s="16">
        <f>J199*1000*$N199/1000000000</f>
        <v>2.0371866666666669</v>
      </c>
      <c r="J199" s="15">
        <f>J197+($J$186-$J$156)/15</f>
        <v>727566.66666666674</v>
      </c>
      <c r="K199" s="16">
        <f t="shared" si="56"/>
        <v>1.0592205333333332E-2</v>
      </c>
      <c r="L199" s="15">
        <f t="shared" si="57"/>
        <v>1059220.5333333332</v>
      </c>
      <c r="M199">
        <v>0</v>
      </c>
      <c r="N199" s="83">
        <v>2.8</v>
      </c>
    </row>
    <row r="200" spans="1:16" x14ac:dyDescent="0.15">
      <c r="A200">
        <f>A198+1</f>
        <v>3</v>
      </c>
      <c r="B200" s="10">
        <f>B198+1</f>
        <v>2018</v>
      </c>
      <c r="C200" s="20">
        <f t="shared" si="51"/>
        <v>8.1898640574346905E-3</v>
      </c>
      <c r="D200" s="17">
        <f t="shared" si="55"/>
        <v>8.8947443101884405E-3</v>
      </c>
      <c r="E200" s="18">
        <f t="shared" si="52"/>
        <v>43.237958400000004</v>
      </c>
      <c r="F200" s="19">
        <f t="shared" si="53"/>
        <v>43237958.400000006</v>
      </c>
      <c r="G200" s="15">
        <f t="shared" ref="G200:G225" si="58">H200+J200</f>
        <v>1322117.6000000001</v>
      </c>
      <c r="H200" s="15">
        <f>H198+(H$19-H$4)/15</f>
        <v>208137.60000000003</v>
      </c>
      <c r="I200" s="16">
        <f>J200*1000*$N$4/1000000000</f>
        <v>1.11398</v>
      </c>
      <c r="J200" s="15">
        <f>J198+($J$185-$J$155)/15</f>
        <v>1113980</v>
      </c>
      <c r="K200" s="16">
        <f t="shared" si="56"/>
        <v>1.0645917999999997E-2</v>
      </c>
      <c r="L200" s="15">
        <f t="shared" si="57"/>
        <v>1064591.7999999998</v>
      </c>
      <c r="M200">
        <v>0.01</v>
      </c>
      <c r="N200" s="83">
        <v>2.8</v>
      </c>
    </row>
    <row r="201" spans="1:16" x14ac:dyDescent="0.15">
      <c r="B201" s="10">
        <f>B200+0.5</f>
        <v>2018.5</v>
      </c>
      <c r="C201" s="20">
        <f t="shared" si="51"/>
        <v>1.2048757823260843E-2</v>
      </c>
      <c r="D201" s="17">
        <f t="shared" si="55"/>
        <v>1.3071041591364132E-2</v>
      </c>
      <c r="E201" s="18">
        <f t="shared" si="52"/>
        <v>41.915840800000005</v>
      </c>
      <c r="F201" s="19">
        <f t="shared" si="53"/>
        <v>41915840.800000004</v>
      </c>
      <c r="G201" s="15">
        <f t="shared" si="58"/>
        <v>984916.00000000012</v>
      </c>
      <c r="H201" s="15">
        <f>6*60*60*24*365/1000</f>
        <v>189216</v>
      </c>
      <c r="I201" s="16">
        <f>J201*1000*$N201/1000000000</f>
        <v>2.2279599999999999</v>
      </c>
      <c r="J201" s="15">
        <f>J199+($J$186-$J$156)/15</f>
        <v>795700.00000000012</v>
      </c>
      <c r="K201" s="16">
        <f t="shared" si="56"/>
        <v>1.0645917999999997E-2</v>
      </c>
      <c r="L201" s="15">
        <f t="shared" si="57"/>
        <v>1064591.7999999998</v>
      </c>
      <c r="M201">
        <v>0</v>
      </c>
      <c r="N201" s="83">
        <v>2.8</v>
      </c>
    </row>
    <row r="202" spans="1:16" x14ac:dyDescent="0.15">
      <c r="A202">
        <f>A200+1</f>
        <v>4</v>
      </c>
      <c r="B202" s="10">
        <f>B200+1</f>
        <v>2019</v>
      </c>
      <c r="C202" s="20">
        <f t="shared" si="51"/>
        <v>7.7169667621040843E-3</v>
      </c>
      <c r="D202" s="17">
        <f t="shared" si="55"/>
        <v>8.3641673157850652E-3</v>
      </c>
      <c r="E202" s="18">
        <f t="shared" si="52"/>
        <v>40.930924800000007</v>
      </c>
      <c r="F202" s="19">
        <f t="shared" si="53"/>
        <v>40930924.800000004</v>
      </c>
      <c r="G202" s="15">
        <f t="shared" si="58"/>
        <v>1423811.4666666668</v>
      </c>
      <c r="H202" s="15">
        <f>H200+(H$19-H$4)/15</f>
        <v>214444.80000000005</v>
      </c>
      <c r="I202" s="16">
        <f>J202*1000*$N$4/1000000000</f>
        <v>1.2093666666666667</v>
      </c>
      <c r="J202" s="15">
        <f>J200+($J$185-$J$155)/15</f>
        <v>1209366.6666666667</v>
      </c>
      <c r="K202" s="16">
        <f t="shared" si="56"/>
        <v>1.0699630666666664E-2</v>
      </c>
      <c r="L202" s="15">
        <f t="shared" si="57"/>
        <v>1069963.0666666664</v>
      </c>
      <c r="M202">
        <v>0.01</v>
      </c>
      <c r="N202" s="83">
        <v>2.8</v>
      </c>
    </row>
    <row r="203" spans="1:16" x14ac:dyDescent="0.15">
      <c r="B203" s="10">
        <f>B202+0.5</f>
        <v>2019.5</v>
      </c>
      <c r="C203" s="20">
        <f t="shared" si="51"/>
        <v>1.1472681369177831E-2</v>
      </c>
      <c r="D203" s="17">
        <f t="shared" si="55"/>
        <v>1.245750183277263E-2</v>
      </c>
      <c r="E203" s="18">
        <f t="shared" si="52"/>
        <v>39.507113333333344</v>
      </c>
      <c r="F203" s="19">
        <f t="shared" si="53"/>
        <v>39507113.333333343</v>
      </c>
      <c r="G203" s="15">
        <f t="shared" si="58"/>
        <v>1053049.3333333335</v>
      </c>
      <c r="H203" s="15">
        <f>6*60*60*24*365/1000</f>
        <v>189216</v>
      </c>
      <c r="I203" s="16">
        <f>J203*1000*$N203/1000000000</f>
        <v>2.4187333333333334</v>
      </c>
      <c r="J203" s="15">
        <f>J201+($J$186-$J$156)/15</f>
        <v>863833.33333333349</v>
      </c>
      <c r="K203" s="16">
        <f t="shared" si="56"/>
        <v>1.0699630666666664E-2</v>
      </c>
      <c r="L203" s="15">
        <f t="shared" si="57"/>
        <v>1069963.0666666664</v>
      </c>
      <c r="M203">
        <v>0</v>
      </c>
      <c r="N203" s="83">
        <v>2.8</v>
      </c>
    </row>
    <row r="204" spans="1:16" x14ac:dyDescent="0.15">
      <c r="A204">
        <f>A202+1</f>
        <v>5</v>
      </c>
      <c r="B204" s="10">
        <f>B202+1</f>
        <v>2020</v>
      </c>
      <c r="C204" s="20">
        <f t="shared" si="51"/>
        <v>7.2991993346726196E-3</v>
      </c>
      <c r="D204" s="17">
        <f t="shared" si="55"/>
        <v>7.9043294069112806E-3</v>
      </c>
      <c r="E204" s="18">
        <f t="shared" si="52"/>
        <v>38.45406400000001</v>
      </c>
      <c r="F204" s="19">
        <f t="shared" si="53"/>
        <v>38454064.000000007</v>
      </c>
      <c r="G204" s="15">
        <f t="shared" si="58"/>
        <v>1525505.3333333335</v>
      </c>
      <c r="H204" s="15">
        <f>H202+(H$19-H$4)/15</f>
        <v>220752.00000000006</v>
      </c>
      <c r="I204" s="16">
        <f>J204*1000*$N$4/1000000000</f>
        <v>1.3047533333333334</v>
      </c>
      <c r="J204" s="15">
        <f>J202+($J$185-$J$155)/15</f>
        <v>1304753.3333333335</v>
      </c>
      <c r="K204" s="16">
        <f t="shared" si="56"/>
        <v>1.075334333333333E-2</v>
      </c>
      <c r="L204" s="15">
        <f t="shared" si="57"/>
        <v>1075334.333333333</v>
      </c>
      <c r="M204">
        <v>0.01</v>
      </c>
      <c r="N204" s="83">
        <v>2.8</v>
      </c>
    </row>
    <row r="205" spans="1:16" x14ac:dyDescent="0.15">
      <c r="B205" s="10">
        <f>B204+0.5</f>
        <v>2020.5</v>
      </c>
      <c r="C205" s="20">
        <f t="shared" si="51"/>
        <v>1.0951657692054773E-2</v>
      </c>
      <c r="D205" s="17">
        <f t="shared" si="55"/>
        <v>1.1918530670589502E-2</v>
      </c>
      <c r="E205" s="18">
        <f t="shared" si="52"/>
        <v>36.928558666666675</v>
      </c>
      <c r="F205" s="19">
        <f t="shared" si="53"/>
        <v>36928558.666666672</v>
      </c>
      <c r="G205" s="15">
        <f t="shared" si="58"/>
        <v>1121182.666666667</v>
      </c>
      <c r="H205" s="15">
        <f>6*60*60*24*365/1000</f>
        <v>189216</v>
      </c>
      <c r="I205" s="16">
        <f>J205*1000*$N205/1000000000</f>
        <v>2.6095066666666669</v>
      </c>
      <c r="J205" s="15">
        <f>J203+($J$186-$J$156)/15</f>
        <v>931966.66666666686</v>
      </c>
      <c r="K205" s="16">
        <f t="shared" si="56"/>
        <v>1.075334333333333E-2</v>
      </c>
      <c r="L205" s="15">
        <f t="shared" si="57"/>
        <v>1075334.333333333</v>
      </c>
      <c r="M205">
        <v>0</v>
      </c>
      <c r="N205" s="83">
        <v>2.8</v>
      </c>
    </row>
    <row r="206" spans="1:16" x14ac:dyDescent="0.15">
      <c r="A206">
        <f>A204+1</f>
        <v>6</v>
      </c>
      <c r="B206" s="10">
        <f>B204+1</f>
        <v>2021</v>
      </c>
      <c r="C206" s="20">
        <f t="shared" si="51"/>
        <v>6.925693320329651E-3</v>
      </c>
      <c r="D206" s="17">
        <f t="shared" si="55"/>
        <v>7.5019677984109103E-3</v>
      </c>
      <c r="E206" s="18">
        <f t="shared" si="52"/>
        <v>35.807376000000005</v>
      </c>
      <c r="F206" s="19">
        <f t="shared" si="53"/>
        <v>35807376.000000007</v>
      </c>
      <c r="G206" s="15">
        <f t="shared" si="58"/>
        <v>1627199.2000000002</v>
      </c>
      <c r="H206" s="15">
        <f>H204+(H$19-H$4)/15</f>
        <v>227059.20000000007</v>
      </c>
      <c r="I206" s="16">
        <f>J206*1000*$N$4/1000000000</f>
        <v>1.4001400000000002</v>
      </c>
      <c r="J206" s="15">
        <f>J204+($J$185-$J$155)/15</f>
        <v>1400140.0000000002</v>
      </c>
      <c r="K206" s="16">
        <f t="shared" si="56"/>
        <v>1.0807055999999997E-2</v>
      </c>
      <c r="L206" s="15">
        <f t="shared" si="57"/>
        <v>1080705.5999999996</v>
      </c>
      <c r="M206">
        <v>0.01</v>
      </c>
      <c r="N206" s="83">
        <v>2.8</v>
      </c>
    </row>
    <row r="207" spans="1:16" x14ac:dyDescent="0.15">
      <c r="B207" s="10">
        <f>B206+0.5</f>
        <v>2021.5</v>
      </c>
      <c r="C207" s="20">
        <f t="shared" si="51"/>
        <v>1.0473415965221751E-2</v>
      </c>
      <c r="D207" s="17">
        <f t="shared" si="55"/>
        <v>1.1441312485495861E-2</v>
      </c>
      <c r="E207" s="18">
        <f t="shared" si="52"/>
        <v>34.180176800000005</v>
      </c>
      <c r="F207" s="19">
        <f t="shared" si="53"/>
        <v>34180176.800000004</v>
      </c>
      <c r="G207" s="15">
        <f t="shared" si="58"/>
        <v>1189316.0000000002</v>
      </c>
      <c r="H207" s="15">
        <f>6*60*60*24*365/1000</f>
        <v>189216</v>
      </c>
      <c r="I207" s="16">
        <f>J207*1000*$N207/1000000000</f>
        <v>2.8002800000000003</v>
      </c>
      <c r="J207" s="15">
        <f>J205+($J$186-$J$156)/15</f>
        <v>1000100.0000000002</v>
      </c>
      <c r="K207" s="16">
        <f t="shared" si="56"/>
        <v>1.0807055999999997E-2</v>
      </c>
      <c r="L207" s="15">
        <f t="shared" si="57"/>
        <v>1080705.5999999996</v>
      </c>
      <c r="M207">
        <v>0</v>
      </c>
      <c r="N207" s="83">
        <v>2.8</v>
      </c>
    </row>
    <row r="208" spans="1:16" x14ac:dyDescent="0.15">
      <c r="A208">
        <f>A206+1</f>
        <v>7</v>
      </c>
      <c r="B208" s="10">
        <f>B206+1</f>
        <v>2022</v>
      </c>
      <c r="C208" s="20">
        <f t="shared" si="51"/>
        <v>6.5875183751084448E-3</v>
      </c>
      <c r="D208" s="17">
        <f t="shared" si="55"/>
        <v>7.1469401847717865E-3</v>
      </c>
      <c r="E208" s="18">
        <f t="shared" si="52"/>
        <v>32.9908608</v>
      </c>
      <c r="F208" s="19">
        <f t="shared" si="53"/>
        <v>32990860.800000001</v>
      </c>
      <c r="G208" s="15">
        <f t="shared" si="58"/>
        <v>1728893.0666666671</v>
      </c>
      <c r="H208" s="15">
        <f>H206+(H$19-H$4)/15</f>
        <v>233366.40000000008</v>
      </c>
      <c r="I208" s="16">
        <f>J208*1000*$N$4/1000000000</f>
        <v>1.4955266666666669</v>
      </c>
      <c r="J208" s="15">
        <f>J206+($J$185-$J$155)/15</f>
        <v>1495526.666666667</v>
      </c>
      <c r="K208" s="16">
        <f t="shared" si="56"/>
        <v>1.0860768666666663E-2</v>
      </c>
      <c r="L208" s="15">
        <f t="shared" si="57"/>
        <v>1086076.8666666662</v>
      </c>
      <c r="M208">
        <v>0.01</v>
      </c>
      <c r="N208" s="83">
        <v>2.8</v>
      </c>
    </row>
    <row r="209" spans="1:16" x14ac:dyDescent="0.15">
      <c r="B209" s="10">
        <f>B208+0.5</f>
        <v>2022.5</v>
      </c>
      <c r="C209" s="20">
        <f t="shared" si="51"/>
        <v>1.0026711306036842E-2</v>
      </c>
      <c r="D209" s="17">
        <f t="shared" si="55"/>
        <v>1.1015809251956603E-2</v>
      </c>
      <c r="E209" s="18">
        <f t="shared" si="52"/>
        <v>31.261967733333336</v>
      </c>
      <c r="F209" s="19">
        <f t="shared" si="53"/>
        <v>31261967.733333334</v>
      </c>
      <c r="G209" s="15">
        <f t="shared" si="58"/>
        <v>1257449.3333333335</v>
      </c>
      <c r="H209" s="15">
        <f>6*60*60*24*365/1000</f>
        <v>189216</v>
      </c>
      <c r="I209" s="16">
        <f>J209*1000*$N209/1000000000</f>
        <v>2.9910533333333333</v>
      </c>
      <c r="J209" s="15">
        <f>J207+($J$186-$J$156)/15</f>
        <v>1068233.3333333335</v>
      </c>
      <c r="K209" s="16">
        <f t="shared" si="56"/>
        <v>1.0860768666666663E-2</v>
      </c>
      <c r="L209" s="15">
        <f t="shared" si="57"/>
        <v>1086076.8666666662</v>
      </c>
      <c r="M209">
        <v>0</v>
      </c>
      <c r="N209" s="83">
        <v>2.8</v>
      </c>
      <c r="O209" s="15">
        <v>3871920</v>
      </c>
      <c r="P209" t="s">
        <v>911</v>
      </c>
    </row>
    <row r="210" spans="1:16" x14ac:dyDescent="0.15">
      <c r="A210">
        <f>A208+1</f>
        <v>8</v>
      </c>
      <c r="B210" s="10">
        <f>B208+1</f>
        <v>2023</v>
      </c>
      <c r="C210" s="20">
        <f t="shared" si="51"/>
        <v>6.2768896465416925E-3</v>
      </c>
      <c r="D210" s="17">
        <f t="shared" si="55"/>
        <v>6.8313579863128731E-3</v>
      </c>
      <c r="E210" s="18">
        <f t="shared" si="52"/>
        <v>30.004518400000002</v>
      </c>
      <c r="F210" s="19">
        <f t="shared" si="53"/>
        <v>30004518.400000002</v>
      </c>
      <c r="G210" s="15">
        <f t="shared" si="58"/>
        <v>1830586.9333333338</v>
      </c>
      <c r="H210" s="15">
        <f>H208+(H$19-H$4)/15</f>
        <v>239673.60000000009</v>
      </c>
      <c r="I210" s="16">
        <f>J210*1000*$N$4/1000000000</f>
        <v>1.5909133333333336</v>
      </c>
      <c r="J210" s="15">
        <f>J208+($J$185-$J$155)/15</f>
        <v>1590913.3333333337</v>
      </c>
      <c r="K210" s="16">
        <f t="shared" si="56"/>
        <v>1.0914481333333328E-2</v>
      </c>
      <c r="L210" s="15">
        <f t="shared" si="57"/>
        <v>1091448.1333333328</v>
      </c>
      <c r="M210">
        <v>0.01</v>
      </c>
      <c r="N210" s="83">
        <v>2.8</v>
      </c>
      <c r="O210" s="16">
        <v>118000000</v>
      </c>
      <c r="P210" t="s">
        <v>755</v>
      </c>
    </row>
    <row r="211" spans="1:16" x14ac:dyDescent="0.15">
      <c r="B211" s="10">
        <f>B210+0.5</f>
        <v>2023.5</v>
      </c>
      <c r="C211" s="20">
        <f t="shared" si="51"/>
        <v>9.6001131099125309E-3</v>
      </c>
      <c r="D211" s="17">
        <f t="shared" si="55"/>
        <v>1.0634046713545836E-2</v>
      </c>
      <c r="E211" s="18">
        <f t="shared" si="52"/>
        <v>28.173931466666669</v>
      </c>
      <c r="F211" s="19">
        <f t="shared" si="53"/>
        <v>28173931.466666669</v>
      </c>
      <c r="G211" s="15">
        <f t="shared" si="58"/>
        <v>1325582.6666666667</v>
      </c>
      <c r="H211" s="15">
        <f>6*60*60*24*365/1000</f>
        <v>189216</v>
      </c>
      <c r="I211" s="16">
        <f>J211*1000*$N211/1000000000</f>
        <v>3.1818266666666664</v>
      </c>
      <c r="J211" s="15">
        <f>J209+($J$186-$J$156)/15</f>
        <v>1136366.6666666667</v>
      </c>
      <c r="K211" s="16">
        <f t="shared" si="56"/>
        <v>1.0914481333333328E-2</v>
      </c>
      <c r="L211" s="15">
        <f t="shared" si="57"/>
        <v>1091448.1333333328</v>
      </c>
      <c r="M211">
        <v>0</v>
      </c>
      <c r="N211" s="83">
        <v>2.8</v>
      </c>
      <c r="O211" s="15">
        <v>2932848</v>
      </c>
      <c r="P211" t="s">
        <v>966</v>
      </c>
    </row>
    <row r="212" spans="1:16" x14ac:dyDescent="0.15">
      <c r="A212">
        <f>A210+1</f>
        <v>9</v>
      </c>
      <c r="B212" s="10">
        <f>B210+1</f>
        <v>2024</v>
      </c>
      <c r="C212" s="20">
        <f t="shared" si="51"/>
        <v>5.9863828264962683E-3</v>
      </c>
      <c r="D212" s="17">
        <f t="shared" si="55"/>
        <v>6.5489932933143011E-3</v>
      </c>
      <c r="E212" s="18">
        <f t="shared" si="52"/>
        <v>26.8483488</v>
      </c>
      <c r="F212" s="19">
        <f t="shared" si="53"/>
        <v>26848348.800000001</v>
      </c>
      <c r="G212" s="15">
        <f t="shared" si="58"/>
        <v>1932280.8000000005</v>
      </c>
      <c r="H212" s="15">
        <f>H210+(H$19-H$4)/15</f>
        <v>245980.8000000001</v>
      </c>
      <c r="I212" s="16">
        <f>J212*1000*$N$4/1000000000</f>
        <v>1.6863000000000006</v>
      </c>
      <c r="J212" s="15">
        <f>J210+($J$185-$J$155)/15</f>
        <v>1686300.0000000005</v>
      </c>
      <c r="K212" s="16">
        <f t="shared" si="56"/>
        <v>1.0968193999999994E-2</v>
      </c>
      <c r="L212" s="15">
        <f t="shared" si="57"/>
        <v>1096819.3999999994</v>
      </c>
      <c r="M212">
        <v>0.01</v>
      </c>
      <c r="N212" s="83">
        <v>2.8</v>
      </c>
      <c r="O212" s="15">
        <v>283824</v>
      </c>
      <c r="P212" t="s">
        <v>965</v>
      </c>
    </row>
    <row r="213" spans="1:16" x14ac:dyDescent="0.15">
      <c r="B213" s="10">
        <f>B212+0.5</f>
        <v>2024.5</v>
      </c>
      <c r="C213" s="20">
        <f t="shared" si="51"/>
        <v>9.180274740305262E-3</v>
      </c>
      <c r="D213" s="17">
        <f t="shared" si="55"/>
        <v>1.0289609934879125E-2</v>
      </c>
      <c r="E213" s="18">
        <f t="shared" si="52"/>
        <v>24.916067999999999</v>
      </c>
      <c r="F213" s="19">
        <f t="shared" si="53"/>
        <v>24916068</v>
      </c>
      <c r="G213" s="15">
        <f t="shared" si="58"/>
        <v>1393716</v>
      </c>
      <c r="H213" s="15">
        <f>6*60*60*24*365/1000</f>
        <v>189216</v>
      </c>
      <c r="I213" s="16">
        <f>J213*1000*$N213/1000000000</f>
        <v>3.3725999999999998</v>
      </c>
      <c r="J213" s="15">
        <f>J211+($J$186-$J$156)/15</f>
        <v>1204500</v>
      </c>
      <c r="K213" s="16">
        <f t="shared" si="56"/>
        <v>1.0968193999999994E-2</v>
      </c>
      <c r="L213" s="15">
        <f t="shared" si="57"/>
        <v>1096819.3999999994</v>
      </c>
      <c r="M213">
        <v>0</v>
      </c>
      <c r="N213" s="83">
        <v>2.8</v>
      </c>
      <c r="O213" s="15">
        <f>6*60*60*24*365/1000</f>
        <v>189216</v>
      </c>
      <c r="P213" t="s">
        <v>1105</v>
      </c>
    </row>
    <row r="214" spans="1:16" x14ac:dyDescent="0.15">
      <c r="A214">
        <f>A212+1</f>
        <v>10</v>
      </c>
      <c r="B214" s="10">
        <f>B212+1</f>
        <v>2025</v>
      </c>
      <c r="C214" s="20">
        <f t="shared" si="51"/>
        <v>5.7078986443829579E-3</v>
      </c>
      <c r="D214" s="17">
        <f t="shared" si="55"/>
        <v>6.2948637183943895E-3</v>
      </c>
      <c r="E214" s="18">
        <f t="shared" si="52"/>
        <v>23.522352000000001</v>
      </c>
      <c r="F214" s="19">
        <f t="shared" si="53"/>
        <v>23522352</v>
      </c>
      <c r="G214" s="15">
        <f t="shared" si="58"/>
        <v>2033974.6666666674</v>
      </c>
      <c r="H214" s="15">
        <f>H212+(H$19-H$4)/15</f>
        <v>252288.00000000012</v>
      </c>
      <c r="I214" s="16">
        <f>J214*1000*$N$4/1000000000</f>
        <v>1.7816866666666673</v>
      </c>
      <c r="J214" s="15">
        <f>J212+($J$185-$J$155)/15</f>
        <v>1781686.6666666672</v>
      </c>
      <c r="K214" s="16">
        <f t="shared" si="56"/>
        <v>1.1021906666666661E-2</v>
      </c>
      <c r="L214" s="15">
        <f t="shared" si="57"/>
        <v>1102190.666666666</v>
      </c>
      <c r="M214">
        <v>0.01</v>
      </c>
      <c r="N214" s="83">
        <v>2.8</v>
      </c>
      <c r="O214" s="15">
        <f>36*60*60*24*365/1000</f>
        <v>1135296</v>
      </c>
      <c r="P214" t="s">
        <v>1106</v>
      </c>
    </row>
    <row r="215" spans="1:16" x14ac:dyDescent="0.15">
      <c r="B215" s="10">
        <f>B214+0.5</f>
        <v>2025.5</v>
      </c>
      <c r="C215" s="20">
        <f t="shared" si="51"/>
        <v>8.7487861529419071E-3</v>
      </c>
      <c r="D215" s="17">
        <f t="shared" si="55"/>
        <v>9.9772799203201017E-3</v>
      </c>
      <c r="E215" s="18">
        <f t="shared" si="52"/>
        <v>21.488377333333332</v>
      </c>
      <c r="F215" s="19">
        <f t="shared" si="53"/>
        <v>21488377.333333332</v>
      </c>
      <c r="G215" s="15">
        <f t="shared" si="58"/>
        <v>1461849.3333333333</v>
      </c>
      <c r="H215" s="15">
        <f>6*60*60*24*365/1000</f>
        <v>189216</v>
      </c>
      <c r="I215" s="16">
        <f>J215*1000*$N215/1000000000</f>
        <v>3.5633733333333328</v>
      </c>
      <c r="J215" s="15">
        <f>J213+($J$186-$J$156)/15</f>
        <v>1272633.3333333333</v>
      </c>
      <c r="K215" s="16">
        <f t="shared" si="56"/>
        <v>1.1021906666666661E-2</v>
      </c>
      <c r="L215" s="15">
        <f t="shared" si="57"/>
        <v>1102190.666666666</v>
      </c>
      <c r="M215">
        <v>0</v>
      </c>
      <c r="N215" s="83">
        <v>2.8</v>
      </c>
      <c r="O215" s="15">
        <f>18*60*60*24*365/1000</f>
        <v>567648</v>
      </c>
      <c r="P215" t="s">
        <v>964</v>
      </c>
    </row>
    <row r="216" spans="1:16" x14ac:dyDescent="0.15">
      <c r="A216">
        <f>A214+1</f>
        <v>11</v>
      </c>
      <c r="B216" s="10">
        <f>B214+1</f>
        <v>2026</v>
      </c>
      <c r="C216" s="20">
        <f t="shared" si="51"/>
        <v>5.4308219827132074E-3</v>
      </c>
      <c r="D216" s="17">
        <f t="shared" si="55"/>
        <v>6.064935857087431E-3</v>
      </c>
      <c r="E216" s="18">
        <f t="shared" si="52"/>
        <v>20.026527999999999</v>
      </c>
      <c r="F216" s="19">
        <f t="shared" si="53"/>
        <v>20026528</v>
      </c>
      <c r="G216" s="15">
        <f t="shared" si="58"/>
        <v>2135668.5333333341</v>
      </c>
      <c r="H216" s="15">
        <f>H214+(H$19-H$4)/15</f>
        <v>258595.20000000013</v>
      </c>
      <c r="I216" s="16">
        <f>J216*1000*$N$4/1000000000</f>
        <v>1.877073333333334</v>
      </c>
      <c r="J216" s="15">
        <f>J214+($J$185-$J$155)/15</f>
        <v>1877073.333333334</v>
      </c>
      <c r="K216" s="16">
        <f t="shared" si="56"/>
        <v>1.1075619333333326E-2</v>
      </c>
      <c r="L216" s="15">
        <f t="shared" si="57"/>
        <v>1107561.9333333327</v>
      </c>
      <c r="M216">
        <v>0.01</v>
      </c>
      <c r="N216" s="83">
        <v>2.8</v>
      </c>
      <c r="O216" s="15">
        <v>1129047</v>
      </c>
      <c r="P216" t="s">
        <v>1150</v>
      </c>
    </row>
    <row r="217" spans="1:16" x14ac:dyDescent="0.15">
      <c r="B217" s="10">
        <f>B216+0.5</f>
        <v>2026.5</v>
      </c>
      <c r="C217" s="20">
        <f t="shared" si="51"/>
        <v>8.2751763612201271E-3</v>
      </c>
      <c r="D217" s="17">
        <f t="shared" si="55"/>
        <v>9.6927673254686066E-3</v>
      </c>
      <c r="E217" s="18">
        <f t="shared" si="52"/>
        <v>17.890859466666669</v>
      </c>
      <c r="F217" s="19">
        <f t="shared" si="53"/>
        <v>17890859.466666669</v>
      </c>
      <c r="G217" s="15">
        <f t="shared" si="58"/>
        <v>1529982.6666666665</v>
      </c>
      <c r="H217" s="15">
        <f>6*60*60*24*365/1000</f>
        <v>189216</v>
      </c>
      <c r="I217" s="16">
        <f>J217*1000*$N217/1000000000</f>
        <v>3.7541466666666659</v>
      </c>
      <c r="J217" s="15">
        <f>J215+($J$186-$J$156)/15</f>
        <v>1340766.6666666665</v>
      </c>
      <c r="K217" s="16">
        <f t="shared" si="56"/>
        <v>1.1075619333333326E-2</v>
      </c>
      <c r="L217" s="15">
        <f t="shared" si="57"/>
        <v>1107561.9333333327</v>
      </c>
      <c r="M217">
        <v>0</v>
      </c>
      <c r="N217" s="83">
        <v>2.8</v>
      </c>
      <c r="O217" s="15">
        <v>1048478</v>
      </c>
      <c r="P217" t="s">
        <v>1149</v>
      </c>
    </row>
    <row r="218" spans="1:16" x14ac:dyDescent="0.15">
      <c r="A218">
        <f>A216+1</f>
        <v>12</v>
      </c>
      <c r="B218" s="10">
        <f>B216+1</f>
        <v>2027</v>
      </c>
      <c r="C218" s="20">
        <f t="shared" si="51"/>
        <v>5.1377998688064228E-3</v>
      </c>
      <c r="D218" s="17">
        <f t="shared" si="55"/>
        <v>5.8559096192909964E-3</v>
      </c>
      <c r="E218" s="18">
        <f t="shared" si="52"/>
        <v>16.3608768</v>
      </c>
      <c r="F218" s="19">
        <f t="shared" si="53"/>
        <v>16360876.800000001</v>
      </c>
      <c r="G218" s="15">
        <f t="shared" si="58"/>
        <v>2237362.4000000008</v>
      </c>
      <c r="H218" s="15">
        <f>H216+(H$19-H$4)/15</f>
        <v>264902.40000000014</v>
      </c>
      <c r="I218" s="16">
        <f>J218*1000*$N$4/1000000000</f>
        <v>1.9724600000000008</v>
      </c>
      <c r="J218" s="15">
        <f>J216+($J$185-$J$155)/15</f>
        <v>1972460.0000000007</v>
      </c>
      <c r="K218" s="16">
        <f t="shared" si="56"/>
        <v>1.1129331999999994E-2</v>
      </c>
      <c r="L218" s="15">
        <f t="shared" si="57"/>
        <v>1112933.1999999993</v>
      </c>
      <c r="M218">
        <v>0.01</v>
      </c>
      <c r="N218" s="83">
        <v>2.8</v>
      </c>
      <c r="O218" s="10">
        <f>7/12</f>
        <v>0.58333333333333337</v>
      </c>
      <c r="P218" s="10" t="s">
        <v>1086</v>
      </c>
    </row>
    <row r="219" spans="1:16" x14ac:dyDescent="0.15">
      <c r="B219" s="10">
        <f>B218+0.5</f>
        <v>2027.5</v>
      </c>
      <c r="C219" s="20">
        <f t="shared" si="51"/>
        <v>7.6980022337162579E-3</v>
      </c>
      <c r="D219" s="17">
        <f t="shared" si="55"/>
        <v>9.4325142855712571E-3</v>
      </c>
      <c r="E219" s="18">
        <f t="shared" si="52"/>
        <v>14.123514400000001</v>
      </c>
      <c r="F219" s="19">
        <f t="shared" si="53"/>
        <v>14123514.4</v>
      </c>
      <c r="G219" s="15">
        <f t="shared" si="58"/>
        <v>1598115.9999999998</v>
      </c>
      <c r="H219" s="15">
        <f>6*60*60*24*365/1000</f>
        <v>189216</v>
      </c>
      <c r="I219" s="16">
        <f>J219*1000*$N219/1000000000</f>
        <v>3.9449199999999989</v>
      </c>
      <c r="J219" s="15">
        <f>J217+($J$186-$J$156)/15</f>
        <v>1408899.9999999998</v>
      </c>
      <c r="K219" s="16">
        <f t="shared" si="56"/>
        <v>1.1129331999999994E-2</v>
      </c>
      <c r="L219" s="15">
        <f t="shared" si="57"/>
        <v>1112933.1999999993</v>
      </c>
      <c r="M219">
        <v>0</v>
      </c>
      <c r="N219" s="83">
        <v>2.8</v>
      </c>
      <c r="O219">
        <f>5/12</f>
        <v>0.41666666666666669</v>
      </c>
      <c r="P219" s="10" t="s">
        <v>1087</v>
      </c>
    </row>
    <row r="220" spans="1:16" x14ac:dyDescent="0.15">
      <c r="A220">
        <f>A218+1</f>
        <v>13</v>
      </c>
      <c r="B220" s="10">
        <f>B218+1</f>
        <v>2028</v>
      </c>
      <c r="C220" s="20">
        <f t="shared" si="51"/>
        <v>4.7924345313908392E-3</v>
      </c>
      <c r="D220" s="17">
        <f t="shared" si="55"/>
        <v>5.6650588197336739E-3</v>
      </c>
      <c r="E220" s="18">
        <f t="shared" si="52"/>
        <v>12.5253984</v>
      </c>
      <c r="F220" s="19">
        <f t="shared" si="53"/>
        <v>12525398.4</v>
      </c>
      <c r="G220" s="15">
        <f t="shared" si="58"/>
        <v>2339056.2666666675</v>
      </c>
      <c r="H220" s="15">
        <f>H218+(H$19-H$4)/15</f>
        <v>271209.60000000015</v>
      </c>
      <c r="I220" s="16">
        <f>J220*1000*$N$4/1000000000</f>
        <v>2.0678466666666675</v>
      </c>
      <c r="J220" s="15">
        <f>J218+($J$185-$J$155)/15</f>
        <v>2067846.6666666674</v>
      </c>
      <c r="K220" s="16">
        <f t="shared" si="56"/>
        <v>1.1183044666666659E-2</v>
      </c>
      <c r="L220" s="15">
        <f t="shared" si="57"/>
        <v>1118304.4666666659</v>
      </c>
      <c r="M220">
        <v>0.01</v>
      </c>
      <c r="N220" s="83">
        <v>2.8</v>
      </c>
      <c r="O220" s="15" t="s">
        <v>935</v>
      </c>
      <c r="P220" s="15" t="s">
        <v>1119</v>
      </c>
    </row>
    <row r="221" spans="1:16" x14ac:dyDescent="0.15">
      <c r="B221" s="10">
        <f>B220+0.5</f>
        <v>2028.5</v>
      </c>
      <c r="C221" s="20">
        <f t="shared" si="51"/>
        <v>6.859264214114983E-3</v>
      </c>
      <c r="D221" s="17">
        <f t="shared" si="55"/>
        <v>9.1935448636338499E-3</v>
      </c>
      <c r="E221" s="18">
        <f t="shared" si="52"/>
        <v>10.186342133333333</v>
      </c>
      <c r="F221" s="19">
        <f t="shared" si="53"/>
        <v>10186342.133333333</v>
      </c>
      <c r="G221" s="15">
        <f t="shared" si="58"/>
        <v>1666249.333333333</v>
      </c>
      <c r="H221" s="15">
        <f>6*60*60*24*365/1000</f>
        <v>189216</v>
      </c>
      <c r="I221" s="16">
        <f>J221*1000*$N221/1000000000</f>
        <v>4.1356933333333323</v>
      </c>
      <c r="J221" s="15">
        <f>J219+($J$186-$J$156)/15</f>
        <v>1477033.333333333</v>
      </c>
      <c r="K221" s="16">
        <f t="shared" si="56"/>
        <v>1.1183044666666659E-2</v>
      </c>
      <c r="L221" s="15">
        <f t="shared" si="57"/>
        <v>1118304.4666666659</v>
      </c>
      <c r="M221">
        <v>0</v>
      </c>
      <c r="N221" s="83">
        <v>2.8</v>
      </c>
    </row>
    <row r="222" spans="1:16" x14ac:dyDescent="0.15">
      <c r="A222">
        <f>A220+1</f>
        <v>14</v>
      </c>
      <c r="B222" s="10">
        <f>B220+1</f>
        <v>2029</v>
      </c>
      <c r="C222" s="20">
        <f>(D222*G222+D224*F224)/F222</f>
        <v>4.2904434349026657E-3</v>
      </c>
      <c r="D222" s="17">
        <f t="shared" si="55"/>
        <v>5.4901116192366166E-3</v>
      </c>
      <c r="E222" s="18">
        <f t="shared" si="52"/>
        <v>8.5200928000000005</v>
      </c>
      <c r="F222" s="19">
        <f t="shared" si="53"/>
        <v>8520092.8000000007</v>
      </c>
      <c r="G222" s="15">
        <f t="shared" si="58"/>
        <v>2440750.1333333342</v>
      </c>
      <c r="H222" s="15">
        <f>H220+(H$19-H$4)/15</f>
        <v>277516.80000000016</v>
      </c>
      <c r="I222" s="16">
        <f>J222*1000*$N$4/1000000000</f>
        <v>2.1632333333333338</v>
      </c>
      <c r="J222" s="15">
        <f>J220+($J$185-$J$155)/15</f>
        <v>2163233.333333334</v>
      </c>
      <c r="K222" s="16">
        <f t="shared" si="56"/>
        <v>1.1236757333333326E-2</v>
      </c>
      <c r="L222" s="15">
        <f>L220+(L$19-L$4)/15</f>
        <v>1123675.7333333325</v>
      </c>
      <c r="M222">
        <v>0.01</v>
      </c>
      <c r="N222" s="83">
        <v>2.8</v>
      </c>
    </row>
    <row r="223" spans="1:16" x14ac:dyDescent="0.15">
      <c r="B223" s="10">
        <f>B222+0.5</f>
        <v>2029.5</v>
      </c>
      <c r="C223" s="20">
        <f>(D223*G223+D225*F225)/F223</f>
        <v>5.1602509876616017E-3</v>
      </c>
      <c r="D223" s="17">
        <f t="shared" si="55"/>
        <v>8.9733507484315231E-3</v>
      </c>
      <c r="E223" s="18">
        <f t="shared" si="52"/>
        <v>6.0793426666666663</v>
      </c>
      <c r="F223" s="19">
        <f t="shared" si="53"/>
        <v>6079342.666666666</v>
      </c>
      <c r="G223" s="15">
        <f t="shared" si="58"/>
        <v>1734382.6666666663</v>
      </c>
      <c r="H223" s="15">
        <f>6*60*60*24*365/1000</f>
        <v>189216</v>
      </c>
      <c r="I223" s="16">
        <f>J223*1000*$N223/1000000000</f>
        <v>4.3264666666666649</v>
      </c>
      <c r="J223" s="15">
        <f>J221+($J$186-$J$156)/15</f>
        <v>1545166.6666666663</v>
      </c>
      <c r="K223" s="16">
        <f t="shared" si="56"/>
        <v>1.1236757333333326E-2</v>
      </c>
      <c r="L223" s="15">
        <f>L221+(L$19-L$4)/15</f>
        <v>1123675.7333333325</v>
      </c>
      <c r="M223">
        <v>0</v>
      </c>
      <c r="N223" s="83">
        <v>2.8</v>
      </c>
    </row>
    <row r="224" spans="1:16" x14ac:dyDescent="0.15">
      <c r="A224">
        <f>A222+1</f>
        <v>15</v>
      </c>
      <c r="B224" s="10">
        <f>B222+1</f>
        <v>2030</v>
      </c>
      <c r="C224" s="20">
        <f>(D224*G224+D225*F225)/F224</f>
        <v>6.7565178965974327E-3</v>
      </c>
      <c r="D224" s="17">
        <f t="shared" si="55"/>
        <v>5.3291596589738026E-3</v>
      </c>
      <c r="E224" s="18">
        <f t="shared" si="52"/>
        <v>4.3449600000000004</v>
      </c>
      <c r="F224" s="19">
        <f>F225+H224+J224</f>
        <v>4344960</v>
      </c>
      <c r="G224" s="15">
        <f t="shared" si="58"/>
        <v>2542444</v>
      </c>
      <c r="H224" s="15">
        <v>283824</v>
      </c>
      <c r="I224" s="16">
        <f>J224*1000*$N$4/1000000000</f>
        <v>2.2586200000000001</v>
      </c>
      <c r="J224" s="15">
        <f>O209*O218</f>
        <v>2258620</v>
      </c>
      <c r="K224" s="16">
        <f t="shared" si="56"/>
        <v>1.129046999999999E-2</v>
      </c>
      <c r="L224" s="15">
        <f>L222+(L$19-L$4)/15</f>
        <v>1129046.9999999991</v>
      </c>
      <c r="M224">
        <v>0.01</v>
      </c>
      <c r="N224" s="83">
        <v>2.8</v>
      </c>
    </row>
    <row r="225" spans="1:16" x14ac:dyDescent="0.15">
      <c r="B225" s="10">
        <f>B224+0.5</f>
        <v>2030.5</v>
      </c>
      <c r="C225" s="20">
        <f>(D225*G225+D227*F227)/F225</f>
        <v>8.7698028755361888E-3</v>
      </c>
      <c r="D225" s="17">
        <f t="shared" si="55"/>
        <v>8.7698028755361888E-3</v>
      </c>
      <c r="E225" s="18">
        <f t="shared" si="52"/>
        <v>1.802516</v>
      </c>
      <c r="F225" s="19">
        <f>F226+H225+J225</f>
        <v>1802516</v>
      </c>
      <c r="G225" s="15">
        <f t="shared" si="58"/>
        <v>1802516</v>
      </c>
      <c r="H225" s="15">
        <f>6*60*60*24*365/1000</f>
        <v>189216</v>
      </c>
      <c r="I225" s="16">
        <f>J225*1000*$N225/1000000000</f>
        <v>4.5172400000000001</v>
      </c>
      <c r="J225" s="15">
        <f>O209*O219</f>
        <v>1613300</v>
      </c>
      <c r="K225" s="16">
        <f t="shared" si="56"/>
        <v>1.129046999999999E-2</v>
      </c>
      <c r="L225" s="15">
        <f>L223+(L$19-L$4)/15</f>
        <v>1129046.9999999991</v>
      </c>
      <c r="M225">
        <v>0</v>
      </c>
      <c r="N225" s="83">
        <v>2.8</v>
      </c>
    </row>
    <row r="232" spans="1:16" ht="56" x14ac:dyDescent="0.15">
      <c r="A232" s="119" t="s">
        <v>1069</v>
      </c>
      <c r="B232" s="12"/>
      <c r="C232" s="12" t="s">
        <v>1172</v>
      </c>
      <c r="D232" s="13" t="s">
        <v>1166</v>
      </c>
      <c r="E232" s="13" t="s">
        <v>751</v>
      </c>
      <c r="F232" s="13" t="s">
        <v>751</v>
      </c>
      <c r="G232" s="13" t="s">
        <v>1088</v>
      </c>
      <c r="H232" s="13" t="s">
        <v>883</v>
      </c>
      <c r="I232" s="12" t="s">
        <v>1102</v>
      </c>
      <c r="J232" s="13" t="s">
        <v>897</v>
      </c>
      <c r="K232" s="13" t="s">
        <v>745</v>
      </c>
      <c r="L232" s="13" t="s">
        <v>898</v>
      </c>
      <c r="M232" s="12" t="s">
        <v>750</v>
      </c>
      <c r="N232" s="13" t="s">
        <v>1101</v>
      </c>
      <c r="O232" s="12"/>
      <c r="P232" s="12"/>
    </row>
    <row r="233" spans="1:16" x14ac:dyDescent="0.15">
      <c r="A233" s="1" t="s">
        <v>746</v>
      </c>
      <c r="B233" s="1" t="s">
        <v>747</v>
      </c>
      <c r="C233" s="1"/>
      <c r="D233" s="14" t="s">
        <v>748</v>
      </c>
      <c r="E233" s="14" t="s">
        <v>1104</v>
      </c>
      <c r="F233" s="14" t="s">
        <v>718</v>
      </c>
      <c r="G233" s="14" t="s">
        <v>749</v>
      </c>
      <c r="H233" s="14" t="s">
        <v>749</v>
      </c>
      <c r="I233" s="14" t="s">
        <v>884</v>
      </c>
      <c r="J233" s="14" t="s">
        <v>749</v>
      </c>
      <c r="K233" s="14" t="s">
        <v>884</v>
      </c>
      <c r="L233" s="14" t="s">
        <v>1144</v>
      </c>
      <c r="M233" s="1" t="s">
        <v>885</v>
      </c>
      <c r="N233" s="14" t="s">
        <v>748</v>
      </c>
      <c r="O233" s="1"/>
      <c r="P233" s="1"/>
    </row>
    <row r="234" spans="1:16" x14ac:dyDescent="0.15">
      <c r="A234">
        <v>0</v>
      </c>
      <c r="B234" s="10">
        <v>2015</v>
      </c>
      <c r="C234" s="20">
        <f t="shared" ref="C234:C261" si="59">(D234*G234+D236*F236)/F234</f>
        <v>9.3943747068204637E-3</v>
      </c>
      <c r="D234" s="17">
        <f>(K234*1000/G234*1000)+(I234/G234*1000)</f>
        <v>1.0414967218466209E-2</v>
      </c>
      <c r="E234" s="18">
        <f t="shared" ref="E234:E265" si="60">F234/1000000</f>
        <v>49.140096000000007</v>
      </c>
      <c r="F234" s="19">
        <f t="shared" ref="F234:F263" si="61">F235+H234+J234</f>
        <v>49140096.000000007</v>
      </c>
      <c r="G234" s="15">
        <f t="shared" ref="G234:G239" si="62">H234+J234</f>
        <v>1017036</v>
      </c>
      <c r="H234" s="15">
        <f>6*60*60*24*365/1000</f>
        <v>189216</v>
      </c>
      <c r="I234" s="16">
        <f>J234*1000*$N234/1000000000</f>
        <v>0.10761660000000001</v>
      </c>
      <c r="J234" s="15">
        <f>45*60*60*24*365/1000*O$179</f>
        <v>827820</v>
      </c>
      <c r="K234" s="16">
        <f>L234*$M$234/1000000</f>
        <v>1.0484780000000001E-2</v>
      </c>
      <c r="L234" s="15">
        <v>1048478</v>
      </c>
      <c r="M234">
        <v>0.01</v>
      </c>
      <c r="N234" s="83">
        <v>0.13</v>
      </c>
    </row>
    <row r="235" spans="1:16" x14ac:dyDescent="0.15">
      <c r="B235" s="10">
        <v>2015.5</v>
      </c>
      <c r="C235" s="20">
        <f t="shared" si="59"/>
        <v>9.862566354886921E-5</v>
      </c>
      <c r="D235" s="81">
        <f t="shared" ref="D235:D265" si="63">(K235*1000/G235*1000)+(I235/G235*1000)</f>
        <v>9.848484848484849E-5</v>
      </c>
      <c r="E235" s="18">
        <f t="shared" si="60"/>
        <v>48.123060000000009</v>
      </c>
      <c r="F235" s="19">
        <f t="shared" si="61"/>
        <v>48123060.000000007</v>
      </c>
      <c r="G235" s="15">
        <f t="shared" si="62"/>
        <v>780516</v>
      </c>
      <c r="H235" s="15">
        <f>6*60*60*24*365/1000</f>
        <v>189216</v>
      </c>
      <c r="I235" s="16">
        <f t="shared" ref="I235:I265" si="64">J235*1000*$N235/1000000000</f>
        <v>7.6869000000000007E-2</v>
      </c>
      <c r="J235" s="15">
        <f>45*60*60*24*365/1000*O$180</f>
        <v>591300</v>
      </c>
      <c r="K235" s="16">
        <f>L235*M235/1000000</f>
        <v>0</v>
      </c>
      <c r="L235" s="15">
        <v>1048478</v>
      </c>
      <c r="M235">
        <v>0</v>
      </c>
      <c r="N235" s="83">
        <f>N$234</f>
        <v>0.13</v>
      </c>
    </row>
    <row r="236" spans="1:16" x14ac:dyDescent="0.15">
      <c r="A236">
        <f>A234+1</f>
        <v>1</v>
      </c>
      <c r="B236" s="10">
        <f>B234+1</f>
        <v>2016</v>
      </c>
      <c r="C236" s="20">
        <f t="shared" si="59"/>
        <v>8.6475772544880279E-3</v>
      </c>
      <c r="D236" s="81">
        <f t="shared" si="63"/>
        <v>9.5273308158752394E-3</v>
      </c>
      <c r="E236" s="18">
        <f t="shared" si="60"/>
        <v>47.342544000000011</v>
      </c>
      <c r="F236" s="19">
        <f t="shared" si="61"/>
        <v>47342544.000000007</v>
      </c>
      <c r="G236" s="15">
        <f t="shared" si="62"/>
        <v>1118729.8666666667</v>
      </c>
      <c r="H236" s="15">
        <f>H234+(H$19-H$4)/15</f>
        <v>195523.20000000001</v>
      </c>
      <c r="I236" s="16">
        <f t="shared" si="64"/>
        <v>0.12001686666666667</v>
      </c>
      <c r="J236" s="15">
        <f>J234+($J$185-$J$155)/15</f>
        <v>923206.66666666663</v>
      </c>
      <c r="K236" s="16">
        <f>L236*$M$234/1000000</f>
        <v>1.0538492666666666E-2</v>
      </c>
      <c r="L236" s="15">
        <f t="shared" ref="L236:L261" si="65">L234+(L$19-L$4)/15</f>
        <v>1053849.2666666666</v>
      </c>
      <c r="M236">
        <v>0.01</v>
      </c>
      <c r="N236" s="83">
        <f t="shared" ref="N236:N265" si="66">N$234</f>
        <v>0.13</v>
      </c>
    </row>
    <row r="237" spans="1:16" x14ac:dyDescent="0.15">
      <c r="B237" s="10">
        <v>2016.5</v>
      </c>
      <c r="C237" s="20">
        <f t="shared" si="59"/>
        <v>1.004056561600821E-4</v>
      </c>
      <c r="D237" s="81">
        <f t="shared" si="63"/>
        <v>1.0101502465879116E-4</v>
      </c>
      <c r="E237" s="18">
        <f t="shared" si="60"/>
        <v>46.223814133333342</v>
      </c>
      <c r="F237" s="19">
        <f t="shared" si="61"/>
        <v>46223814.13333334</v>
      </c>
      <c r="G237" s="15">
        <f t="shared" si="62"/>
        <v>848649.33333333337</v>
      </c>
      <c r="H237" s="15">
        <f>6*60*60*24*365/1000</f>
        <v>189216</v>
      </c>
      <c r="I237" s="16">
        <f t="shared" si="64"/>
        <v>8.5726333333333349E-2</v>
      </c>
      <c r="J237" s="15">
        <f>J235+($J$186-$J$156)/15</f>
        <v>659433.33333333337</v>
      </c>
      <c r="K237" s="16">
        <f>L237*M237/1000000</f>
        <v>0</v>
      </c>
      <c r="L237" s="15">
        <f t="shared" si="65"/>
        <v>1053849.2666666666</v>
      </c>
      <c r="M237">
        <v>0</v>
      </c>
      <c r="N237" s="83">
        <f t="shared" si="66"/>
        <v>0.13</v>
      </c>
    </row>
    <row r="238" spans="1:16" x14ac:dyDescent="0.15">
      <c r="A238">
        <f>A236+1</f>
        <v>2</v>
      </c>
      <c r="B238" s="10">
        <f>B236+1</f>
        <v>2017</v>
      </c>
      <c r="C238" s="20">
        <f t="shared" si="59"/>
        <v>8.0136377860281806E-3</v>
      </c>
      <c r="D238" s="81">
        <f t="shared" si="63"/>
        <v>8.7876220149985061E-3</v>
      </c>
      <c r="E238" s="18">
        <f t="shared" si="60"/>
        <v>45.375164800000007</v>
      </c>
      <c r="F238" s="19">
        <f t="shared" si="61"/>
        <v>45375164.800000004</v>
      </c>
      <c r="G238" s="15">
        <f t="shared" si="62"/>
        <v>1220423.7333333334</v>
      </c>
      <c r="H238" s="15">
        <f>H236+(H$19-H$4)/15</f>
        <v>201830.40000000002</v>
      </c>
      <c r="I238" s="16">
        <f t="shared" si="64"/>
        <v>0.13241713333333333</v>
      </c>
      <c r="J238" s="15">
        <f>J236+($J$185-$J$155)/15</f>
        <v>1018593.3333333333</v>
      </c>
      <c r="K238" s="16">
        <f>L238*$M$234/1000000</f>
        <v>1.0592205333333332E-2</v>
      </c>
      <c r="L238" s="15">
        <f t="shared" si="65"/>
        <v>1059220.5333333332</v>
      </c>
      <c r="M238">
        <v>0.01</v>
      </c>
      <c r="N238" s="83">
        <f t="shared" si="66"/>
        <v>0.13</v>
      </c>
    </row>
    <row r="239" spans="1:16" x14ac:dyDescent="0.15">
      <c r="B239" s="10">
        <f>B238+0.5</f>
        <v>2017.5</v>
      </c>
      <c r="C239" s="20">
        <f t="shared" si="59"/>
        <v>1.0184191156361023E-4</v>
      </c>
      <c r="D239" s="81">
        <f t="shared" si="63"/>
        <v>1.0316912623420747E-4</v>
      </c>
      <c r="E239" s="18">
        <f t="shared" si="60"/>
        <v>44.154741066666674</v>
      </c>
      <c r="F239" s="19">
        <f t="shared" si="61"/>
        <v>44154741.06666667</v>
      </c>
      <c r="G239" s="15">
        <f t="shared" si="62"/>
        <v>916782.66666666674</v>
      </c>
      <c r="H239" s="15">
        <f>6*60*60*24*365/1000</f>
        <v>189216</v>
      </c>
      <c r="I239" s="16">
        <f t="shared" si="64"/>
        <v>9.4583666666666691E-2</v>
      </c>
      <c r="J239" s="15">
        <f>J237+($J$186-$J$156)/15</f>
        <v>727566.66666666674</v>
      </c>
      <c r="K239" s="16">
        <f>L239*M239/1000000</f>
        <v>0</v>
      </c>
      <c r="L239" s="15">
        <f t="shared" si="65"/>
        <v>1059220.5333333332</v>
      </c>
      <c r="M239">
        <v>0</v>
      </c>
      <c r="N239" s="83">
        <f t="shared" si="66"/>
        <v>0.13</v>
      </c>
    </row>
    <row r="240" spans="1:16" x14ac:dyDescent="0.15">
      <c r="A240">
        <f>A238+1</f>
        <v>3</v>
      </c>
      <c r="B240" s="10">
        <f>B238+1</f>
        <v>2018</v>
      </c>
      <c r="C240" s="20">
        <f t="shared" si="59"/>
        <v>7.467911710907842E-3</v>
      </c>
      <c r="D240" s="81">
        <f t="shared" si="63"/>
        <v>8.1617061901301333E-3</v>
      </c>
      <c r="E240" s="18">
        <f t="shared" si="60"/>
        <v>43.237958400000004</v>
      </c>
      <c r="F240" s="19">
        <f t="shared" si="61"/>
        <v>43237958.400000006</v>
      </c>
      <c r="G240" s="15">
        <f t="shared" ref="G240:G265" si="67">H240+J240</f>
        <v>1322117.6000000001</v>
      </c>
      <c r="H240" s="15">
        <f>H238+(H$19-H$4)/15</f>
        <v>208137.60000000003</v>
      </c>
      <c r="I240" s="16">
        <f t="shared" si="64"/>
        <v>0.14481740000000001</v>
      </c>
      <c r="J240" s="15">
        <f>J238+($J$185-$J$155)/15</f>
        <v>1113980</v>
      </c>
      <c r="K240" s="16">
        <f>L240*$M$234/1000000</f>
        <v>1.0645917999999997E-2</v>
      </c>
      <c r="L240" s="15">
        <f t="shared" si="65"/>
        <v>1064591.7999999998</v>
      </c>
      <c r="M240">
        <v>0.01</v>
      </c>
      <c r="N240" s="83">
        <f t="shared" si="66"/>
        <v>0.13</v>
      </c>
    </row>
    <row r="241" spans="1:16" x14ac:dyDescent="0.15">
      <c r="B241" s="10">
        <f>B240+0.5</f>
        <v>2018.5</v>
      </c>
      <c r="C241" s="20">
        <f t="shared" si="59"/>
        <v>1.0298070416629562E-4</v>
      </c>
      <c r="D241" s="81">
        <f t="shared" si="63"/>
        <v>1.0502520011858879E-4</v>
      </c>
      <c r="E241" s="18">
        <f t="shared" si="60"/>
        <v>41.915840800000005</v>
      </c>
      <c r="F241" s="19">
        <f t="shared" si="61"/>
        <v>41915840.800000004</v>
      </c>
      <c r="G241" s="15">
        <f t="shared" si="67"/>
        <v>984916.00000000012</v>
      </c>
      <c r="H241" s="15">
        <f>6*60*60*24*365/1000</f>
        <v>189216</v>
      </c>
      <c r="I241" s="16">
        <f t="shared" si="64"/>
        <v>0.10344100000000002</v>
      </c>
      <c r="J241" s="15">
        <f>J239+($J$186-$J$156)/15</f>
        <v>795700.00000000012</v>
      </c>
      <c r="K241" s="16">
        <f>L241*M241/1000000</f>
        <v>0</v>
      </c>
      <c r="L241" s="15">
        <f t="shared" si="65"/>
        <v>1064591.7999999998</v>
      </c>
      <c r="M241">
        <v>0</v>
      </c>
      <c r="N241" s="83">
        <f t="shared" si="66"/>
        <v>0.13</v>
      </c>
    </row>
    <row r="242" spans="1:16" x14ac:dyDescent="0.15">
      <c r="A242">
        <f>A240+1</f>
        <v>4</v>
      </c>
      <c r="B242" s="10">
        <f>B240+1</f>
        <v>2019</v>
      </c>
      <c r="C242" s="20">
        <f t="shared" si="59"/>
        <v>6.9921849099611509E-3</v>
      </c>
      <c r="D242" s="81">
        <f t="shared" si="63"/>
        <v>7.6252007990571012E-3</v>
      </c>
      <c r="E242" s="18">
        <f t="shared" si="60"/>
        <v>40.930924800000007</v>
      </c>
      <c r="F242" s="19">
        <f t="shared" si="61"/>
        <v>40930924.800000004</v>
      </c>
      <c r="G242" s="15">
        <f t="shared" si="67"/>
        <v>1423811.4666666668</v>
      </c>
      <c r="H242" s="15">
        <f>H240+(H$19-H$4)/15</f>
        <v>214444.80000000005</v>
      </c>
      <c r="I242" s="16">
        <f t="shared" si="64"/>
        <v>0.1572176666666667</v>
      </c>
      <c r="J242" s="15">
        <f>J240+($J$185-$J$155)/15</f>
        <v>1209366.6666666667</v>
      </c>
      <c r="K242" s="16">
        <f>L242*$M$234/1000000</f>
        <v>1.0699630666666664E-2</v>
      </c>
      <c r="L242" s="15">
        <f t="shared" si="65"/>
        <v>1069963.0666666664</v>
      </c>
      <c r="M242">
        <v>0.01</v>
      </c>
      <c r="N242" s="83">
        <f t="shared" si="66"/>
        <v>0.13</v>
      </c>
    </row>
    <row r="243" spans="1:16" x14ac:dyDescent="0.15">
      <c r="B243" s="10">
        <f>B242+0.5</f>
        <v>2019.5</v>
      </c>
      <c r="C243" s="20">
        <f t="shared" si="59"/>
        <v>1.0385016846433344E-4</v>
      </c>
      <c r="D243" s="81">
        <f t="shared" si="63"/>
        <v>1.0664109437101396E-4</v>
      </c>
      <c r="E243" s="18">
        <f t="shared" si="60"/>
        <v>39.507113333333344</v>
      </c>
      <c r="F243" s="19">
        <f t="shared" si="61"/>
        <v>39507113.333333343</v>
      </c>
      <c r="G243" s="15">
        <f t="shared" si="67"/>
        <v>1053049.3333333335</v>
      </c>
      <c r="H243" s="15">
        <f>6*60*60*24*365/1000</f>
        <v>189216</v>
      </c>
      <c r="I243" s="16">
        <f t="shared" si="64"/>
        <v>0.11229833333333336</v>
      </c>
      <c r="J243" s="15">
        <f>J241+($J$186-$J$156)/15</f>
        <v>863833.33333333349</v>
      </c>
      <c r="K243" s="16">
        <f>L243*M243/1000000</f>
        <v>0</v>
      </c>
      <c r="L243" s="15">
        <f t="shared" si="65"/>
        <v>1069963.0666666664</v>
      </c>
      <c r="M243">
        <v>0</v>
      </c>
      <c r="N243" s="83">
        <f t="shared" si="66"/>
        <v>0.13</v>
      </c>
    </row>
    <row r="244" spans="1:16" x14ac:dyDescent="0.15">
      <c r="A244">
        <f>A242+1</f>
        <v>5</v>
      </c>
      <c r="B244" s="10">
        <f>B242+1</f>
        <v>2020</v>
      </c>
      <c r="C244" s="20">
        <f t="shared" si="59"/>
        <v>6.5726038931191132E-3</v>
      </c>
      <c r="D244" s="81">
        <f t="shared" si="63"/>
        <v>7.1602248959688961E-3</v>
      </c>
      <c r="E244" s="18">
        <f t="shared" si="60"/>
        <v>38.45406400000001</v>
      </c>
      <c r="F244" s="19">
        <f t="shared" si="61"/>
        <v>38454064.000000007</v>
      </c>
      <c r="G244" s="15">
        <f t="shared" si="67"/>
        <v>1525505.3333333335</v>
      </c>
      <c r="H244" s="15">
        <f>H242+(H$19-H$4)/15</f>
        <v>220752.00000000006</v>
      </c>
      <c r="I244" s="16">
        <f t="shared" si="64"/>
        <v>0.16961793333333336</v>
      </c>
      <c r="J244" s="15">
        <f>J242+($J$185-$J$155)/15</f>
        <v>1304753.3333333335</v>
      </c>
      <c r="K244" s="16">
        <f>L244*$M$234/1000000</f>
        <v>1.075334333333333E-2</v>
      </c>
      <c r="L244" s="15">
        <f t="shared" si="65"/>
        <v>1075334.333333333</v>
      </c>
      <c r="M244">
        <v>0.01</v>
      </c>
      <c r="N244" s="83">
        <f t="shared" si="66"/>
        <v>0.13</v>
      </c>
    </row>
    <row r="245" spans="1:16" x14ac:dyDescent="0.15">
      <c r="B245" s="10">
        <f>B244+0.5</f>
        <v>2020.5</v>
      </c>
      <c r="C245" s="20">
        <f t="shared" si="59"/>
        <v>1.0446239424778542E-4</v>
      </c>
      <c r="D245" s="81">
        <f t="shared" si="63"/>
        <v>1.080605955378071E-4</v>
      </c>
      <c r="E245" s="18">
        <f t="shared" si="60"/>
        <v>36.928558666666675</v>
      </c>
      <c r="F245" s="19">
        <f t="shared" si="61"/>
        <v>36928558.666666672</v>
      </c>
      <c r="G245" s="15">
        <f t="shared" si="67"/>
        <v>1121182.666666667</v>
      </c>
      <c r="H245" s="15">
        <f>6*60*60*24*365/1000</f>
        <v>189216</v>
      </c>
      <c r="I245" s="16">
        <f t="shared" si="64"/>
        <v>0.1211556666666667</v>
      </c>
      <c r="J245" s="15">
        <f>J243+($J$186-$J$156)/15</f>
        <v>931966.66666666686</v>
      </c>
      <c r="K245" s="16">
        <f>L245*M245/1000000</f>
        <v>0</v>
      </c>
      <c r="L245" s="15">
        <f t="shared" si="65"/>
        <v>1075334.333333333</v>
      </c>
      <c r="M245">
        <v>0</v>
      </c>
      <c r="N245" s="83">
        <f t="shared" si="66"/>
        <v>0.13</v>
      </c>
    </row>
    <row r="246" spans="1:16" x14ac:dyDescent="0.15">
      <c r="A246">
        <f>A244+1</f>
        <v>6</v>
      </c>
      <c r="B246" s="10">
        <f>B244+1</f>
        <v>2021</v>
      </c>
      <c r="C246" s="20">
        <f t="shared" si="59"/>
        <v>6.1983023697796992E-3</v>
      </c>
      <c r="D246" s="81">
        <f t="shared" si="63"/>
        <v>6.7533675041138138E-3</v>
      </c>
      <c r="E246" s="18">
        <f t="shared" si="60"/>
        <v>35.807376000000005</v>
      </c>
      <c r="F246" s="19">
        <f t="shared" si="61"/>
        <v>35807376.000000007</v>
      </c>
      <c r="G246" s="15">
        <f t="shared" si="67"/>
        <v>1627199.2000000002</v>
      </c>
      <c r="H246" s="15">
        <f>H244+(H$19-H$4)/15</f>
        <v>227059.20000000007</v>
      </c>
      <c r="I246" s="16">
        <f t="shared" si="64"/>
        <v>0.18201820000000002</v>
      </c>
      <c r="J246" s="15">
        <f>J244+($J$185-$J$155)/15</f>
        <v>1400140.0000000002</v>
      </c>
      <c r="K246" s="16">
        <f>L246*$M$234/1000000</f>
        <v>1.0807055999999997E-2</v>
      </c>
      <c r="L246" s="15">
        <f t="shared" si="65"/>
        <v>1080705.5999999996</v>
      </c>
      <c r="M246">
        <v>0.01</v>
      </c>
      <c r="N246" s="83">
        <f t="shared" si="66"/>
        <v>0.13</v>
      </c>
    </row>
    <row r="247" spans="1:16" x14ac:dyDescent="0.15">
      <c r="B247" s="10">
        <f>B246+0.5</f>
        <v>2021.5</v>
      </c>
      <c r="C247" s="20">
        <f t="shared" si="59"/>
        <v>1.0481296776275463E-4</v>
      </c>
      <c r="D247" s="81">
        <f t="shared" si="63"/>
        <v>1.0931745642032899E-4</v>
      </c>
      <c r="E247" s="18">
        <f t="shared" si="60"/>
        <v>34.180176800000005</v>
      </c>
      <c r="F247" s="19">
        <f t="shared" si="61"/>
        <v>34180176.800000004</v>
      </c>
      <c r="G247" s="15">
        <f t="shared" si="67"/>
        <v>1189316.0000000002</v>
      </c>
      <c r="H247" s="15">
        <f>6*60*60*24*365/1000</f>
        <v>189216</v>
      </c>
      <c r="I247" s="16">
        <f t="shared" si="64"/>
        <v>0.13001300000000002</v>
      </c>
      <c r="J247" s="15">
        <f>J245+($J$186-$J$156)/15</f>
        <v>1000100.0000000002</v>
      </c>
      <c r="K247" s="16">
        <f>L247*M247/1000000</f>
        <v>0</v>
      </c>
      <c r="L247" s="15">
        <f t="shared" si="65"/>
        <v>1080705.5999999996</v>
      </c>
      <c r="M247">
        <v>0</v>
      </c>
      <c r="N247" s="83">
        <f t="shared" si="66"/>
        <v>0.13</v>
      </c>
    </row>
    <row r="248" spans="1:16" x14ac:dyDescent="0.15">
      <c r="A248">
        <f>A246+1</f>
        <v>7</v>
      </c>
      <c r="B248" s="10">
        <f>B246+1</f>
        <v>2022</v>
      </c>
      <c r="C248" s="20">
        <f t="shared" si="59"/>
        <v>5.8604283769215131E-3</v>
      </c>
      <c r="D248" s="81">
        <f t="shared" si="63"/>
        <v>6.3943729930318388E-3</v>
      </c>
      <c r="E248" s="18">
        <f t="shared" si="60"/>
        <v>32.9908608</v>
      </c>
      <c r="F248" s="19">
        <f t="shared" si="61"/>
        <v>32990860.800000001</v>
      </c>
      <c r="G248" s="15">
        <f t="shared" si="67"/>
        <v>1728893.0666666671</v>
      </c>
      <c r="H248" s="15">
        <f>H246+(H$19-H$4)/15</f>
        <v>233366.40000000008</v>
      </c>
      <c r="I248" s="16">
        <f t="shared" si="64"/>
        <v>0.19441846666666671</v>
      </c>
      <c r="J248" s="15">
        <f>J246+($J$185-$J$155)/15</f>
        <v>1495526.666666667</v>
      </c>
      <c r="K248" s="16">
        <f>L248*$M$234/1000000</f>
        <v>1.0860768666666663E-2</v>
      </c>
      <c r="L248" s="15">
        <f t="shared" si="65"/>
        <v>1086076.8666666662</v>
      </c>
      <c r="M248">
        <v>0.01</v>
      </c>
      <c r="N248" s="83">
        <f t="shared" si="66"/>
        <v>0.13</v>
      </c>
    </row>
    <row r="249" spans="1:16" x14ac:dyDescent="0.15">
      <c r="B249" s="10">
        <f>B248+0.5</f>
        <v>2022.5</v>
      </c>
      <c r="C249" s="20">
        <f t="shared" si="59"/>
        <v>1.0487739948449315E-4</v>
      </c>
      <c r="D249" s="81">
        <f t="shared" si="63"/>
        <v>1.1043811440513974E-4</v>
      </c>
      <c r="E249" s="18">
        <f t="shared" si="60"/>
        <v>31.261967733333336</v>
      </c>
      <c r="F249" s="19">
        <f t="shared" si="61"/>
        <v>31261967.733333334</v>
      </c>
      <c r="G249" s="15">
        <f t="shared" si="67"/>
        <v>1257449.3333333335</v>
      </c>
      <c r="H249" s="15">
        <f>6*60*60*24*365/1000</f>
        <v>189216</v>
      </c>
      <c r="I249" s="16">
        <f t="shared" si="64"/>
        <v>0.13887033333333337</v>
      </c>
      <c r="J249" s="15">
        <f>J247+($J$186-$J$156)/15</f>
        <v>1068233.3333333335</v>
      </c>
      <c r="K249" s="16">
        <f>L249*M249/1000000</f>
        <v>0</v>
      </c>
      <c r="L249" s="15">
        <f t="shared" si="65"/>
        <v>1086076.8666666662</v>
      </c>
      <c r="M249">
        <v>0</v>
      </c>
      <c r="N249" s="83">
        <f t="shared" si="66"/>
        <v>0.13</v>
      </c>
      <c r="O249" s="15">
        <v>3871920</v>
      </c>
      <c r="P249" t="s">
        <v>911</v>
      </c>
    </row>
    <row r="250" spans="1:16" x14ac:dyDescent="0.15">
      <c r="A250">
        <f>A248+1</f>
        <v>8</v>
      </c>
      <c r="B250" s="10">
        <f>B248+1</f>
        <v>2023</v>
      </c>
      <c r="C250" s="20">
        <f t="shared" si="59"/>
        <v>5.551376951771241E-3</v>
      </c>
      <c r="D250" s="81">
        <f t="shared" si="63"/>
        <v>6.0752646400768174E-3</v>
      </c>
      <c r="E250" s="18">
        <f t="shared" si="60"/>
        <v>30.004518400000002</v>
      </c>
      <c r="F250" s="19">
        <f t="shared" si="61"/>
        <v>30004518.400000002</v>
      </c>
      <c r="G250" s="15">
        <f t="shared" si="67"/>
        <v>1830586.9333333338</v>
      </c>
      <c r="H250" s="15">
        <f>H248+(H$19-H$4)/15</f>
        <v>239673.60000000009</v>
      </c>
      <c r="I250" s="16">
        <f t="shared" si="64"/>
        <v>0.20681873333333339</v>
      </c>
      <c r="J250" s="15">
        <f>J248+($J$185-$J$155)/15</f>
        <v>1590913.3333333337</v>
      </c>
      <c r="K250" s="16">
        <f>L250*$M$234/1000000</f>
        <v>1.0914481333333328E-2</v>
      </c>
      <c r="L250" s="15">
        <f t="shared" si="65"/>
        <v>1091448.1333333328</v>
      </c>
      <c r="M250">
        <v>0.01</v>
      </c>
      <c r="N250" s="83">
        <f t="shared" si="66"/>
        <v>0.13</v>
      </c>
      <c r="O250" s="16">
        <v>118000000</v>
      </c>
      <c r="P250" t="s">
        <v>755</v>
      </c>
    </row>
    <row r="251" spans="1:16" x14ac:dyDescent="0.15">
      <c r="B251" s="10">
        <f>B250+0.5</f>
        <v>2023.5</v>
      </c>
      <c r="C251" s="20">
        <f t="shared" si="59"/>
        <v>1.0460257985940009E-4</v>
      </c>
      <c r="D251" s="81">
        <f t="shared" si="63"/>
        <v>1.1144357148101916E-4</v>
      </c>
      <c r="E251" s="18">
        <f t="shared" si="60"/>
        <v>28.173931466666669</v>
      </c>
      <c r="F251" s="19">
        <f t="shared" si="61"/>
        <v>28173931.466666669</v>
      </c>
      <c r="G251" s="15">
        <f t="shared" si="67"/>
        <v>1325582.6666666667</v>
      </c>
      <c r="H251" s="15">
        <f>6*60*60*24*365/1000</f>
        <v>189216</v>
      </c>
      <c r="I251" s="16">
        <f t="shared" si="64"/>
        <v>0.14772766666666667</v>
      </c>
      <c r="J251" s="15">
        <f>J249+($J$186-$J$156)/15</f>
        <v>1136366.6666666667</v>
      </c>
      <c r="K251" s="16">
        <f>L251*M251/1000000</f>
        <v>0</v>
      </c>
      <c r="L251" s="15">
        <f t="shared" si="65"/>
        <v>1091448.1333333328</v>
      </c>
      <c r="M251">
        <v>0</v>
      </c>
      <c r="N251" s="83">
        <f t="shared" si="66"/>
        <v>0.13</v>
      </c>
      <c r="O251" s="15">
        <v>2932848</v>
      </c>
      <c r="P251" t="s">
        <v>966</v>
      </c>
    </row>
    <row r="252" spans="1:16" x14ac:dyDescent="0.15">
      <c r="A252">
        <f>A250+1</f>
        <v>9</v>
      </c>
      <c r="B252" s="10">
        <f>B250+1</f>
        <v>2024</v>
      </c>
      <c r="C252" s="20">
        <f t="shared" si="59"/>
        <v>5.2640598251607953E-3</v>
      </c>
      <c r="D252" s="81">
        <f t="shared" si="63"/>
        <v>5.7897449480427436E-3</v>
      </c>
      <c r="E252" s="18">
        <f t="shared" si="60"/>
        <v>26.8483488</v>
      </c>
      <c r="F252" s="19">
        <f t="shared" si="61"/>
        <v>26848348.800000001</v>
      </c>
      <c r="G252" s="15">
        <f t="shared" si="67"/>
        <v>1932280.8000000005</v>
      </c>
      <c r="H252" s="15">
        <f>H250+(H$19-H$4)/15</f>
        <v>245980.8000000001</v>
      </c>
      <c r="I252" s="16">
        <f t="shared" si="64"/>
        <v>0.21921900000000005</v>
      </c>
      <c r="J252" s="15">
        <f>J250+($J$185-$J$155)/15</f>
        <v>1686300.0000000005</v>
      </c>
      <c r="K252" s="16">
        <f>L252*$M$234/1000000</f>
        <v>1.0968193999999994E-2</v>
      </c>
      <c r="L252" s="15">
        <f t="shared" si="65"/>
        <v>1096819.3999999994</v>
      </c>
      <c r="M252">
        <v>0.01</v>
      </c>
      <c r="N252" s="83">
        <f t="shared" si="66"/>
        <v>0.13</v>
      </c>
      <c r="O252" s="15">
        <v>283824</v>
      </c>
      <c r="P252" t="s">
        <v>965</v>
      </c>
    </row>
    <row r="253" spans="1:16" x14ac:dyDescent="0.15">
      <c r="B253" s="10">
        <f>B252+0.5</f>
        <v>2024.5</v>
      </c>
      <c r="C253" s="20">
        <f t="shared" si="59"/>
        <v>1.0388861802160047E-4</v>
      </c>
      <c r="D253" s="81">
        <f t="shared" si="63"/>
        <v>1.123507228158391E-4</v>
      </c>
      <c r="E253" s="18">
        <f t="shared" si="60"/>
        <v>24.916067999999999</v>
      </c>
      <c r="F253" s="19">
        <f t="shared" si="61"/>
        <v>24916068</v>
      </c>
      <c r="G253" s="15">
        <f t="shared" si="67"/>
        <v>1393716</v>
      </c>
      <c r="H253" s="15">
        <f>6*60*60*24*365/1000</f>
        <v>189216</v>
      </c>
      <c r="I253" s="16">
        <f t="shared" si="64"/>
        <v>0.156585</v>
      </c>
      <c r="J253" s="15">
        <f>J251+($J$186-$J$156)/15</f>
        <v>1204500</v>
      </c>
      <c r="K253" s="16">
        <f>L253*M253/1000000</f>
        <v>0</v>
      </c>
      <c r="L253" s="15">
        <f t="shared" si="65"/>
        <v>1096819.3999999994</v>
      </c>
      <c r="M253">
        <v>0</v>
      </c>
      <c r="N253" s="83">
        <f t="shared" si="66"/>
        <v>0.13</v>
      </c>
      <c r="O253" s="15">
        <f>6*60*60*24*365/1000</f>
        <v>189216</v>
      </c>
      <c r="P253" t="s">
        <v>1105</v>
      </c>
    </row>
    <row r="254" spans="1:16" x14ac:dyDescent="0.15">
      <c r="A254">
        <f>A252+1</f>
        <v>10</v>
      </c>
      <c r="B254" s="10">
        <f>B252+1</f>
        <v>2025</v>
      </c>
      <c r="C254" s="20">
        <f t="shared" si="59"/>
        <v>4.9909851596123813E-3</v>
      </c>
      <c r="D254" s="81">
        <f t="shared" si="63"/>
        <v>5.5327758588930255E-3</v>
      </c>
      <c r="E254" s="18">
        <f t="shared" si="60"/>
        <v>23.522352000000001</v>
      </c>
      <c r="F254" s="19">
        <f t="shared" si="61"/>
        <v>23522352</v>
      </c>
      <c r="G254" s="15">
        <f t="shared" si="67"/>
        <v>2033974.6666666674</v>
      </c>
      <c r="H254" s="15">
        <f>H252+(H$19-H$4)/15</f>
        <v>252288.00000000012</v>
      </c>
      <c r="I254" s="16">
        <f t="shared" si="64"/>
        <v>0.23161926666666674</v>
      </c>
      <c r="J254" s="15">
        <f>J252+($J$185-$J$155)/15</f>
        <v>1781686.6666666672</v>
      </c>
      <c r="K254" s="16">
        <f>L254*$M$234/1000000</f>
        <v>1.1021906666666661E-2</v>
      </c>
      <c r="L254" s="15">
        <f t="shared" si="65"/>
        <v>1102190.666666666</v>
      </c>
      <c r="M254">
        <v>0.01</v>
      </c>
      <c r="N254" s="83">
        <f t="shared" si="66"/>
        <v>0.13</v>
      </c>
      <c r="O254" s="15">
        <f>36*60*60*24*365/1000</f>
        <v>1135296</v>
      </c>
      <c r="P254" t="s">
        <v>1106</v>
      </c>
    </row>
    <row r="255" spans="1:16" x14ac:dyDescent="0.15">
      <c r="B255" s="10">
        <f>B254+0.5</f>
        <v>2025.5</v>
      </c>
      <c r="C255" s="20">
        <f t="shared" si="59"/>
        <v>1.0254921841326145E-4</v>
      </c>
      <c r="D255" s="81">
        <f t="shared" si="63"/>
        <v>1.1317331380251682E-4</v>
      </c>
      <c r="E255" s="18">
        <f t="shared" si="60"/>
        <v>21.488377333333332</v>
      </c>
      <c r="F255" s="19">
        <f t="shared" si="61"/>
        <v>21488377.333333332</v>
      </c>
      <c r="G255" s="15">
        <f t="shared" si="67"/>
        <v>1461849.3333333333</v>
      </c>
      <c r="H255" s="15">
        <f>6*60*60*24*365/1000</f>
        <v>189216</v>
      </c>
      <c r="I255" s="16">
        <f t="shared" si="64"/>
        <v>0.16544233333333333</v>
      </c>
      <c r="J255" s="15">
        <f>J253+($J$186-$J$156)/15</f>
        <v>1272633.3333333333</v>
      </c>
      <c r="K255" s="16">
        <f>L255*M255/1000000</f>
        <v>0</v>
      </c>
      <c r="L255" s="15">
        <f t="shared" si="65"/>
        <v>1102190.666666666</v>
      </c>
      <c r="M255">
        <v>0</v>
      </c>
      <c r="N255" s="83">
        <f t="shared" si="66"/>
        <v>0.13</v>
      </c>
      <c r="O255" s="15">
        <f>18*60*60*24*365/1000</f>
        <v>567648</v>
      </c>
      <c r="P255" t="s">
        <v>964</v>
      </c>
    </row>
    <row r="256" spans="1:16" x14ac:dyDescent="0.15">
      <c r="A256">
        <f>A254+1</f>
        <v>11</v>
      </c>
      <c r="B256" s="10">
        <f>B254+1</f>
        <v>2026</v>
      </c>
      <c r="C256" s="20">
        <f t="shared" si="59"/>
        <v>4.7226750817117181E-3</v>
      </c>
      <c r="D256" s="81">
        <f t="shared" si="63"/>
        <v>5.3002789009580342E-3</v>
      </c>
      <c r="E256" s="18">
        <f t="shared" si="60"/>
        <v>20.026527999999999</v>
      </c>
      <c r="F256" s="19">
        <f t="shared" si="61"/>
        <v>20026528</v>
      </c>
      <c r="G256" s="15">
        <f t="shared" si="67"/>
        <v>2135668.5333333341</v>
      </c>
      <c r="H256" s="15">
        <f>H254+(H$19-H$4)/15</f>
        <v>258595.20000000013</v>
      </c>
      <c r="I256" s="16">
        <f t="shared" si="64"/>
        <v>0.24401953333333343</v>
      </c>
      <c r="J256" s="15">
        <f>J254+($J$185-$J$155)/15</f>
        <v>1877073.333333334</v>
      </c>
      <c r="K256" s="16">
        <f>L256*$M$234/1000000</f>
        <v>1.1075619333333326E-2</v>
      </c>
      <c r="L256" s="15">
        <f t="shared" si="65"/>
        <v>1107561.9333333327</v>
      </c>
      <c r="M256">
        <v>0.01</v>
      </c>
      <c r="N256" s="83">
        <f t="shared" si="66"/>
        <v>0.13</v>
      </c>
      <c r="O256" s="15">
        <v>1129047</v>
      </c>
      <c r="P256" t="s">
        <v>1150</v>
      </c>
    </row>
    <row r="257" spans="1:16" x14ac:dyDescent="0.15">
      <c r="B257" s="10">
        <f>B256+0.5</f>
        <v>2026.5</v>
      </c>
      <c r="C257" s="20">
        <f t="shared" si="59"/>
        <v>1.0021701203811467E-4</v>
      </c>
      <c r="D257" s="81">
        <f t="shared" si="63"/>
        <v>1.1392264138940136E-4</v>
      </c>
      <c r="E257" s="18">
        <f t="shared" si="60"/>
        <v>17.890859466666669</v>
      </c>
      <c r="F257" s="19">
        <f t="shared" si="61"/>
        <v>17890859.466666669</v>
      </c>
      <c r="G257" s="15">
        <f t="shared" si="67"/>
        <v>1529982.6666666665</v>
      </c>
      <c r="H257" s="15">
        <f>6*60*60*24*365/1000</f>
        <v>189216</v>
      </c>
      <c r="I257" s="16">
        <f t="shared" si="64"/>
        <v>0.17429966666666666</v>
      </c>
      <c r="J257" s="15">
        <f>J255+($J$186-$J$156)/15</f>
        <v>1340766.6666666665</v>
      </c>
      <c r="K257" s="16">
        <f>L257*M257/1000000</f>
        <v>0</v>
      </c>
      <c r="L257" s="15">
        <f t="shared" si="65"/>
        <v>1107561.9333333327</v>
      </c>
      <c r="M257">
        <v>0</v>
      </c>
      <c r="N257" s="83">
        <f t="shared" si="66"/>
        <v>0.13</v>
      </c>
      <c r="O257" s="15">
        <v>1048478</v>
      </c>
      <c r="P257" t="s">
        <v>1149</v>
      </c>
    </row>
    <row r="258" spans="1:16" x14ac:dyDescent="0.15">
      <c r="A258">
        <f>A256+1</f>
        <v>12</v>
      </c>
      <c r="B258" s="10">
        <f>B256+1</f>
        <v>2027</v>
      </c>
      <c r="C258" s="20">
        <f t="shared" si="59"/>
        <v>4.4440939562501395E-3</v>
      </c>
      <c r="D258" s="81">
        <f t="shared" si="63"/>
        <v>5.0889171106120266E-3</v>
      </c>
      <c r="E258" s="18">
        <f t="shared" si="60"/>
        <v>16.3608768</v>
      </c>
      <c r="F258" s="19">
        <f t="shared" si="61"/>
        <v>16360876.800000001</v>
      </c>
      <c r="G258" s="15">
        <f t="shared" si="67"/>
        <v>2237362.4000000008</v>
      </c>
      <c r="H258" s="15">
        <f>H256+(H$19-H$4)/15</f>
        <v>264902.40000000014</v>
      </c>
      <c r="I258" s="16">
        <f t="shared" si="64"/>
        <v>0.25641980000000009</v>
      </c>
      <c r="J258" s="15">
        <f>J256+($J$185-$J$155)/15</f>
        <v>1972460.0000000007</v>
      </c>
      <c r="K258" s="16">
        <f>L258*$M$234/1000000</f>
        <v>1.1129331999999994E-2</v>
      </c>
      <c r="L258" s="15">
        <f t="shared" si="65"/>
        <v>1112933.1999999993</v>
      </c>
      <c r="M258">
        <v>0.01</v>
      </c>
      <c r="N258" s="83">
        <f t="shared" si="66"/>
        <v>0.13</v>
      </c>
      <c r="O258" s="10">
        <f>7/12</f>
        <v>0.58333333333333337</v>
      </c>
      <c r="P258" s="10" t="s">
        <v>1086</v>
      </c>
    </row>
    <row r="259" spans="1:16" x14ac:dyDescent="0.15">
      <c r="B259" s="10">
        <f>B258+0.5</f>
        <v>2027.5</v>
      </c>
      <c r="C259" s="20">
        <f t="shared" si="59"/>
        <v>9.6081266280195488E-5</v>
      </c>
      <c r="D259" s="81">
        <f t="shared" si="63"/>
        <v>1.1460807600950118E-4</v>
      </c>
      <c r="E259" s="18">
        <f t="shared" si="60"/>
        <v>14.123514400000001</v>
      </c>
      <c r="F259" s="19">
        <f t="shared" si="61"/>
        <v>14123514.4</v>
      </c>
      <c r="G259" s="15">
        <f t="shared" si="67"/>
        <v>1598115.9999999998</v>
      </c>
      <c r="H259" s="15">
        <f>6*60*60*24*365/1000</f>
        <v>189216</v>
      </c>
      <c r="I259" s="16">
        <f t="shared" si="64"/>
        <v>0.18315699999999996</v>
      </c>
      <c r="J259" s="15">
        <f>J257+($J$186-$J$156)/15</f>
        <v>1408899.9999999998</v>
      </c>
      <c r="K259" s="16">
        <f>L259*M259/1000000</f>
        <v>0</v>
      </c>
      <c r="L259" s="15">
        <f t="shared" si="65"/>
        <v>1112933.1999999993</v>
      </c>
      <c r="M259">
        <v>0</v>
      </c>
      <c r="N259" s="83">
        <f t="shared" si="66"/>
        <v>0.13</v>
      </c>
      <c r="O259">
        <f>5/12</f>
        <v>0.41666666666666669</v>
      </c>
      <c r="P259" s="10" t="s">
        <v>1087</v>
      </c>
    </row>
    <row r="260" spans="1:16" x14ac:dyDescent="0.15">
      <c r="A260">
        <f>A258+1</f>
        <v>13</v>
      </c>
      <c r="B260" s="10">
        <f>B258+1</f>
        <v>2028</v>
      </c>
      <c r="C260" s="20">
        <f t="shared" si="59"/>
        <v>4.1242962934052076E-3</v>
      </c>
      <c r="D260" s="81">
        <f t="shared" si="63"/>
        <v>4.8959338415800911E-3</v>
      </c>
      <c r="E260" s="18">
        <f t="shared" si="60"/>
        <v>12.5253984</v>
      </c>
      <c r="F260" s="19">
        <f t="shared" si="61"/>
        <v>12525398.4</v>
      </c>
      <c r="G260" s="15">
        <f t="shared" si="67"/>
        <v>2339056.2666666675</v>
      </c>
      <c r="H260" s="15">
        <f>H258+(H$19-H$4)/15</f>
        <v>271209.60000000015</v>
      </c>
      <c r="I260" s="16">
        <f t="shared" si="64"/>
        <v>0.2688200666666668</v>
      </c>
      <c r="J260" s="15">
        <f>J258+($J$185-$J$155)/15</f>
        <v>2067846.6666666674</v>
      </c>
      <c r="K260" s="16">
        <f>L260*$M$234/1000000</f>
        <v>1.1183044666666659E-2</v>
      </c>
      <c r="L260" s="15">
        <f t="shared" si="65"/>
        <v>1118304.4666666659</v>
      </c>
      <c r="M260">
        <v>0.01</v>
      </c>
      <c r="N260" s="83">
        <f t="shared" si="66"/>
        <v>0.13</v>
      </c>
      <c r="O260" s="15" t="s">
        <v>935</v>
      </c>
      <c r="P260" s="15" t="s">
        <v>1119</v>
      </c>
    </row>
    <row r="261" spans="1:16" x14ac:dyDescent="0.15">
      <c r="B261" s="10">
        <f>B260+0.5</f>
        <v>2028.5</v>
      </c>
      <c r="C261" s="20">
        <f t="shared" si="59"/>
        <v>8.7971511016271808E-5</v>
      </c>
      <c r="D261" s="81">
        <f t="shared" si="63"/>
        <v>1.152374554588469E-4</v>
      </c>
      <c r="E261" s="18">
        <f t="shared" si="60"/>
        <v>10.186342133333333</v>
      </c>
      <c r="F261" s="19">
        <f t="shared" si="61"/>
        <v>10186342.133333333</v>
      </c>
      <c r="G261" s="15">
        <f t="shared" si="67"/>
        <v>1666249.333333333</v>
      </c>
      <c r="H261" s="15">
        <f>6*60*60*24*365/1000</f>
        <v>189216</v>
      </c>
      <c r="I261" s="16">
        <f t="shared" si="64"/>
        <v>0.19201433333333331</v>
      </c>
      <c r="J261" s="15">
        <f>J259+($J$186-$J$156)/15</f>
        <v>1477033.333333333</v>
      </c>
      <c r="K261" s="16">
        <f>L261*M261/1000000</f>
        <v>0</v>
      </c>
      <c r="L261" s="15">
        <f t="shared" si="65"/>
        <v>1118304.4666666659</v>
      </c>
      <c r="M261">
        <v>0</v>
      </c>
      <c r="N261" s="83">
        <f t="shared" si="66"/>
        <v>0.13</v>
      </c>
    </row>
    <row r="262" spans="1:16" x14ac:dyDescent="0.15">
      <c r="A262">
        <f>A260+1</f>
        <v>14</v>
      </c>
      <c r="B262" s="10">
        <f>B260+1</f>
        <v>2029</v>
      </c>
      <c r="C262" s="20">
        <f>(D262*G262+D264*F264)/F262</f>
        <v>3.6754105070160056E-3</v>
      </c>
      <c r="D262" s="81">
        <f t="shared" si="63"/>
        <v>4.7190318703113415E-3</v>
      </c>
      <c r="E262" s="18">
        <f t="shared" si="60"/>
        <v>8.5200928000000005</v>
      </c>
      <c r="F262" s="19">
        <f t="shared" si="61"/>
        <v>8520092.8000000007</v>
      </c>
      <c r="G262" s="15">
        <f t="shared" si="67"/>
        <v>2440750.1333333342</v>
      </c>
      <c r="H262" s="15">
        <f>H260+(H$19-H$4)/15</f>
        <v>277516.80000000016</v>
      </c>
      <c r="I262" s="16">
        <f t="shared" si="64"/>
        <v>0.28122033333333341</v>
      </c>
      <c r="J262" s="15">
        <f>J260+($J$185-$J$155)/15</f>
        <v>2163233.333333334</v>
      </c>
      <c r="K262" s="16">
        <f>L262*$M$234/1000000</f>
        <v>1.1236757333333326E-2</v>
      </c>
      <c r="L262" s="15">
        <f>L260+(L$19-L$4)/15</f>
        <v>1123675.7333333325</v>
      </c>
      <c r="M262">
        <v>0.01</v>
      </c>
      <c r="N262" s="83">
        <f t="shared" si="66"/>
        <v>0.13</v>
      </c>
    </row>
    <row r="263" spans="1:16" x14ac:dyDescent="0.15">
      <c r="B263" s="10">
        <f>B262+0.5</f>
        <v>2029.5</v>
      </c>
      <c r="C263" s="20">
        <f>(D263*G263+D265*F265)/F263</f>
        <v>6.7540306441025313E-5</v>
      </c>
      <c r="D263" s="81">
        <f t="shared" si="63"/>
        <v>1.1581738593636007E-4</v>
      </c>
      <c r="E263" s="18">
        <f t="shared" si="60"/>
        <v>6.0793426666666663</v>
      </c>
      <c r="F263" s="19">
        <f t="shared" si="61"/>
        <v>6079342.666666666</v>
      </c>
      <c r="G263" s="15">
        <f t="shared" si="67"/>
        <v>1734382.6666666663</v>
      </c>
      <c r="H263" s="15">
        <f>6*60*60*24*365/1000</f>
        <v>189216</v>
      </c>
      <c r="I263" s="16">
        <f t="shared" si="64"/>
        <v>0.20087166666666662</v>
      </c>
      <c r="J263" s="15">
        <f>J261+($J$186-$J$156)/15</f>
        <v>1545166.6666666663</v>
      </c>
      <c r="K263" s="16">
        <f>L263*M263/1000000</f>
        <v>0</v>
      </c>
      <c r="L263" s="15">
        <f>L261+(L$19-L$4)/15</f>
        <v>1123675.7333333325</v>
      </c>
      <c r="M263">
        <v>0</v>
      </c>
      <c r="N263" s="83">
        <f t="shared" si="66"/>
        <v>0.13</v>
      </c>
    </row>
    <row r="264" spans="1:16" x14ac:dyDescent="0.15">
      <c r="A264">
        <f>A262+1</f>
        <v>15</v>
      </c>
      <c r="B264" s="10">
        <f>B262+1</f>
        <v>2030</v>
      </c>
      <c r="C264" s="20">
        <f>(D264*G264+D265*F265)/F264</f>
        <v>2.7143678192664581E-3</v>
      </c>
      <c r="D264" s="81">
        <f t="shared" si="63"/>
        <v>4.5562815149517511E-3</v>
      </c>
      <c r="E264" s="18">
        <f t="shared" si="60"/>
        <v>4.3449600000000004</v>
      </c>
      <c r="F264" s="19">
        <f>F265+H264+J264</f>
        <v>4344960</v>
      </c>
      <c r="G264" s="15">
        <f t="shared" si="67"/>
        <v>2542444</v>
      </c>
      <c r="H264" s="15">
        <v>283824</v>
      </c>
      <c r="I264" s="16">
        <f t="shared" si="64"/>
        <v>0.29362060000000001</v>
      </c>
      <c r="J264" s="15">
        <f>O249*O258</f>
        <v>2258620</v>
      </c>
      <c r="K264" s="16">
        <f>L264*$M$234/1000000</f>
        <v>1.129046999999999E-2</v>
      </c>
      <c r="L264" s="15">
        <f>L262+(L$19-L$4)/15</f>
        <v>1129046.9999999991</v>
      </c>
      <c r="M264">
        <v>0.01</v>
      </c>
      <c r="N264" s="83">
        <f t="shared" si="66"/>
        <v>0.13</v>
      </c>
    </row>
    <row r="265" spans="1:16" x14ac:dyDescent="0.15">
      <c r="B265" s="10">
        <f>B264+0.5</f>
        <v>2030.5</v>
      </c>
      <c r="C265" s="20">
        <f>(D265*G265+D267*F267)/F265</f>
        <v>1.1635347480965495E-4</v>
      </c>
      <c r="D265" s="81">
        <f t="shared" si="63"/>
        <v>1.1635347480965495E-4</v>
      </c>
      <c r="E265" s="18">
        <f t="shared" si="60"/>
        <v>1.802516</v>
      </c>
      <c r="F265" s="19">
        <f>F266+H265+J265</f>
        <v>1802516</v>
      </c>
      <c r="G265" s="15">
        <f t="shared" si="67"/>
        <v>1802516</v>
      </c>
      <c r="H265" s="15">
        <f>6*60*60*24*365/1000</f>
        <v>189216</v>
      </c>
      <c r="I265" s="16">
        <f t="shared" si="64"/>
        <v>0.209729</v>
      </c>
      <c r="J265" s="15">
        <f>O249*O259</f>
        <v>1613300</v>
      </c>
      <c r="K265" s="16">
        <f>L265*M265/1000000</f>
        <v>0</v>
      </c>
      <c r="L265" s="15">
        <f>L263+(L$19-L$4)/15</f>
        <v>1129046.9999999991</v>
      </c>
      <c r="M265">
        <v>0</v>
      </c>
      <c r="N265" s="83">
        <f t="shared" si="66"/>
        <v>0.13</v>
      </c>
    </row>
    <row r="271" spans="1:16" ht="56" x14ac:dyDescent="0.15">
      <c r="A271" s="119" t="s">
        <v>1239</v>
      </c>
      <c r="B271" s="12"/>
      <c r="C271" s="12" t="s">
        <v>1172</v>
      </c>
      <c r="D271" s="13" t="s">
        <v>1166</v>
      </c>
      <c r="E271" s="13" t="s">
        <v>751</v>
      </c>
      <c r="F271" s="13" t="s">
        <v>751</v>
      </c>
      <c r="G271" s="13" t="s">
        <v>1088</v>
      </c>
      <c r="H271" s="13" t="s">
        <v>883</v>
      </c>
      <c r="I271" s="12" t="s">
        <v>1102</v>
      </c>
      <c r="J271" s="13" t="s">
        <v>897</v>
      </c>
      <c r="K271" s="13" t="s">
        <v>745</v>
      </c>
      <c r="L271" s="13" t="s">
        <v>898</v>
      </c>
      <c r="M271" s="12" t="s">
        <v>750</v>
      </c>
      <c r="N271" s="13" t="s">
        <v>1101</v>
      </c>
      <c r="O271" s="12"/>
      <c r="P271" s="12"/>
    </row>
    <row r="272" spans="1:16" x14ac:dyDescent="0.15">
      <c r="A272" s="1" t="s">
        <v>746</v>
      </c>
      <c r="B272" s="1" t="s">
        <v>747</v>
      </c>
      <c r="C272" s="1"/>
      <c r="D272" s="14" t="s">
        <v>748</v>
      </c>
      <c r="E272" s="14" t="s">
        <v>1104</v>
      </c>
      <c r="F272" s="14" t="s">
        <v>718</v>
      </c>
      <c r="G272" s="14" t="s">
        <v>749</v>
      </c>
      <c r="H272" s="14" t="s">
        <v>749</v>
      </c>
      <c r="I272" s="14" t="s">
        <v>884</v>
      </c>
      <c r="J272" s="14" t="s">
        <v>749</v>
      </c>
      <c r="K272" s="14" t="s">
        <v>884</v>
      </c>
      <c r="L272" s="14" t="s">
        <v>1144</v>
      </c>
      <c r="M272" s="1" t="s">
        <v>885</v>
      </c>
      <c r="N272" s="14" t="s">
        <v>748</v>
      </c>
      <c r="O272" s="1"/>
      <c r="P272" s="1"/>
    </row>
    <row r="273" spans="1:16" x14ac:dyDescent="0.15">
      <c r="A273">
        <v>0</v>
      </c>
      <c r="B273" s="10">
        <v>2015</v>
      </c>
      <c r="C273" s="20">
        <f t="shared" ref="C273:C302" si="68">(D273*G273+D275*F275)/F273</f>
        <v>6.9673852513247594</v>
      </c>
      <c r="D273" s="17">
        <f>(K273*1000/G273*1000)+(I273/G273*1000)</f>
        <v>7.7326300650124473</v>
      </c>
      <c r="E273" s="18">
        <f t="shared" ref="E273:E304" si="69">F273/1000000</f>
        <v>49.140096000000007</v>
      </c>
      <c r="F273" s="19">
        <f t="shared" ref="F273:F302" si="70">F274+H273+J273</f>
        <v>49140096.000000007</v>
      </c>
      <c r="G273" s="15">
        <f t="shared" ref="G273:G278" si="71">H273+J273</f>
        <v>1017036</v>
      </c>
      <c r="H273" s="15">
        <f>6*60*60*24*365/1000</f>
        <v>189216</v>
      </c>
      <c r="I273" s="16">
        <f t="shared" ref="I273:I304" si="72">J273*1000*$N273/1000000000</f>
        <v>0.77815080000000003</v>
      </c>
      <c r="J273" s="15">
        <f>45*60*60*24*365/1000*O$179</f>
        <v>827820</v>
      </c>
      <c r="K273" s="16">
        <f>L273*$M$273/1000000</f>
        <v>7.8635849999999996</v>
      </c>
      <c r="L273" s="15">
        <v>1048478</v>
      </c>
      <c r="M273">
        <v>7.5</v>
      </c>
      <c r="N273" s="83">
        <v>0.94</v>
      </c>
    </row>
    <row r="274" spans="1:16" x14ac:dyDescent="0.15">
      <c r="B274" s="10">
        <v>2015.5</v>
      </c>
      <c r="C274" s="20">
        <f t="shared" si="68"/>
        <v>7.1313941335336174E-4</v>
      </c>
      <c r="D274" s="81">
        <f>(K274*1000/G274*1000)+(I274/G274*1000)</f>
        <v>7.1212121212121222E-4</v>
      </c>
      <c r="E274" s="18">
        <f t="shared" si="69"/>
        <v>48.123060000000009</v>
      </c>
      <c r="F274" s="19">
        <f t="shared" si="70"/>
        <v>48123060.000000007</v>
      </c>
      <c r="G274" s="15">
        <f t="shared" si="71"/>
        <v>780516</v>
      </c>
      <c r="H274" s="15">
        <f>6*60*60*24*365/1000</f>
        <v>189216</v>
      </c>
      <c r="I274" s="16">
        <f t="shared" si="72"/>
        <v>0.55582200000000004</v>
      </c>
      <c r="J274" s="15">
        <f>45*60*60*24*365/1000*O$180</f>
        <v>591300</v>
      </c>
      <c r="K274" s="16">
        <f>L274*M274/1000000</f>
        <v>0</v>
      </c>
      <c r="L274" s="15">
        <v>1048478</v>
      </c>
      <c r="M274">
        <v>0</v>
      </c>
      <c r="N274" s="83">
        <f t="shared" ref="N274:N304" si="73">N$273</f>
        <v>0.94</v>
      </c>
    </row>
    <row r="275" spans="1:16" x14ac:dyDescent="0.15">
      <c r="A275">
        <f>A273+1</f>
        <v>1</v>
      </c>
      <c r="B275" s="10">
        <f>B273+1</f>
        <v>2016</v>
      </c>
      <c r="C275" s="20">
        <f t="shared" si="68"/>
        <v>6.406557866892534</v>
      </c>
      <c r="D275" s="81">
        <f>(K275*1000/G275*1000)+(I275/G275*1000)</f>
        <v>7.0658141431580619</v>
      </c>
      <c r="E275" s="18">
        <f t="shared" si="69"/>
        <v>47.342544000000011</v>
      </c>
      <c r="F275" s="19">
        <f t="shared" si="70"/>
        <v>47342544.000000007</v>
      </c>
      <c r="G275" s="15">
        <f t="shared" si="71"/>
        <v>1118729.8666666667</v>
      </c>
      <c r="H275" s="15">
        <f>H273+(H$19-H$4)/15</f>
        <v>195523.20000000001</v>
      </c>
      <c r="I275" s="16">
        <f t="shared" si="72"/>
        <v>0.86781426666666661</v>
      </c>
      <c r="J275" s="15">
        <f>J273+($J$185-$J$155)/15</f>
        <v>923206.66666666663</v>
      </c>
      <c r="K275" s="16">
        <f>L275*$M$273/1000000</f>
        <v>7.9038694999999999</v>
      </c>
      <c r="L275" s="15">
        <f t="shared" ref="L275:L304" si="74">L273+(L$19-L$4)/15</f>
        <v>1053849.2666666666</v>
      </c>
      <c r="M275">
        <v>7.5</v>
      </c>
      <c r="N275" s="83">
        <f t="shared" si="73"/>
        <v>0.94</v>
      </c>
    </row>
    <row r="276" spans="1:16" x14ac:dyDescent="0.15">
      <c r="B276" s="10">
        <v>2016.5</v>
      </c>
      <c r="C276" s="20">
        <f t="shared" si="68"/>
        <v>7.2601012915751684E-4</v>
      </c>
      <c r="D276" s="81">
        <f t="shared" ref="D276:D302" si="75">(K276*1000/G276*1000)+(I276/G276*1000)</f>
        <v>7.3041633214818201E-4</v>
      </c>
      <c r="E276" s="18">
        <f t="shared" si="69"/>
        <v>46.223814133333342</v>
      </c>
      <c r="F276" s="19">
        <f t="shared" si="70"/>
        <v>46223814.13333334</v>
      </c>
      <c r="G276" s="15">
        <f t="shared" si="71"/>
        <v>848649.33333333337</v>
      </c>
      <c r="H276" s="15">
        <f>6*60*60*24*365/1000</f>
        <v>189216</v>
      </c>
      <c r="I276" s="16">
        <f t="shared" si="72"/>
        <v>0.61986733333333333</v>
      </c>
      <c r="J276" s="15">
        <f>J274+($J$186-$J$156)/15</f>
        <v>659433.33333333337</v>
      </c>
      <c r="K276" s="16">
        <f>L276*M276/1000000</f>
        <v>0</v>
      </c>
      <c r="L276" s="15">
        <f t="shared" si="74"/>
        <v>1053849.2666666666</v>
      </c>
      <c r="M276">
        <v>0</v>
      </c>
      <c r="N276" s="83">
        <f t="shared" si="73"/>
        <v>0.94</v>
      </c>
    </row>
    <row r="277" spans="1:16" x14ac:dyDescent="0.15">
      <c r="A277">
        <f>A275+1</f>
        <v>2</v>
      </c>
      <c r="B277" s="10">
        <f>B275+1</f>
        <v>2017</v>
      </c>
      <c r="C277" s="20">
        <f t="shared" si="68"/>
        <v>5.930533994822814</v>
      </c>
      <c r="D277" s="81">
        <f t="shared" si="75"/>
        <v>6.5101253447709633</v>
      </c>
      <c r="E277" s="18">
        <f t="shared" si="69"/>
        <v>45.375164800000007</v>
      </c>
      <c r="F277" s="19">
        <f t="shared" si="70"/>
        <v>45375164.800000004</v>
      </c>
      <c r="G277" s="15">
        <f t="shared" si="71"/>
        <v>1220423.7333333334</v>
      </c>
      <c r="H277" s="15">
        <f>H275+(H$19-H$4)/15</f>
        <v>201830.40000000002</v>
      </c>
      <c r="I277" s="16">
        <f t="shared" si="72"/>
        <v>0.9574777333333333</v>
      </c>
      <c r="J277" s="15">
        <f>J275+($J$185-$J$155)/15</f>
        <v>1018593.3333333333</v>
      </c>
      <c r="K277" s="16">
        <f>L277*$M$273/1000000</f>
        <v>7.9441539999999993</v>
      </c>
      <c r="L277" s="15">
        <f t="shared" si="74"/>
        <v>1059220.5333333332</v>
      </c>
      <c r="M277">
        <v>7.5</v>
      </c>
      <c r="N277" s="83">
        <f t="shared" si="73"/>
        <v>0.94</v>
      </c>
    </row>
    <row r="278" spans="1:16" x14ac:dyDescent="0.15">
      <c r="B278" s="10">
        <f>B277+0.5</f>
        <v>2017.5</v>
      </c>
      <c r="C278" s="20">
        <f t="shared" si="68"/>
        <v>7.3639536053687394E-4</v>
      </c>
      <c r="D278" s="81">
        <f t="shared" si="75"/>
        <v>7.4599214353965391E-4</v>
      </c>
      <c r="E278" s="18">
        <f t="shared" si="69"/>
        <v>44.154741066666674</v>
      </c>
      <c r="F278" s="19">
        <f t="shared" si="70"/>
        <v>44154741.06666667</v>
      </c>
      <c r="G278" s="15">
        <f t="shared" si="71"/>
        <v>916782.66666666674</v>
      </c>
      <c r="H278" s="15">
        <f>6*60*60*24*365/1000</f>
        <v>189216</v>
      </c>
      <c r="I278" s="16">
        <f t="shared" si="72"/>
        <v>0.68391266666666672</v>
      </c>
      <c r="J278" s="15">
        <f>J276+($J$186-$J$156)/15</f>
        <v>727566.66666666674</v>
      </c>
      <c r="K278" s="16">
        <f>L278*M278/1000000</f>
        <v>0</v>
      </c>
      <c r="L278" s="15">
        <f t="shared" si="74"/>
        <v>1059220.5333333332</v>
      </c>
      <c r="M278">
        <v>0</v>
      </c>
      <c r="N278" s="83">
        <f t="shared" si="73"/>
        <v>0.94</v>
      </c>
    </row>
    <row r="279" spans="1:16" x14ac:dyDescent="0.15">
      <c r="A279">
        <f>A277+1</f>
        <v>3</v>
      </c>
      <c r="B279" s="10">
        <f>B277+1</f>
        <v>2018</v>
      </c>
      <c r="C279" s="20">
        <f t="shared" si="68"/>
        <v>5.5208053710192342</v>
      </c>
      <c r="D279" s="81">
        <f t="shared" si="75"/>
        <v>6.0399208369966457</v>
      </c>
      <c r="E279" s="18">
        <f t="shared" si="69"/>
        <v>43.237958400000004</v>
      </c>
      <c r="F279" s="19">
        <f t="shared" si="70"/>
        <v>43237958.400000006</v>
      </c>
      <c r="G279" s="15">
        <f t="shared" ref="G279:G304" si="76">H279+J279</f>
        <v>1322117.6000000001</v>
      </c>
      <c r="H279" s="15">
        <f>H277+(H$19-H$4)/15</f>
        <v>208137.60000000003</v>
      </c>
      <c r="I279" s="16">
        <f t="shared" si="72"/>
        <v>1.0471412</v>
      </c>
      <c r="J279" s="15">
        <f>J277+($J$185-$J$155)/15</f>
        <v>1113980</v>
      </c>
      <c r="K279" s="16">
        <f>L279*$M$273/1000000</f>
        <v>7.9844384999999978</v>
      </c>
      <c r="L279" s="15">
        <f t="shared" si="74"/>
        <v>1064591.7999999998</v>
      </c>
      <c r="M279">
        <v>7.5</v>
      </c>
      <c r="N279" s="83">
        <f t="shared" si="73"/>
        <v>0.94</v>
      </c>
    </row>
    <row r="280" spans="1:16" x14ac:dyDescent="0.15">
      <c r="B280" s="10">
        <f>B279+0.5</f>
        <v>2018.5</v>
      </c>
      <c r="C280" s="20">
        <f t="shared" si="68"/>
        <v>7.4462970704859926E-4</v>
      </c>
      <c r="D280" s="81">
        <f t="shared" si="75"/>
        <v>7.5941298547287279E-4</v>
      </c>
      <c r="E280" s="18">
        <f t="shared" si="69"/>
        <v>41.915840800000005</v>
      </c>
      <c r="F280" s="19">
        <f t="shared" si="70"/>
        <v>41915840.800000004</v>
      </c>
      <c r="G280" s="15">
        <f t="shared" si="76"/>
        <v>984916.00000000012</v>
      </c>
      <c r="H280" s="15">
        <f>6*60*60*24*365/1000</f>
        <v>189216</v>
      </c>
      <c r="I280" s="16">
        <f t="shared" si="72"/>
        <v>0.74795800000000012</v>
      </c>
      <c r="J280" s="15">
        <f>J278+($J$186-$J$156)/15</f>
        <v>795700.00000000012</v>
      </c>
      <c r="K280" s="16">
        <f>L280*M280/1000000</f>
        <v>0</v>
      </c>
      <c r="L280" s="15">
        <f t="shared" si="74"/>
        <v>1064591.7999999998</v>
      </c>
      <c r="M280">
        <v>0</v>
      </c>
      <c r="N280" s="83">
        <f t="shared" si="73"/>
        <v>0.94</v>
      </c>
    </row>
    <row r="281" spans="1:16" x14ac:dyDescent="0.15">
      <c r="A281">
        <f>A279+1</f>
        <v>4</v>
      </c>
      <c r="B281" s="10">
        <f>B279+1</f>
        <v>2019</v>
      </c>
      <c r="C281" s="20">
        <f t="shared" si="68"/>
        <v>5.1636962277088845</v>
      </c>
      <c r="D281" s="81">
        <f t="shared" si="75"/>
        <v>5.6368838098040293</v>
      </c>
      <c r="E281" s="18">
        <f t="shared" si="69"/>
        <v>40.930924800000007</v>
      </c>
      <c r="F281" s="19">
        <f t="shared" si="70"/>
        <v>40930924.800000004</v>
      </c>
      <c r="G281" s="15">
        <f t="shared" si="76"/>
        <v>1423811.4666666668</v>
      </c>
      <c r="H281" s="15">
        <f>H279+(H$19-H$4)/15</f>
        <v>214444.80000000005</v>
      </c>
      <c r="I281" s="16">
        <f t="shared" si="72"/>
        <v>1.1368046666666667</v>
      </c>
      <c r="J281" s="15">
        <f>J279+($J$185-$J$155)/15</f>
        <v>1209366.6666666667</v>
      </c>
      <c r="K281" s="16">
        <f>L281*$M$273/1000000</f>
        <v>8.0247229999999981</v>
      </c>
      <c r="L281" s="15">
        <f t="shared" si="74"/>
        <v>1069963.0666666664</v>
      </c>
      <c r="M281">
        <v>7.5</v>
      </c>
      <c r="N281" s="83">
        <f t="shared" si="73"/>
        <v>0.94</v>
      </c>
    </row>
    <row r="282" spans="1:16" x14ac:dyDescent="0.15">
      <c r="B282" s="10">
        <f>B281+0.5</f>
        <v>2019.5</v>
      </c>
      <c r="C282" s="20">
        <f t="shared" si="68"/>
        <v>7.5091660274210332E-4</v>
      </c>
      <c r="D282" s="81">
        <f t="shared" si="75"/>
        <v>7.7109714391348561E-4</v>
      </c>
      <c r="E282" s="18">
        <f t="shared" si="69"/>
        <v>39.507113333333344</v>
      </c>
      <c r="F282" s="19">
        <f t="shared" si="70"/>
        <v>39507113.333333343</v>
      </c>
      <c r="G282" s="15">
        <f t="shared" si="76"/>
        <v>1053049.3333333335</v>
      </c>
      <c r="H282" s="15">
        <f>6*60*60*24*365/1000</f>
        <v>189216</v>
      </c>
      <c r="I282" s="16">
        <f t="shared" si="72"/>
        <v>0.81200333333333352</v>
      </c>
      <c r="J282" s="15">
        <f>J280+($J$186-$J$156)/15</f>
        <v>863833.33333333349</v>
      </c>
      <c r="K282" s="16">
        <f>L282*M282/1000000</f>
        <v>0</v>
      </c>
      <c r="L282" s="15">
        <f t="shared" si="74"/>
        <v>1069963.0666666664</v>
      </c>
      <c r="M282">
        <v>0</v>
      </c>
      <c r="N282" s="83">
        <f t="shared" si="73"/>
        <v>0.94</v>
      </c>
    </row>
    <row r="283" spans="1:16" x14ac:dyDescent="0.15">
      <c r="A283">
        <f>A281+1</f>
        <v>5</v>
      </c>
      <c r="B283" s="10">
        <f>B281+1</f>
        <v>2020</v>
      </c>
      <c r="C283" s="20">
        <f t="shared" si="68"/>
        <v>4.8488091774986382</v>
      </c>
      <c r="D283" s="81">
        <f t="shared" si="75"/>
        <v>5.2875816241874807</v>
      </c>
      <c r="E283" s="18">
        <f t="shared" si="69"/>
        <v>38.45406400000001</v>
      </c>
      <c r="F283" s="19">
        <f t="shared" si="70"/>
        <v>38454064.000000007</v>
      </c>
      <c r="G283" s="15">
        <f t="shared" si="76"/>
        <v>1525505.3333333335</v>
      </c>
      <c r="H283" s="15">
        <f>H281+(H$19-H$4)/15</f>
        <v>220752.00000000006</v>
      </c>
      <c r="I283" s="16">
        <f t="shared" si="72"/>
        <v>1.2264681333333336</v>
      </c>
      <c r="J283" s="15">
        <f>J281+($J$185-$J$155)/15</f>
        <v>1304753.3333333335</v>
      </c>
      <c r="K283" s="16">
        <f>L283*$M$273/1000000</f>
        <v>8.0650074999999983</v>
      </c>
      <c r="L283" s="15">
        <f t="shared" si="74"/>
        <v>1075334.333333333</v>
      </c>
      <c r="M283">
        <v>7.5</v>
      </c>
      <c r="N283" s="83">
        <f t="shared" si="73"/>
        <v>0.94</v>
      </c>
    </row>
    <row r="284" spans="1:16" x14ac:dyDescent="0.15">
      <c r="B284" s="10">
        <f>B283+0.5</f>
        <v>2020.5</v>
      </c>
      <c r="C284" s="20">
        <f t="shared" si="68"/>
        <v>7.5534346609937146E-4</v>
      </c>
      <c r="D284" s="81">
        <f t="shared" si="75"/>
        <v>7.8136122927337432E-4</v>
      </c>
      <c r="E284" s="18">
        <f t="shared" si="69"/>
        <v>36.928558666666675</v>
      </c>
      <c r="F284" s="19">
        <f t="shared" si="70"/>
        <v>36928558.666666672</v>
      </c>
      <c r="G284" s="15">
        <f t="shared" si="76"/>
        <v>1121182.666666667</v>
      </c>
      <c r="H284" s="15">
        <f>6*60*60*24*365/1000</f>
        <v>189216</v>
      </c>
      <c r="I284" s="16">
        <f t="shared" si="72"/>
        <v>0.8760486666666667</v>
      </c>
      <c r="J284" s="15">
        <f>J282+($J$186-$J$156)/15</f>
        <v>931966.66666666686</v>
      </c>
      <c r="K284" s="16">
        <f>L284*M284/1000000</f>
        <v>0</v>
      </c>
      <c r="L284" s="15">
        <f t="shared" si="74"/>
        <v>1075334.333333333</v>
      </c>
      <c r="M284">
        <v>0</v>
      </c>
      <c r="N284" s="83">
        <f t="shared" si="73"/>
        <v>0.94</v>
      </c>
    </row>
    <row r="285" spans="1:16" x14ac:dyDescent="0.15">
      <c r="A285">
        <f>A283+1</f>
        <v>6</v>
      </c>
      <c r="B285" s="10">
        <f>B283+1</f>
        <v>2021</v>
      </c>
      <c r="C285" s="20">
        <f t="shared" si="68"/>
        <v>4.5679947426392529</v>
      </c>
      <c r="D285" s="81">
        <f t="shared" si="75"/>
        <v>4.9819396000194667</v>
      </c>
      <c r="E285" s="18">
        <f t="shared" si="69"/>
        <v>35.807376000000005</v>
      </c>
      <c r="F285" s="19">
        <f t="shared" si="70"/>
        <v>35807376.000000007</v>
      </c>
      <c r="G285" s="15">
        <f t="shared" si="76"/>
        <v>1627199.2000000002</v>
      </c>
      <c r="H285" s="15">
        <f>H283+(H$19-H$4)/15</f>
        <v>227059.20000000007</v>
      </c>
      <c r="I285" s="16">
        <f t="shared" si="72"/>
        <v>1.3161316000000003</v>
      </c>
      <c r="J285" s="15">
        <f>J283+($J$185-$J$155)/15</f>
        <v>1400140.0000000002</v>
      </c>
      <c r="K285" s="16">
        <f>L285*$M$273/1000000</f>
        <v>8.1052919999999968</v>
      </c>
      <c r="L285" s="15">
        <f t="shared" si="74"/>
        <v>1080705.5999999996</v>
      </c>
      <c r="M285">
        <v>7.5</v>
      </c>
      <c r="N285" s="83">
        <f t="shared" si="73"/>
        <v>0.94</v>
      </c>
    </row>
    <row r="286" spans="1:16" x14ac:dyDescent="0.15">
      <c r="B286" s="10">
        <f>B285+0.5</f>
        <v>2021.5</v>
      </c>
      <c r="C286" s="20">
        <f t="shared" si="68"/>
        <v>7.5787838228453305E-4</v>
      </c>
      <c r="D286" s="81">
        <f t="shared" si="75"/>
        <v>7.904493002700711E-4</v>
      </c>
      <c r="E286" s="18">
        <f t="shared" si="69"/>
        <v>34.180176800000005</v>
      </c>
      <c r="F286" s="19">
        <f t="shared" si="70"/>
        <v>34180176.800000004</v>
      </c>
      <c r="G286" s="15">
        <f t="shared" si="76"/>
        <v>1189316.0000000002</v>
      </c>
      <c r="H286" s="15">
        <f>6*60*60*24*365/1000</f>
        <v>189216</v>
      </c>
      <c r="I286" s="16">
        <f t="shared" si="72"/>
        <v>0.9400940000000001</v>
      </c>
      <c r="J286" s="15">
        <f>J284+($J$186-$J$156)/15</f>
        <v>1000100.0000000002</v>
      </c>
      <c r="K286" s="16">
        <f>L286*M286/1000000</f>
        <v>0</v>
      </c>
      <c r="L286" s="15">
        <f t="shared" si="74"/>
        <v>1080705.5999999996</v>
      </c>
      <c r="M286">
        <v>0</v>
      </c>
      <c r="N286" s="83">
        <f t="shared" si="73"/>
        <v>0.94</v>
      </c>
    </row>
    <row r="287" spans="1:16" x14ac:dyDescent="0.15">
      <c r="A287">
        <f>A285+1</f>
        <v>7</v>
      </c>
      <c r="B287" s="10">
        <f>B285+1</f>
        <v>2022</v>
      </c>
      <c r="C287" s="20">
        <f t="shared" si="68"/>
        <v>4.3146226502486869</v>
      </c>
      <c r="D287" s="81">
        <f t="shared" si="75"/>
        <v>4.7122534366883508</v>
      </c>
      <c r="E287" s="18">
        <f t="shared" si="69"/>
        <v>32.9908608</v>
      </c>
      <c r="F287" s="19">
        <f t="shared" si="70"/>
        <v>32990860.800000001</v>
      </c>
      <c r="G287" s="15">
        <f t="shared" si="76"/>
        <v>1728893.0666666671</v>
      </c>
      <c r="H287" s="15">
        <f>H285+(H$19-H$4)/15</f>
        <v>233366.40000000008</v>
      </c>
      <c r="I287" s="16">
        <f t="shared" si="72"/>
        <v>1.405795066666667</v>
      </c>
      <c r="J287" s="15">
        <f>J285+($J$185-$J$155)/15</f>
        <v>1495526.666666667</v>
      </c>
      <c r="K287" s="16">
        <f>L287*$M$273/1000000</f>
        <v>8.1455764999999971</v>
      </c>
      <c r="L287" s="15">
        <f t="shared" si="74"/>
        <v>1086076.8666666662</v>
      </c>
      <c r="M287">
        <v>7.5</v>
      </c>
      <c r="N287" s="83">
        <f t="shared" si="73"/>
        <v>0.94</v>
      </c>
    </row>
    <row r="288" spans="1:16" x14ac:dyDescent="0.15">
      <c r="B288" s="10">
        <f>B287+0.5</f>
        <v>2022.5</v>
      </c>
      <c r="C288" s="20">
        <f t="shared" si="68"/>
        <v>7.5834427319556577E-4</v>
      </c>
      <c r="D288" s="81">
        <f t="shared" si="75"/>
        <v>7.9855251954485625E-4</v>
      </c>
      <c r="E288" s="18">
        <f t="shared" si="69"/>
        <v>31.261967733333336</v>
      </c>
      <c r="F288" s="19">
        <f t="shared" si="70"/>
        <v>31261967.733333334</v>
      </c>
      <c r="G288" s="15">
        <f t="shared" si="76"/>
        <v>1257449.3333333335</v>
      </c>
      <c r="H288" s="15">
        <f>6*60*60*24*365/1000</f>
        <v>189216</v>
      </c>
      <c r="I288" s="16">
        <f t="shared" si="72"/>
        <v>1.0041393333333333</v>
      </c>
      <c r="J288" s="15">
        <f>J286+($J$186-$J$156)/15</f>
        <v>1068233.3333333335</v>
      </c>
      <c r="K288" s="16">
        <f>L288*M288/1000000</f>
        <v>0</v>
      </c>
      <c r="L288" s="15">
        <f t="shared" si="74"/>
        <v>1086076.8666666662</v>
      </c>
      <c r="M288">
        <v>0</v>
      </c>
      <c r="N288" s="83">
        <f t="shared" si="73"/>
        <v>0.94</v>
      </c>
      <c r="O288" s="15">
        <v>3871920</v>
      </c>
      <c r="P288" t="s">
        <v>911</v>
      </c>
    </row>
    <row r="289" spans="1:16" x14ac:dyDescent="0.15">
      <c r="A289">
        <f>A287+1</f>
        <v>8</v>
      </c>
      <c r="B289" s="10">
        <f>B287+1</f>
        <v>2023</v>
      </c>
      <c r="C289" s="20">
        <f t="shared" si="68"/>
        <v>4.0830091439352865</v>
      </c>
      <c r="D289" s="81">
        <f t="shared" si="75"/>
        <v>4.4725308093535281</v>
      </c>
      <c r="E289" s="18">
        <f t="shared" si="69"/>
        <v>30.004518400000002</v>
      </c>
      <c r="F289" s="19">
        <f t="shared" si="70"/>
        <v>30004518.400000002</v>
      </c>
      <c r="G289" s="15">
        <f t="shared" si="76"/>
        <v>1830586.9333333338</v>
      </c>
      <c r="H289" s="15">
        <f>H287+(H$19-H$4)/15</f>
        <v>239673.60000000009</v>
      </c>
      <c r="I289" s="16">
        <f t="shared" si="72"/>
        <v>1.4954585333333337</v>
      </c>
      <c r="J289" s="15">
        <f>J287+($J$185-$J$155)/15</f>
        <v>1590913.3333333337</v>
      </c>
      <c r="K289" s="16">
        <f>L289*$M$273/1000000</f>
        <v>8.1858609999999956</v>
      </c>
      <c r="L289" s="15">
        <f t="shared" si="74"/>
        <v>1091448.1333333328</v>
      </c>
      <c r="M289">
        <v>7.5</v>
      </c>
      <c r="N289" s="83">
        <f t="shared" si="73"/>
        <v>0.94</v>
      </c>
      <c r="O289" s="16">
        <v>118000000</v>
      </c>
      <c r="P289" t="s">
        <v>755</v>
      </c>
    </row>
    <row r="290" spans="1:16" x14ac:dyDescent="0.15">
      <c r="B290" s="10">
        <f>B289+0.5</f>
        <v>2023.5</v>
      </c>
      <c r="C290" s="20">
        <f t="shared" si="68"/>
        <v>7.5635711590643141E-4</v>
      </c>
      <c r="D290" s="81">
        <f t="shared" si="75"/>
        <v>8.0582274763198463E-4</v>
      </c>
      <c r="E290" s="18">
        <f t="shared" si="69"/>
        <v>28.173931466666669</v>
      </c>
      <c r="F290" s="19">
        <f t="shared" si="70"/>
        <v>28173931.466666669</v>
      </c>
      <c r="G290" s="15">
        <f t="shared" si="76"/>
        <v>1325582.6666666667</v>
      </c>
      <c r="H290" s="15">
        <f>6*60*60*24*365/1000</f>
        <v>189216</v>
      </c>
      <c r="I290" s="16">
        <f t="shared" si="72"/>
        <v>1.0681846666666666</v>
      </c>
      <c r="J290" s="15">
        <f>J288+($J$186-$J$156)/15</f>
        <v>1136366.6666666667</v>
      </c>
      <c r="K290" s="16">
        <f>L290*M290/1000000</f>
        <v>0</v>
      </c>
      <c r="L290" s="15">
        <f t="shared" si="74"/>
        <v>1091448.1333333328</v>
      </c>
      <c r="M290">
        <v>0</v>
      </c>
      <c r="N290" s="83">
        <f t="shared" si="73"/>
        <v>0.94</v>
      </c>
      <c r="O290" s="15">
        <v>2932848</v>
      </c>
      <c r="P290" t="s">
        <v>966</v>
      </c>
    </row>
    <row r="291" spans="1:16" x14ac:dyDescent="0.15">
      <c r="A291">
        <f>A289+1</f>
        <v>9</v>
      </c>
      <c r="B291" s="10">
        <f>B289+1</f>
        <v>2024</v>
      </c>
      <c r="C291" s="20">
        <f t="shared" si="68"/>
        <v>3.8678753182855945</v>
      </c>
      <c r="D291" s="81">
        <f t="shared" si="75"/>
        <v>4.2580408716993885</v>
      </c>
      <c r="E291" s="18">
        <f t="shared" si="69"/>
        <v>26.8483488</v>
      </c>
      <c r="F291" s="19">
        <f t="shared" si="70"/>
        <v>26848348.800000001</v>
      </c>
      <c r="G291" s="15">
        <f t="shared" si="76"/>
        <v>1932280.8000000005</v>
      </c>
      <c r="H291" s="15">
        <f>H289+(H$19-H$4)/15</f>
        <v>245980.8000000001</v>
      </c>
      <c r="I291" s="16">
        <f t="shared" si="72"/>
        <v>1.5851220000000006</v>
      </c>
      <c r="J291" s="15">
        <f>J289+($J$185-$J$155)/15</f>
        <v>1686300.0000000005</v>
      </c>
      <c r="K291" s="16">
        <f>L291*$M$273/1000000</f>
        <v>8.2261454999999959</v>
      </c>
      <c r="L291" s="15">
        <f t="shared" si="74"/>
        <v>1096819.3999999994</v>
      </c>
      <c r="M291">
        <v>7.5</v>
      </c>
      <c r="N291" s="83">
        <f t="shared" si="73"/>
        <v>0.94</v>
      </c>
      <c r="O291" s="15">
        <v>283824</v>
      </c>
      <c r="P291" t="s">
        <v>965</v>
      </c>
    </row>
    <row r="292" spans="1:16" x14ac:dyDescent="0.15">
      <c r="B292" s="10">
        <f>B291+0.5</f>
        <v>2024.5</v>
      </c>
      <c r="C292" s="20">
        <f t="shared" si="68"/>
        <v>7.5119462261772642E-4</v>
      </c>
      <c r="D292" s="81">
        <f t="shared" si="75"/>
        <v>8.1238214959145191E-4</v>
      </c>
      <c r="E292" s="18">
        <f t="shared" si="69"/>
        <v>24.916067999999999</v>
      </c>
      <c r="F292" s="19">
        <f t="shared" si="70"/>
        <v>24916068</v>
      </c>
      <c r="G292" s="15">
        <f t="shared" si="76"/>
        <v>1393716</v>
      </c>
      <c r="H292" s="15">
        <f>6*60*60*24*365/1000</f>
        <v>189216</v>
      </c>
      <c r="I292" s="16">
        <f t="shared" si="72"/>
        <v>1.1322300000000001</v>
      </c>
      <c r="J292" s="15">
        <f>J290+($J$186-$J$156)/15</f>
        <v>1204500</v>
      </c>
      <c r="K292" s="16">
        <f>L292*M292/1000000</f>
        <v>0</v>
      </c>
      <c r="L292" s="15">
        <f t="shared" si="74"/>
        <v>1096819.3999999994</v>
      </c>
      <c r="M292">
        <v>0</v>
      </c>
      <c r="N292" s="83">
        <f t="shared" si="73"/>
        <v>0.94</v>
      </c>
      <c r="O292" s="15">
        <f>6*60*60*24*365/1000</f>
        <v>189216</v>
      </c>
      <c r="P292" t="s">
        <v>1105</v>
      </c>
    </row>
    <row r="293" spans="1:16" x14ac:dyDescent="0.15">
      <c r="A293">
        <f>A291+1</f>
        <v>10</v>
      </c>
      <c r="B293" s="10">
        <f>B291+1</f>
        <v>2025</v>
      </c>
      <c r="C293" s="20">
        <f t="shared" si="68"/>
        <v>3.6636697132846341</v>
      </c>
      <c r="D293" s="81">
        <f t="shared" si="75"/>
        <v>4.064998901395688</v>
      </c>
      <c r="E293" s="18">
        <f t="shared" si="69"/>
        <v>23.522352000000001</v>
      </c>
      <c r="F293" s="19">
        <f t="shared" si="70"/>
        <v>23522352</v>
      </c>
      <c r="G293" s="15">
        <f t="shared" si="76"/>
        <v>2033974.6666666674</v>
      </c>
      <c r="H293" s="15">
        <f>H291+(H$19-H$4)/15</f>
        <v>252288.00000000012</v>
      </c>
      <c r="I293" s="16">
        <f t="shared" si="72"/>
        <v>1.6747854666666671</v>
      </c>
      <c r="J293" s="15">
        <f>J291+($J$185-$J$155)/15</f>
        <v>1781686.6666666672</v>
      </c>
      <c r="K293" s="16">
        <f>L293*$M$273/1000000</f>
        <v>8.2664299999999962</v>
      </c>
      <c r="L293" s="15">
        <f t="shared" si="74"/>
        <v>1102190.666666666</v>
      </c>
      <c r="M293">
        <v>7.5</v>
      </c>
      <c r="N293" s="83">
        <f t="shared" si="73"/>
        <v>0.94</v>
      </c>
      <c r="O293" s="15">
        <f>36*60*60*24*365/1000</f>
        <v>1135296</v>
      </c>
      <c r="P293" t="s">
        <v>1106</v>
      </c>
    </row>
    <row r="294" spans="1:16" x14ac:dyDescent="0.15">
      <c r="B294" s="10">
        <f>B293+0.5</f>
        <v>2025.5</v>
      </c>
      <c r="C294" s="20">
        <f t="shared" si="68"/>
        <v>7.4150973314204426E-4</v>
      </c>
      <c r="D294" s="81">
        <f t="shared" si="75"/>
        <v>8.1833011518742929E-4</v>
      </c>
      <c r="E294" s="18">
        <f t="shared" si="69"/>
        <v>21.488377333333332</v>
      </c>
      <c r="F294" s="19">
        <f t="shared" si="70"/>
        <v>21488377.333333332</v>
      </c>
      <c r="G294" s="15">
        <f t="shared" si="76"/>
        <v>1461849.3333333333</v>
      </c>
      <c r="H294" s="15">
        <f>6*60*60*24*365/1000</f>
        <v>189216</v>
      </c>
      <c r="I294" s="16">
        <f t="shared" si="72"/>
        <v>1.1962753333333334</v>
      </c>
      <c r="J294" s="15">
        <f>J292+($J$186-$J$156)/15</f>
        <v>1272633.3333333333</v>
      </c>
      <c r="K294" s="16">
        <f>L294*M294/1000000</f>
        <v>0</v>
      </c>
      <c r="L294" s="15">
        <f t="shared" si="74"/>
        <v>1102190.666666666</v>
      </c>
      <c r="M294">
        <v>0</v>
      </c>
      <c r="N294" s="83">
        <f t="shared" si="73"/>
        <v>0.94</v>
      </c>
      <c r="O294" s="15">
        <f>18*60*60*24*365/1000</f>
        <v>567648</v>
      </c>
      <c r="P294" t="s">
        <v>964</v>
      </c>
    </row>
    <row r="295" spans="1:16" x14ac:dyDescent="0.15">
      <c r="A295">
        <f>A293+1</f>
        <v>11</v>
      </c>
      <c r="B295" s="10">
        <f>B293+1</f>
        <v>2026</v>
      </c>
      <c r="C295" s="20">
        <f t="shared" si="68"/>
        <v>3.4634101448921744</v>
      </c>
      <c r="D295" s="81">
        <f t="shared" si="75"/>
        <v>3.8903410427485774</v>
      </c>
      <c r="E295" s="18">
        <f t="shared" si="69"/>
        <v>20.026527999999999</v>
      </c>
      <c r="F295" s="19">
        <f t="shared" si="70"/>
        <v>20026528</v>
      </c>
      <c r="G295" s="15">
        <f t="shared" si="76"/>
        <v>2135668.5333333341</v>
      </c>
      <c r="H295" s="15">
        <f>H293+(H$19-H$4)/15</f>
        <v>258595.20000000013</v>
      </c>
      <c r="I295" s="16">
        <f t="shared" si="72"/>
        <v>1.7644489333333337</v>
      </c>
      <c r="J295" s="15">
        <f>J293+($J$185-$J$155)/15</f>
        <v>1877073.333333334</v>
      </c>
      <c r="K295" s="16">
        <f>L295*$M$273/1000000</f>
        <v>8.3067144999999947</v>
      </c>
      <c r="L295" s="15">
        <f t="shared" si="74"/>
        <v>1107561.9333333327</v>
      </c>
      <c r="M295">
        <v>7.5</v>
      </c>
      <c r="N295" s="83">
        <f t="shared" si="73"/>
        <v>0.94</v>
      </c>
      <c r="O295" s="15">
        <v>1129047</v>
      </c>
      <c r="P295" t="s">
        <v>1150</v>
      </c>
    </row>
    <row r="296" spans="1:16" x14ac:dyDescent="0.15">
      <c r="B296" s="10">
        <f>B295+0.5</f>
        <v>2026.5</v>
      </c>
      <c r="C296" s="20">
        <f t="shared" si="68"/>
        <v>7.2464608704482904E-4</v>
      </c>
      <c r="D296" s="81">
        <f t="shared" si="75"/>
        <v>8.237483300464405E-4</v>
      </c>
      <c r="E296" s="18">
        <f t="shared" si="69"/>
        <v>17.890859466666669</v>
      </c>
      <c r="F296" s="19">
        <f t="shared" si="70"/>
        <v>17890859.466666669</v>
      </c>
      <c r="G296" s="15">
        <f t="shared" si="76"/>
        <v>1529982.6666666665</v>
      </c>
      <c r="H296" s="15">
        <f>6*60*60*24*365/1000</f>
        <v>189216</v>
      </c>
      <c r="I296" s="16">
        <f t="shared" si="72"/>
        <v>1.2603206666666664</v>
      </c>
      <c r="J296" s="15">
        <f>J294+($J$186-$J$156)/15</f>
        <v>1340766.6666666665</v>
      </c>
      <c r="K296" s="16">
        <f>L296*M296/1000000</f>
        <v>0</v>
      </c>
      <c r="L296" s="15">
        <f t="shared" si="74"/>
        <v>1107561.9333333327</v>
      </c>
      <c r="M296">
        <v>0</v>
      </c>
      <c r="N296" s="83">
        <f t="shared" si="73"/>
        <v>0.94</v>
      </c>
      <c r="O296" s="15">
        <v>1048478</v>
      </c>
      <c r="P296" t="s">
        <v>1149</v>
      </c>
    </row>
    <row r="297" spans="1:16" x14ac:dyDescent="0.15">
      <c r="A297">
        <f>A295+1</f>
        <v>12</v>
      </c>
      <c r="B297" s="10">
        <f>B295+1</f>
        <v>2027</v>
      </c>
      <c r="C297" s="20">
        <f t="shared" si="68"/>
        <v>3.2560770845250366</v>
      </c>
      <c r="D297" s="81">
        <f t="shared" si="75"/>
        <v>3.7315604805015008</v>
      </c>
      <c r="E297" s="18">
        <f t="shared" si="69"/>
        <v>16.3608768</v>
      </c>
      <c r="F297" s="19">
        <f t="shared" si="70"/>
        <v>16360876.800000001</v>
      </c>
      <c r="G297" s="15">
        <f t="shared" si="76"/>
        <v>2237362.4000000008</v>
      </c>
      <c r="H297" s="15">
        <f>H295+(H$19-H$4)/15</f>
        <v>264902.40000000014</v>
      </c>
      <c r="I297" s="16">
        <f t="shared" si="72"/>
        <v>1.8541124000000004</v>
      </c>
      <c r="J297" s="15">
        <f>J295+($J$185-$J$155)/15</f>
        <v>1972460.0000000007</v>
      </c>
      <c r="K297" s="16">
        <f>L297*$M$273/1000000</f>
        <v>8.346998999999995</v>
      </c>
      <c r="L297" s="15">
        <f t="shared" si="74"/>
        <v>1112933.1999999993</v>
      </c>
      <c r="M297">
        <v>7.5</v>
      </c>
      <c r="N297" s="83">
        <f t="shared" si="73"/>
        <v>0.94</v>
      </c>
      <c r="O297" s="10">
        <f>7/12</f>
        <v>0.58333333333333337</v>
      </c>
      <c r="P297" s="10" t="s">
        <v>1086</v>
      </c>
    </row>
    <row r="298" spans="1:16" x14ac:dyDescent="0.15">
      <c r="B298" s="10">
        <f>B297+0.5</f>
        <v>2027.5</v>
      </c>
      <c r="C298" s="20">
        <f t="shared" si="68"/>
        <v>6.9474146387218266E-4</v>
      </c>
      <c r="D298" s="81">
        <f t="shared" si="75"/>
        <v>8.2870454960716239E-4</v>
      </c>
      <c r="E298" s="18">
        <f t="shared" si="69"/>
        <v>14.123514400000001</v>
      </c>
      <c r="F298" s="19">
        <f t="shared" si="70"/>
        <v>14123514.4</v>
      </c>
      <c r="G298" s="15">
        <f t="shared" si="76"/>
        <v>1598115.9999999998</v>
      </c>
      <c r="H298" s="15">
        <f>6*60*60*24*365/1000</f>
        <v>189216</v>
      </c>
      <c r="I298" s="16">
        <f t="shared" si="72"/>
        <v>1.3243659999999997</v>
      </c>
      <c r="J298" s="15">
        <f>J296+($J$186-$J$156)/15</f>
        <v>1408899.9999999998</v>
      </c>
      <c r="K298" s="16">
        <f>L298*M298/1000000</f>
        <v>0</v>
      </c>
      <c r="L298" s="15">
        <f t="shared" si="74"/>
        <v>1112933.1999999993</v>
      </c>
      <c r="M298">
        <v>0</v>
      </c>
      <c r="N298" s="83">
        <f t="shared" si="73"/>
        <v>0.94</v>
      </c>
      <c r="O298">
        <f>5/12</f>
        <v>0.41666666666666669</v>
      </c>
      <c r="P298" s="10" t="s">
        <v>1087</v>
      </c>
    </row>
    <row r="299" spans="1:16" x14ac:dyDescent="0.15">
      <c r="A299">
        <f>A297+1</f>
        <v>13</v>
      </c>
      <c r="B299" s="10">
        <f>B297+1</f>
        <v>2028</v>
      </c>
      <c r="C299" s="20">
        <f t="shared" si="68"/>
        <v>3.0190665553873623</v>
      </c>
      <c r="D299" s="81">
        <f t="shared" si="75"/>
        <v>3.5865863491270122</v>
      </c>
      <c r="E299" s="18">
        <f t="shared" si="69"/>
        <v>12.5253984</v>
      </c>
      <c r="F299" s="19">
        <f t="shared" si="70"/>
        <v>12525398.4</v>
      </c>
      <c r="G299" s="15">
        <f t="shared" si="76"/>
        <v>2339056.2666666675</v>
      </c>
      <c r="H299" s="15">
        <f>H297+(H$19-H$4)/15</f>
        <v>271209.60000000015</v>
      </c>
      <c r="I299" s="16">
        <f t="shared" si="72"/>
        <v>1.9437758666666671</v>
      </c>
      <c r="J299" s="15">
        <f>J297+($J$185-$J$155)/15</f>
        <v>2067846.6666666674</v>
      </c>
      <c r="K299" s="16">
        <f>L299*$M$273/1000000</f>
        <v>8.3872834999999952</v>
      </c>
      <c r="L299" s="15">
        <f t="shared" si="74"/>
        <v>1118304.4666666659</v>
      </c>
      <c r="M299">
        <v>7.5</v>
      </c>
      <c r="N299" s="83">
        <f t="shared" si="73"/>
        <v>0.94</v>
      </c>
      <c r="O299" s="15" t="s">
        <v>935</v>
      </c>
      <c r="P299" s="15" t="s">
        <v>1119</v>
      </c>
    </row>
    <row r="300" spans="1:16" x14ac:dyDescent="0.15">
      <c r="B300" s="10">
        <f>B299+0.5</f>
        <v>2028.5</v>
      </c>
      <c r="C300" s="20">
        <f t="shared" si="68"/>
        <v>6.3610169504073452E-4</v>
      </c>
      <c r="D300" s="81">
        <f t="shared" si="75"/>
        <v>8.3325544716396978E-4</v>
      </c>
      <c r="E300" s="18">
        <f t="shared" si="69"/>
        <v>10.186342133333333</v>
      </c>
      <c r="F300" s="19">
        <f t="shared" si="70"/>
        <v>10186342.133333333</v>
      </c>
      <c r="G300" s="15">
        <f t="shared" si="76"/>
        <v>1666249.333333333</v>
      </c>
      <c r="H300" s="15">
        <f>6*60*60*24*365/1000</f>
        <v>189216</v>
      </c>
      <c r="I300" s="16">
        <f t="shared" si="72"/>
        <v>1.388411333333333</v>
      </c>
      <c r="J300" s="15">
        <f>J298+($J$186-$J$156)/15</f>
        <v>1477033.333333333</v>
      </c>
      <c r="K300" s="16">
        <f>L300*M300/1000000</f>
        <v>0</v>
      </c>
      <c r="L300" s="15">
        <f t="shared" si="74"/>
        <v>1118304.4666666659</v>
      </c>
      <c r="M300">
        <v>0</v>
      </c>
      <c r="N300" s="83">
        <f t="shared" si="73"/>
        <v>0.94</v>
      </c>
    </row>
    <row r="301" spans="1:16" x14ac:dyDescent="0.15">
      <c r="A301">
        <f>A299+1</f>
        <v>14</v>
      </c>
      <c r="B301" s="10">
        <f>B299+1</f>
        <v>2029</v>
      </c>
      <c r="C301" s="20">
        <f t="shared" si="68"/>
        <v>2.6882962946105833</v>
      </c>
      <c r="D301" s="81">
        <f t="shared" si="75"/>
        <v>3.4536929135884189</v>
      </c>
      <c r="E301" s="18">
        <f t="shared" si="69"/>
        <v>8.5200928000000005</v>
      </c>
      <c r="F301" s="19">
        <f t="shared" si="70"/>
        <v>8520092.8000000007</v>
      </c>
      <c r="G301" s="15">
        <f t="shared" si="76"/>
        <v>2440750.1333333342</v>
      </c>
      <c r="H301" s="15">
        <f>H299+(H$19-H$4)/15</f>
        <v>277516.80000000016</v>
      </c>
      <c r="I301" s="16">
        <f t="shared" si="72"/>
        <v>2.0334393333333338</v>
      </c>
      <c r="J301" s="15">
        <f>J299+($J$185-$J$155)/15</f>
        <v>2163233.333333334</v>
      </c>
      <c r="K301" s="16">
        <f>L301*$M$273/1000000</f>
        <v>8.427567999999992</v>
      </c>
      <c r="L301" s="15">
        <f t="shared" si="74"/>
        <v>1123675.7333333325</v>
      </c>
      <c r="M301">
        <v>7.5</v>
      </c>
      <c r="N301" s="83">
        <f t="shared" si="73"/>
        <v>0.94</v>
      </c>
    </row>
    <row r="302" spans="1:16" x14ac:dyDescent="0.15">
      <c r="B302" s="10">
        <f>B301+0.5</f>
        <v>2029.5</v>
      </c>
      <c r="C302" s="20">
        <f t="shared" si="68"/>
        <v>4.8836836965049076E-4</v>
      </c>
      <c r="D302" s="81">
        <f t="shared" si="75"/>
        <v>8.3744879061675736E-4</v>
      </c>
      <c r="E302" s="18">
        <f t="shared" si="69"/>
        <v>6.0793426666666663</v>
      </c>
      <c r="F302" s="19">
        <f t="shared" si="70"/>
        <v>6079342.666666666</v>
      </c>
      <c r="G302" s="15">
        <f t="shared" si="76"/>
        <v>1734382.6666666663</v>
      </c>
      <c r="H302" s="15">
        <f>6*60*60*24*365/1000</f>
        <v>189216</v>
      </c>
      <c r="I302" s="16">
        <f t="shared" si="72"/>
        <v>1.4524566666666663</v>
      </c>
      <c r="J302" s="15">
        <f>J300+($J$186-$J$156)/15</f>
        <v>1545166.6666666663</v>
      </c>
      <c r="K302" s="16">
        <f>L302*M302/1000000</f>
        <v>0</v>
      </c>
      <c r="L302" s="15">
        <f t="shared" si="74"/>
        <v>1123675.7333333325</v>
      </c>
      <c r="M302">
        <v>0</v>
      </c>
      <c r="N302" s="83">
        <f t="shared" si="73"/>
        <v>0.94</v>
      </c>
    </row>
    <row r="303" spans="1:16" x14ac:dyDescent="0.15">
      <c r="A303">
        <f>A301+1</f>
        <v>15</v>
      </c>
      <c r="B303" s="10">
        <f>B301+1</f>
        <v>2030</v>
      </c>
      <c r="C303" s="20">
        <f>(D303*G303+D304*F304)/F303</f>
        <v>1.9497284450950052</v>
      </c>
      <c r="D303" s="81">
        <f>(K303*1000/G303*1000)+(I303/G303*1000)</f>
        <v>3.3314305458841935</v>
      </c>
      <c r="E303" s="18">
        <f t="shared" si="69"/>
        <v>4.3449600000000004</v>
      </c>
      <c r="F303" s="19">
        <f>F304+H303+J303</f>
        <v>4344960</v>
      </c>
      <c r="G303" s="15">
        <f t="shared" si="76"/>
        <v>2542444</v>
      </c>
      <c r="H303" s="15">
        <v>283824</v>
      </c>
      <c r="I303" s="16">
        <f t="shared" si="72"/>
        <v>2.1231027999999998</v>
      </c>
      <c r="J303" s="15">
        <f>O288*O297</f>
        <v>2258620</v>
      </c>
      <c r="K303" s="16">
        <f>L303*$M$273/1000000</f>
        <v>8.4678524999999922</v>
      </c>
      <c r="L303" s="15">
        <f t="shared" si="74"/>
        <v>1129046.9999999991</v>
      </c>
      <c r="M303">
        <v>7.5</v>
      </c>
      <c r="N303" s="83">
        <f t="shared" si="73"/>
        <v>0.94</v>
      </c>
    </row>
    <row r="304" spans="1:16" x14ac:dyDescent="0.15">
      <c r="B304" s="10">
        <f>B303+0.5</f>
        <v>2030.5</v>
      </c>
      <c r="C304" s="20">
        <f>(D304*G304)/F304</f>
        <v>8.4132512554673585E-4</v>
      </c>
      <c r="D304" s="81">
        <f>(K304*1000/G304*1000)+(I304/G304*1000)</f>
        <v>8.4132512554673585E-4</v>
      </c>
      <c r="E304" s="18">
        <f t="shared" si="69"/>
        <v>1.802516</v>
      </c>
      <c r="F304" s="19">
        <f>F311+H304+J304</f>
        <v>1802516</v>
      </c>
      <c r="G304" s="15">
        <f t="shared" si="76"/>
        <v>1802516</v>
      </c>
      <c r="H304" s="15">
        <f>6*60*60*24*365/1000</f>
        <v>189216</v>
      </c>
      <c r="I304" s="16">
        <f t="shared" si="72"/>
        <v>1.516502</v>
      </c>
      <c r="J304" s="15">
        <f>O288*O298</f>
        <v>1613300</v>
      </c>
      <c r="K304" s="16">
        <f>L304*M304/1000000</f>
        <v>0</v>
      </c>
      <c r="L304" s="15">
        <f t="shared" si="74"/>
        <v>1129046.9999999991</v>
      </c>
      <c r="M304">
        <v>0</v>
      </c>
      <c r="N304" s="83">
        <f t="shared" si="73"/>
        <v>0.94</v>
      </c>
    </row>
    <row r="305" spans="1:16" x14ac:dyDescent="0.15">
      <c r="B305" s="10"/>
      <c r="C305" s="20"/>
      <c r="D305" s="81"/>
      <c r="E305" s="18"/>
      <c r="F305" s="19"/>
      <c r="G305" s="15"/>
      <c r="H305" s="15"/>
      <c r="I305" s="16"/>
      <c r="J305" s="15"/>
      <c r="K305" s="16"/>
      <c r="L305" s="15"/>
      <c r="N305" s="83"/>
    </row>
    <row r="306" spans="1:16" x14ac:dyDescent="0.15">
      <c r="B306" s="10"/>
      <c r="C306" s="20"/>
      <c r="D306" s="81"/>
      <c r="E306" s="18"/>
      <c r="F306" s="19"/>
      <c r="G306" s="15"/>
      <c r="H306" s="15"/>
      <c r="I306" s="16"/>
      <c r="J306" s="15"/>
      <c r="K306" s="16"/>
      <c r="L306" s="15"/>
      <c r="N306" s="83"/>
    </row>
    <row r="307" spans="1:16" x14ac:dyDescent="0.15">
      <c r="B307" s="10"/>
      <c r="C307" s="20"/>
      <c r="D307" s="81"/>
      <c r="E307" s="18"/>
      <c r="F307" s="19"/>
      <c r="G307" s="15"/>
      <c r="H307" s="15"/>
      <c r="I307" s="16"/>
      <c r="J307" s="15"/>
      <c r="K307" s="16"/>
      <c r="L307" s="15"/>
      <c r="N307" s="83"/>
    </row>
    <row r="308" spans="1:16" x14ac:dyDescent="0.15">
      <c r="B308" s="10"/>
      <c r="C308" s="20"/>
      <c r="D308" s="81"/>
      <c r="E308" s="18"/>
      <c r="F308" s="19"/>
      <c r="G308" s="15"/>
      <c r="H308" s="15"/>
      <c r="I308" s="16"/>
      <c r="J308" s="15"/>
      <c r="K308" s="16"/>
      <c r="L308" s="15"/>
      <c r="N308" s="83"/>
    </row>
    <row r="309" spans="1:16" x14ac:dyDescent="0.15">
      <c r="B309" s="10"/>
      <c r="C309" s="20"/>
      <c r="D309" s="81"/>
      <c r="E309" s="18"/>
      <c r="F309" s="19"/>
      <c r="G309" s="15"/>
      <c r="H309" s="15"/>
      <c r="I309" s="16"/>
      <c r="J309" s="15"/>
      <c r="K309" s="16"/>
      <c r="L309" s="15"/>
      <c r="N309" s="83"/>
    </row>
    <row r="310" spans="1:16" x14ac:dyDescent="0.15">
      <c r="B310" s="10"/>
      <c r="C310" s="20"/>
      <c r="D310" s="81"/>
      <c r="E310" s="18"/>
      <c r="F310" s="19"/>
      <c r="G310" s="15"/>
      <c r="H310" s="15"/>
      <c r="I310" s="16"/>
      <c r="J310" s="15"/>
      <c r="K310" s="16"/>
      <c r="L310" s="15"/>
      <c r="N310" s="83"/>
    </row>
    <row r="313" spans="1:16" ht="56" x14ac:dyDescent="0.15">
      <c r="A313" s="119" t="s">
        <v>1242</v>
      </c>
      <c r="B313" s="12"/>
      <c r="C313" s="12" t="s">
        <v>1172</v>
      </c>
      <c r="D313" s="13" t="s">
        <v>1166</v>
      </c>
      <c r="E313" s="13" t="s">
        <v>751</v>
      </c>
      <c r="F313" s="13" t="s">
        <v>751</v>
      </c>
      <c r="G313" s="13" t="s">
        <v>1088</v>
      </c>
      <c r="H313" s="13" t="s">
        <v>883</v>
      </c>
      <c r="I313" s="12" t="s">
        <v>1102</v>
      </c>
      <c r="J313" s="13" t="s">
        <v>897</v>
      </c>
      <c r="K313" s="13" t="s">
        <v>745</v>
      </c>
      <c r="L313" s="13" t="s">
        <v>898</v>
      </c>
      <c r="M313" s="12" t="s">
        <v>750</v>
      </c>
      <c r="N313" s="13" t="s">
        <v>1101</v>
      </c>
      <c r="O313" s="12"/>
      <c r="P313" s="12"/>
    </row>
    <row r="314" spans="1:16" x14ac:dyDescent="0.15">
      <c r="A314" s="1" t="s">
        <v>746</v>
      </c>
      <c r="B314" s="1" t="s">
        <v>747</v>
      </c>
      <c r="C314" s="1"/>
      <c r="D314" s="14" t="s">
        <v>1188</v>
      </c>
      <c r="E314" s="14" t="s">
        <v>1104</v>
      </c>
      <c r="F314" s="14" t="s">
        <v>718</v>
      </c>
      <c r="G314" s="14" t="s">
        <v>749</v>
      </c>
      <c r="H314" s="14" t="s">
        <v>749</v>
      </c>
      <c r="I314" s="14" t="s">
        <v>884</v>
      </c>
      <c r="J314" s="14" t="s">
        <v>749</v>
      </c>
      <c r="K314" s="14" t="s">
        <v>884</v>
      </c>
      <c r="L314" s="14" t="s">
        <v>1144</v>
      </c>
      <c r="M314" s="1" t="s">
        <v>885</v>
      </c>
      <c r="N314" s="14" t="s">
        <v>1188</v>
      </c>
      <c r="O314" s="1"/>
      <c r="P314" s="1"/>
    </row>
    <row r="315" spans="1:16" x14ac:dyDescent="0.15">
      <c r="A315">
        <v>0</v>
      </c>
      <c r="B315" s="10">
        <v>2015</v>
      </c>
      <c r="C315" s="20">
        <f t="shared" ref="C315:C342" si="77">(D315*G315+D317*F317)/F315</f>
        <v>102.61402329118788</v>
      </c>
      <c r="D315" s="17">
        <f>(K315*1000/G315*1000)+(I315/G315*1000)</f>
        <v>102.55813953488372</v>
      </c>
      <c r="E315" s="18">
        <f t="shared" ref="E315:E346" si="78">F315/1000000</f>
        <v>46.112639999999999</v>
      </c>
      <c r="F315" s="19">
        <f t="shared" ref="F315:F344" si="79">F316+H315+J315</f>
        <v>46112640</v>
      </c>
      <c r="G315" s="15">
        <f t="shared" ref="G315:G320" si="80">H315+J315</f>
        <v>1017036</v>
      </c>
      <c r="H315" s="15">
        <f>6*60*60*24*365/1000</f>
        <v>189216</v>
      </c>
      <c r="I315" s="16">
        <f>J315*1000*$N315/1000000</f>
        <v>104305.32</v>
      </c>
      <c r="J315" s="15">
        <f>45*60*60*24*365/1000*O$179</f>
        <v>827820</v>
      </c>
      <c r="K315" s="16">
        <f>L315*$M$315/1000000</f>
        <v>0</v>
      </c>
      <c r="L315" s="15">
        <v>1048478</v>
      </c>
      <c r="M315">
        <v>0</v>
      </c>
      <c r="N315" s="15">
        <v>126</v>
      </c>
    </row>
    <row r="316" spans="1:16" x14ac:dyDescent="0.15">
      <c r="B316" s="10">
        <v>2015.5</v>
      </c>
      <c r="C316" s="20">
        <f t="shared" si="77"/>
        <v>122.87419724547874</v>
      </c>
      <c r="D316" s="17">
        <f>(K316*1000/G316*1000)+(I316/G316*1000)</f>
        <v>126</v>
      </c>
      <c r="E316" s="18">
        <f t="shared" si="78"/>
        <v>45.095604000000002</v>
      </c>
      <c r="F316" s="19">
        <f t="shared" si="79"/>
        <v>45095604</v>
      </c>
      <c r="G316" s="15">
        <f t="shared" si="80"/>
        <v>591300</v>
      </c>
      <c r="H316" s="15">
        <v>0</v>
      </c>
      <c r="I316" s="16">
        <f t="shared" ref="I316:I346" si="81">J316*1000*$N316/1000000</f>
        <v>74503.8</v>
      </c>
      <c r="J316" s="15">
        <f>45*60*60*24*365/1000*O$180</f>
        <v>591300</v>
      </c>
      <c r="K316" s="16">
        <f>L316*M316/1000000</f>
        <v>0</v>
      </c>
      <c r="L316" s="15">
        <v>1048478</v>
      </c>
      <c r="M316">
        <v>0</v>
      </c>
      <c r="N316" s="15">
        <f>N315</f>
        <v>126</v>
      </c>
    </row>
    <row r="317" spans="1:16" x14ac:dyDescent="0.15">
      <c r="A317">
        <f>A315+1</f>
        <v>1</v>
      </c>
      <c r="B317" s="10">
        <f>B315+1</f>
        <v>2016</v>
      </c>
      <c r="C317" s="20">
        <f t="shared" si="77"/>
        <v>103.57447768254856</v>
      </c>
      <c r="D317" s="17">
        <f t="shared" ref="D317:D345" si="82">(K317*1000/G317*1000)+(I317/G317*1000)</f>
        <v>103.97866675947031</v>
      </c>
      <c r="E317" s="18">
        <f t="shared" si="78"/>
        <v>44.504303999999998</v>
      </c>
      <c r="F317" s="19">
        <f t="shared" si="79"/>
        <v>44504304</v>
      </c>
      <c r="G317" s="15">
        <f t="shared" si="80"/>
        <v>1118729.8666666667</v>
      </c>
      <c r="H317" s="15">
        <f>H315+(H$19-H$4)/15</f>
        <v>195523.20000000001</v>
      </c>
      <c r="I317" s="16">
        <f t="shared" si="81"/>
        <v>116324.04</v>
      </c>
      <c r="J317" s="15">
        <f>J315+($J$185-$J$155)/15</f>
        <v>923206.66666666663</v>
      </c>
      <c r="K317" s="16">
        <f>L317*$M$315/1000000</f>
        <v>0</v>
      </c>
      <c r="L317" s="15">
        <f t="shared" ref="L317:L346" si="83">L315+(L$19-L$4)/15</f>
        <v>1053849.2666666666</v>
      </c>
      <c r="M317">
        <v>0</v>
      </c>
      <c r="N317" s="15">
        <f>N315</f>
        <v>126</v>
      </c>
    </row>
    <row r="318" spans="1:16" x14ac:dyDescent="0.15">
      <c r="B318" s="10">
        <v>2016.5</v>
      </c>
      <c r="C318" s="20">
        <f t="shared" si="77"/>
        <v>122.45565620665936</v>
      </c>
      <c r="D318" s="17">
        <f t="shared" si="82"/>
        <v>126</v>
      </c>
      <c r="E318" s="18">
        <f t="shared" si="78"/>
        <v>43.385574133333336</v>
      </c>
      <c r="F318" s="19">
        <f t="shared" si="79"/>
        <v>43385574.133333333</v>
      </c>
      <c r="G318" s="15">
        <f t="shared" si="80"/>
        <v>659433.33333333337</v>
      </c>
      <c r="H318" s="15">
        <v>0</v>
      </c>
      <c r="I318" s="16">
        <f t="shared" si="81"/>
        <v>83088.600000000006</v>
      </c>
      <c r="J318" s="15">
        <f>J316+($J$186-$J$156)/15</f>
        <v>659433.33333333337</v>
      </c>
      <c r="K318" s="16">
        <f>L318*M318/1000000</f>
        <v>0</v>
      </c>
      <c r="L318" s="15">
        <f t="shared" si="83"/>
        <v>1053849.2666666666</v>
      </c>
      <c r="M318">
        <v>0</v>
      </c>
      <c r="N318">
        <f t="shared" ref="N318:N346" si="84">N316</f>
        <v>126</v>
      </c>
    </row>
    <row r="319" spans="1:16" x14ac:dyDescent="0.15">
      <c r="A319">
        <f>A317+1</f>
        <v>2</v>
      </c>
      <c r="B319" s="10">
        <f>B317+1</f>
        <v>2017</v>
      </c>
      <c r="C319" s="20">
        <f t="shared" si="77"/>
        <v>104.32770212238077</v>
      </c>
      <c r="D319" s="17">
        <f t="shared" si="82"/>
        <v>105.16245832868101</v>
      </c>
      <c r="E319" s="18">
        <f t="shared" si="78"/>
        <v>42.726140799999996</v>
      </c>
      <c r="F319" s="19">
        <f t="shared" si="79"/>
        <v>42726140.799999997</v>
      </c>
      <c r="G319" s="15">
        <f t="shared" si="80"/>
        <v>1220423.7333333334</v>
      </c>
      <c r="H319" s="15">
        <f>H317+(H$19-H$4)/15</f>
        <v>201830.40000000002</v>
      </c>
      <c r="I319" s="16">
        <f t="shared" si="81"/>
        <v>128342.75999999998</v>
      </c>
      <c r="J319" s="15">
        <f>J317+($J$185-$J$155)/15</f>
        <v>1018593.3333333333</v>
      </c>
      <c r="K319" s="16">
        <f>L319*$M$315/1000000</f>
        <v>0</v>
      </c>
      <c r="L319" s="15">
        <f t="shared" si="83"/>
        <v>1059220.5333333332</v>
      </c>
      <c r="M319">
        <v>0</v>
      </c>
      <c r="N319">
        <f t="shared" si="84"/>
        <v>126</v>
      </c>
    </row>
    <row r="320" spans="1:16" x14ac:dyDescent="0.15">
      <c r="B320" s="10">
        <f>B319+0.5</f>
        <v>2017.5</v>
      </c>
      <c r="C320" s="20">
        <f t="shared" si="77"/>
        <v>121.98641273122863</v>
      </c>
      <c r="D320" s="17">
        <f t="shared" si="82"/>
        <v>126</v>
      </c>
      <c r="E320" s="18">
        <f t="shared" si="78"/>
        <v>41.505717066666662</v>
      </c>
      <c r="F320" s="19">
        <f t="shared" si="79"/>
        <v>41505717.066666663</v>
      </c>
      <c r="G320" s="15">
        <f t="shared" si="80"/>
        <v>727566.66666666674</v>
      </c>
      <c r="H320" s="15">
        <v>0</v>
      </c>
      <c r="I320" s="16">
        <f t="shared" si="81"/>
        <v>91673.400000000009</v>
      </c>
      <c r="J320" s="15">
        <f>J318+($J$186-$J$156)/15</f>
        <v>727566.66666666674</v>
      </c>
      <c r="K320" s="16">
        <f>L320*M320/1000000</f>
        <v>0</v>
      </c>
      <c r="L320" s="15">
        <f t="shared" si="83"/>
        <v>1059220.5333333332</v>
      </c>
      <c r="M320">
        <v>0</v>
      </c>
      <c r="N320">
        <f t="shared" si="84"/>
        <v>126</v>
      </c>
    </row>
    <row r="321" spans="1:16" x14ac:dyDescent="0.15">
      <c r="A321">
        <f>A319+1</f>
        <v>3</v>
      </c>
      <c r="B321" s="10">
        <f>B319+1</f>
        <v>2018</v>
      </c>
      <c r="C321" s="20">
        <f t="shared" si="77"/>
        <v>104.9065753097702</v>
      </c>
      <c r="D321" s="17">
        <f t="shared" si="82"/>
        <v>106.16414152568576</v>
      </c>
      <c r="E321" s="18">
        <f t="shared" si="78"/>
        <v>40.778150400000001</v>
      </c>
      <c r="F321" s="19">
        <f t="shared" si="79"/>
        <v>40778150.399999999</v>
      </c>
      <c r="G321" s="15">
        <f t="shared" ref="G321:G346" si="85">H321+J321</f>
        <v>1322117.6000000001</v>
      </c>
      <c r="H321" s="15">
        <f>H319+(H$19-H$4)/15</f>
        <v>208137.60000000003</v>
      </c>
      <c r="I321" s="16">
        <f t="shared" si="81"/>
        <v>140361.48000000001</v>
      </c>
      <c r="J321" s="15">
        <f>J319+($J$185-$J$155)/15</f>
        <v>1113980</v>
      </c>
      <c r="K321" s="16">
        <f>L321*$M$315/1000000</f>
        <v>0</v>
      </c>
      <c r="L321" s="15">
        <f t="shared" si="83"/>
        <v>1064591.7999999998</v>
      </c>
      <c r="M321">
        <v>0</v>
      </c>
      <c r="N321">
        <f t="shared" si="84"/>
        <v>126</v>
      </c>
    </row>
    <row r="322" spans="1:16" x14ac:dyDescent="0.15">
      <c r="B322" s="10">
        <f>B321+0.5</f>
        <v>2018.5</v>
      </c>
      <c r="C322" s="20">
        <f t="shared" si="77"/>
        <v>121.45316059246586</v>
      </c>
      <c r="D322" s="17">
        <f t="shared" si="82"/>
        <v>126</v>
      </c>
      <c r="E322" s="18">
        <f t="shared" si="78"/>
        <v>39.456032799999996</v>
      </c>
      <c r="F322" s="19">
        <f t="shared" si="79"/>
        <v>39456032.799999997</v>
      </c>
      <c r="G322" s="15">
        <f t="shared" si="85"/>
        <v>795700.00000000012</v>
      </c>
      <c r="H322" s="15">
        <v>0</v>
      </c>
      <c r="I322" s="16">
        <f t="shared" si="81"/>
        <v>100258.20000000001</v>
      </c>
      <c r="J322" s="15">
        <f>J320+($J$186-$J$156)/15</f>
        <v>795700.00000000012</v>
      </c>
      <c r="K322" s="16">
        <f>L322*M322/1000000</f>
        <v>0</v>
      </c>
      <c r="L322" s="15">
        <f t="shared" si="83"/>
        <v>1064591.7999999998</v>
      </c>
      <c r="M322">
        <v>0</v>
      </c>
      <c r="N322">
        <f t="shared" si="84"/>
        <v>126</v>
      </c>
    </row>
    <row r="323" spans="1:16" x14ac:dyDescent="0.15">
      <c r="A323">
        <f>A321+1</f>
        <v>4</v>
      </c>
      <c r="B323" s="10">
        <f>B321+1</f>
        <v>2019</v>
      </c>
      <c r="C323" s="20">
        <f t="shared" si="77"/>
        <v>105.33149324033776</v>
      </c>
      <c r="D323" s="17">
        <f t="shared" si="82"/>
        <v>107.02273690542924</v>
      </c>
      <c r="E323" s="18">
        <f t="shared" si="78"/>
        <v>38.660332799999999</v>
      </c>
      <c r="F323" s="19">
        <f t="shared" si="79"/>
        <v>38660332.799999997</v>
      </c>
      <c r="G323" s="15">
        <f t="shared" si="85"/>
        <v>1423811.4666666668</v>
      </c>
      <c r="H323" s="15">
        <f>H321+(H$19-H$4)/15</f>
        <v>214444.80000000005</v>
      </c>
      <c r="I323" s="16">
        <f t="shared" si="81"/>
        <v>152380.20000000001</v>
      </c>
      <c r="J323" s="15">
        <f>J321+($J$185-$J$155)/15</f>
        <v>1209366.6666666667</v>
      </c>
      <c r="K323" s="16">
        <f>L323*$M$315/1000000</f>
        <v>0</v>
      </c>
      <c r="L323" s="15">
        <f t="shared" si="83"/>
        <v>1069963.0666666664</v>
      </c>
      <c r="M323">
        <v>0</v>
      </c>
      <c r="N323">
        <f t="shared" si="84"/>
        <v>126</v>
      </c>
    </row>
    <row r="324" spans="1:16" x14ac:dyDescent="0.15">
      <c r="B324" s="10">
        <f>B323+0.5</f>
        <v>2019.5</v>
      </c>
      <c r="C324" s="20">
        <f t="shared" si="77"/>
        <v>120.83803359934338</v>
      </c>
      <c r="D324" s="17">
        <f t="shared" si="82"/>
        <v>126</v>
      </c>
      <c r="E324" s="18">
        <f t="shared" si="78"/>
        <v>37.236521333333336</v>
      </c>
      <c r="F324" s="19">
        <f t="shared" si="79"/>
        <v>37236521.333333336</v>
      </c>
      <c r="G324" s="15">
        <f t="shared" si="85"/>
        <v>863833.33333333349</v>
      </c>
      <c r="H324" s="15">
        <v>0</v>
      </c>
      <c r="I324" s="16">
        <f t="shared" si="81"/>
        <v>108843.00000000001</v>
      </c>
      <c r="J324" s="15">
        <f>J322+($J$186-$J$156)/15</f>
        <v>863833.33333333349</v>
      </c>
      <c r="K324" s="16">
        <f>L324*M324/1000000</f>
        <v>0</v>
      </c>
      <c r="L324" s="15">
        <f t="shared" si="83"/>
        <v>1069963.0666666664</v>
      </c>
      <c r="M324">
        <v>0</v>
      </c>
      <c r="N324">
        <f t="shared" si="84"/>
        <v>126</v>
      </c>
    </row>
    <row r="325" spans="1:16" x14ac:dyDescent="0.15">
      <c r="A325">
        <f>A323+1</f>
        <v>5</v>
      </c>
      <c r="B325" s="10">
        <f>B323+1</f>
        <v>2020</v>
      </c>
      <c r="C325" s="20">
        <f t="shared" si="77"/>
        <v>105.61270354430198</v>
      </c>
      <c r="D325" s="17">
        <f t="shared" si="82"/>
        <v>107.76686020544888</v>
      </c>
      <c r="E325" s="18">
        <f t="shared" si="78"/>
        <v>36.372687999999997</v>
      </c>
      <c r="F325" s="19">
        <f t="shared" si="79"/>
        <v>36372688</v>
      </c>
      <c r="G325" s="15">
        <f t="shared" si="85"/>
        <v>1525505.3333333335</v>
      </c>
      <c r="H325" s="15">
        <f>H323+(H$19-H$4)/15</f>
        <v>220752.00000000006</v>
      </c>
      <c r="I325" s="16">
        <f t="shared" si="81"/>
        <v>164398.92000000004</v>
      </c>
      <c r="J325" s="15">
        <f>J323+($J$185-$J$155)/15</f>
        <v>1304753.3333333335</v>
      </c>
      <c r="K325" s="16">
        <f>L325*$M$315/1000000</f>
        <v>0</v>
      </c>
      <c r="L325" s="15">
        <f t="shared" si="83"/>
        <v>1075334.333333333</v>
      </c>
      <c r="M325">
        <v>0</v>
      </c>
      <c r="N325">
        <f t="shared" si="84"/>
        <v>126</v>
      </c>
    </row>
    <row r="326" spans="1:16" x14ac:dyDescent="0.15">
      <c r="B326" s="10">
        <f>B325+0.5</f>
        <v>2020.5</v>
      </c>
      <c r="C326" s="20">
        <f t="shared" si="77"/>
        <v>120.11639382267423</v>
      </c>
      <c r="D326" s="17">
        <f t="shared" si="82"/>
        <v>126</v>
      </c>
      <c r="E326" s="18">
        <f t="shared" si="78"/>
        <v>34.847182666666662</v>
      </c>
      <c r="F326" s="19">
        <f t="shared" si="79"/>
        <v>34847182.666666664</v>
      </c>
      <c r="G326" s="15">
        <f t="shared" si="85"/>
        <v>931966.66666666686</v>
      </c>
      <c r="H326" s="15">
        <v>0</v>
      </c>
      <c r="I326" s="16">
        <f t="shared" si="81"/>
        <v>117427.80000000003</v>
      </c>
      <c r="J326" s="15">
        <f>J324+($J$186-$J$156)/15</f>
        <v>931966.66666666686</v>
      </c>
      <c r="K326" s="16">
        <f>L326*M326/1000000</f>
        <v>0</v>
      </c>
      <c r="L326" s="15">
        <f t="shared" si="83"/>
        <v>1075334.333333333</v>
      </c>
      <c r="M326">
        <v>0</v>
      </c>
      <c r="N326">
        <f t="shared" si="84"/>
        <v>126</v>
      </c>
    </row>
    <row r="327" spans="1:16" x14ac:dyDescent="0.15">
      <c r="A327">
        <f>A325+1</f>
        <v>6</v>
      </c>
      <c r="B327" s="10">
        <f>B325+1</f>
        <v>2021</v>
      </c>
      <c r="C327" s="20">
        <f t="shared" si="77"/>
        <v>105.75092884215826</v>
      </c>
      <c r="D327" s="17">
        <f t="shared" si="82"/>
        <v>108.41797365682089</v>
      </c>
      <c r="E327" s="18">
        <f t="shared" si="78"/>
        <v>33.915216000000001</v>
      </c>
      <c r="F327" s="19">
        <f t="shared" si="79"/>
        <v>33915216</v>
      </c>
      <c r="G327" s="15">
        <f t="shared" si="85"/>
        <v>1627199.2000000002</v>
      </c>
      <c r="H327" s="15">
        <f>H325+(H$19-H$4)/15</f>
        <v>227059.20000000007</v>
      </c>
      <c r="I327" s="16">
        <f t="shared" si="81"/>
        <v>176417.64000000004</v>
      </c>
      <c r="J327" s="15">
        <f>J325+($J$185-$J$155)/15</f>
        <v>1400140.0000000002</v>
      </c>
      <c r="K327" s="16">
        <f>L327*$M$315/1000000</f>
        <v>0</v>
      </c>
      <c r="L327" s="15">
        <f t="shared" si="83"/>
        <v>1080705.5999999996</v>
      </c>
      <c r="M327">
        <v>0</v>
      </c>
      <c r="N327">
        <f t="shared" si="84"/>
        <v>126</v>
      </c>
    </row>
    <row r="328" spans="1:16" x14ac:dyDescent="0.15">
      <c r="B328" s="10">
        <f>B327+0.5</f>
        <v>2021.5</v>
      </c>
      <c r="C328" s="20">
        <f t="shared" si="77"/>
        <v>119.25320821810276</v>
      </c>
      <c r="D328" s="17">
        <f t="shared" si="82"/>
        <v>126</v>
      </c>
      <c r="E328" s="18">
        <f t="shared" si="78"/>
        <v>32.288016800000001</v>
      </c>
      <c r="F328" s="19">
        <f t="shared" si="79"/>
        <v>32288016.800000001</v>
      </c>
      <c r="G328" s="15">
        <f t="shared" si="85"/>
        <v>1000100.0000000002</v>
      </c>
      <c r="H328" s="15">
        <v>0</v>
      </c>
      <c r="I328" s="16">
        <f t="shared" si="81"/>
        <v>126012.60000000003</v>
      </c>
      <c r="J328" s="15">
        <f>J326+($J$186-$J$156)/15</f>
        <v>1000100.0000000002</v>
      </c>
      <c r="K328" s="16">
        <f>L328*M328/1000000</f>
        <v>0</v>
      </c>
      <c r="L328" s="15">
        <f t="shared" si="83"/>
        <v>1080705.5999999996</v>
      </c>
      <c r="M328">
        <v>0</v>
      </c>
      <c r="N328">
        <f t="shared" si="84"/>
        <v>126</v>
      </c>
    </row>
    <row r="329" spans="1:16" x14ac:dyDescent="0.15">
      <c r="A329">
        <f>A327+1</f>
        <v>7</v>
      </c>
      <c r="B329" s="10">
        <f>B327+1</f>
        <v>2022</v>
      </c>
      <c r="C329" s="20">
        <f t="shared" si="77"/>
        <v>105.7362932714118</v>
      </c>
      <c r="D329" s="17">
        <f t="shared" si="82"/>
        <v>108.99248983819936</v>
      </c>
      <c r="E329" s="18">
        <f t="shared" si="78"/>
        <v>31.287916800000001</v>
      </c>
      <c r="F329" s="19">
        <f t="shared" si="79"/>
        <v>31287916.800000001</v>
      </c>
      <c r="G329" s="15">
        <f t="shared" si="85"/>
        <v>1728893.0666666671</v>
      </c>
      <c r="H329" s="15">
        <f>H327+(H$19-H$4)/15</f>
        <v>233366.40000000008</v>
      </c>
      <c r="I329" s="16">
        <f t="shared" si="81"/>
        <v>188436.36000000004</v>
      </c>
      <c r="J329" s="15">
        <f>J327+($J$185-$J$155)/15</f>
        <v>1495526.666666667</v>
      </c>
      <c r="K329" s="16">
        <f>L329*$M$315/1000000</f>
        <v>0</v>
      </c>
      <c r="L329" s="15">
        <f t="shared" si="83"/>
        <v>1086076.8666666662</v>
      </c>
      <c r="M329">
        <v>0</v>
      </c>
      <c r="N329">
        <f t="shared" si="84"/>
        <v>126</v>
      </c>
    </row>
    <row r="330" spans="1:16" x14ac:dyDescent="0.15">
      <c r="B330" s="10">
        <f>B329+0.5</f>
        <v>2022.5</v>
      </c>
      <c r="C330" s="20">
        <f t="shared" si="77"/>
        <v>118.19683452062409</v>
      </c>
      <c r="D330" s="17">
        <f t="shared" si="82"/>
        <v>126</v>
      </c>
      <c r="E330" s="18">
        <f t="shared" si="78"/>
        <v>29.559023733333333</v>
      </c>
      <c r="F330" s="19">
        <f t="shared" si="79"/>
        <v>29559023.733333334</v>
      </c>
      <c r="G330" s="15">
        <f t="shared" si="85"/>
        <v>1068233.3333333335</v>
      </c>
      <c r="H330" s="15">
        <v>0</v>
      </c>
      <c r="I330" s="16">
        <f t="shared" si="81"/>
        <v>134597.40000000002</v>
      </c>
      <c r="J330" s="15">
        <f>J328+($J$186-$J$156)/15</f>
        <v>1068233.3333333335</v>
      </c>
      <c r="K330" s="16">
        <f>L330*M330/1000000</f>
        <v>0</v>
      </c>
      <c r="L330" s="15">
        <f t="shared" si="83"/>
        <v>1086076.8666666662</v>
      </c>
      <c r="M330">
        <v>0</v>
      </c>
      <c r="N330">
        <f t="shared" si="84"/>
        <v>126</v>
      </c>
      <c r="O330" s="15">
        <v>3871920</v>
      </c>
      <c r="P330" t="s">
        <v>911</v>
      </c>
    </row>
    <row r="331" spans="1:16" x14ac:dyDescent="0.15">
      <c r="A331">
        <f>A329+1</f>
        <v>8</v>
      </c>
      <c r="B331" s="10">
        <f>B329+1</f>
        <v>2023</v>
      </c>
      <c r="C331" s="20">
        <f t="shared" si="77"/>
        <v>105.54494336019607</v>
      </c>
      <c r="D331" s="17">
        <f t="shared" si="82"/>
        <v>109.50317428246329</v>
      </c>
      <c r="E331" s="18">
        <f t="shared" si="78"/>
        <v>28.490790400000002</v>
      </c>
      <c r="F331" s="19">
        <f t="shared" si="79"/>
        <v>28490790.400000002</v>
      </c>
      <c r="G331" s="15">
        <f t="shared" si="85"/>
        <v>1830586.9333333338</v>
      </c>
      <c r="H331" s="15">
        <f>H329+(H$19-H$4)/15</f>
        <v>239673.60000000009</v>
      </c>
      <c r="I331" s="16">
        <f t="shared" si="81"/>
        <v>200455.08000000007</v>
      </c>
      <c r="J331" s="15">
        <f>J329+($J$185-$J$155)/15</f>
        <v>1590913.3333333337</v>
      </c>
      <c r="K331" s="16">
        <f>L331*$M$315/1000000</f>
        <v>0</v>
      </c>
      <c r="L331" s="15">
        <f t="shared" si="83"/>
        <v>1091448.1333333328</v>
      </c>
      <c r="M331">
        <v>0</v>
      </c>
      <c r="N331">
        <f t="shared" si="84"/>
        <v>126</v>
      </c>
      <c r="O331" s="16">
        <v>118000000</v>
      </c>
      <c r="P331" t="s">
        <v>755</v>
      </c>
    </row>
    <row r="332" spans="1:16" x14ac:dyDescent="0.15">
      <c r="B332" s="10">
        <f>B331+0.5</f>
        <v>2023.5</v>
      </c>
      <c r="C332" s="20">
        <f t="shared" si="77"/>
        <v>116.86775983895215</v>
      </c>
      <c r="D332" s="17">
        <f t="shared" si="82"/>
        <v>126</v>
      </c>
      <c r="E332" s="18">
        <f t="shared" si="78"/>
        <v>26.660203466666669</v>
      </c>
      <c r="F332" s="19">
        <f t="shared" si="79"/>
        <v>26660203.466666669</v>
      </c>
      <c r="G332" s="15">
        <f t="shared" si="85"/>
        <v>1136366.6666666667</v>
      </c>
      <c r="H332" s="15">
        <v>0</v>
      </c>
      <c r="I332" s="16">
        <f t="shared" si="81"/>
        <v>143182.20000000001</v>
      </c>
      <c r="J332" s="15">
        <f>J330+($J$186-$J$156)/15</f>
        <v>1136366.6666666667</v>
      </c>
      <c r="K332" s="16">
        <f>L332*M332/1000000</f>
        <v>0</v>
      </c>
      <c r="L332" s="15">
        <f t="shared" si="83"/>
        <v>1091448.1333333328</v>
      </c>
      <c r="M332">
        <v>0</v>
      </c>
      <c r="N332">
        <f t="shared" si="84"/>
        <v>126</v>
      </c>
      <c r="O332" s="15">
        <v>2932848</v>
      </c>
      <c r="P332" t="s">
        <v>966</v>
      </c>
    </row>
    <row r="333" spans="1:16" x14ac:dyDescent="0.15">
      <c r="A333">
        <f>A331+1</f>
        <v>9</v>
      </c>
      <c r="B333" s="10">
        <f>B331+1</f>
        <v>2024</v>
      </c>
      <c r="C333" s="20">
        <f t="shared" si="77"/>
        <v>105.13165814856572</v>
      </c>
      <c r="D333" s="17">
        <f t="shared" si="82"/>
        <v>109.96010517725995</v>
      </c>
      <c r="E333" s="18">
        <f t="shared" si="78"/>
        <v>25.523836800000002</v>
      </c>
      <c r="F333" s="19">
        <f t="shared" si="79"/>
        <v>25523836.800000001</v>
      </c>
      <c r="G333" s="15">
        <f t="shared" si="85"/>
        <v>1932280.8000000005</v>
      </c>
      <c r="H333" s="15">
        <f>H331+(H$19-H$4)/15</f>
        <v>245980.8000000001</v>
      </c>
      <c r="I333" s="16">
        <f t="shared" si="81"/>
        <v>212473.80000000005</v>
      </c>
      <c r="J333" s="15">
        <f>J331+($J$185-$J$155)/15</f>
        <v>1686300.0000000005</v>
      </c>
      <c r="K333" s="16">
        <f>L333*$M$315/1000000</f>
        <v>0</v>
      </c>
      <c r="L333" s="15">
        <f t="shared" si="83"/>
        <v>1096819.3999999994</v>
      </c>
      <c r="M333">
        <v>0</v>
      </c>
      <c r="N333">
        <f t="shared" si="84"/>
        <v>126</v>
      </c>
      <c r="O333" s="15">
        <v>283824</v>
      </c>
      <c r="P333" t="s">
        <v>965</v>
      </c>
    </row>
    <row r="334" spans="1:16" x14ac:dyDescent="0.15">
      <c r="B334" s="10">
        <f>B333+0.5</f>
        <v>2024.5</v>
      </c>
      <c r="C334" s="20">
        <f t="shared" si="77"/>
        <v>115.13675689725595</v>
      </c>
      <c r="D334" s="17">
        <f t="shared" si="82"/>
        <v>126</v>
      </c>
      <c r="E334" s="18">
        <f t="shared" si="78"/>
        <v>23.591556000000001</v>
      </c>
      <c r="F334" s="19">
        <f t="shared" si="79"/>
        <v>23591556</v>
      </c>
      <c r="G334" s="15">
        <f t="shared" si="85"/>
        <v>1204500</v>
      </c>
      <c r="H334" s="15">
        <v>0</v>
      </c>
      <c r="I334" s="16">
        <f t="shared" si="81"/>
        <v>151767</v>
      </c>
      <c r="J334" s="15">
        <f>J332+($J$186-$J$156)/15</f>
        <v>1204500</v>
      </c>
      <c r="K334" s="16">
        <f>L334*M334/1000000</f>
        <v>0</v>
      </c>
      <c r="L334" s="15">
        <f t="shared" si="83"/>
        <v>1096819.3999999994</v>
      </c>
      <c r="M334">
        <v>0</v>
      </c>
      <c r="N334">
        <f t="shared" si="84"/>
        <v>126</v>
      </c>
      <c r="O334" s="15">
        <f>6*60*60*24*365/1000</f>
        <v>189216</v>
      </c>
      <c r="P334" t="s">
        <v>1105</v>
      </c>
    </row>
    <row r="335" spans="1:16" x14ac:dyDescent="0.15">
      <c r="A335">
        <f>A333+1</f>
        <v>10</v>
      </c>
      <c r="B335" s="10">
        <f>B333+1</f>
        <v>2025</v>
      </c>
      <c r="C335" s="20">
        <f t="shared" si="77"/>
        <v>104.41420301845174</v>
      </c>
      <c r="D335" s="17">
        <f t="shared" si="82"/>
        <v>110.37134516916301</v>
      </c>
      <c r="E335" s="18">
        <f t="shared" si="78"/>
        <v>22.387056000000001</v>
      </c>
      <c r="F335" s="19">
        <f t="shared" si="79"/>
        <v>22387056</v>
      </c>
      <c r="G335" s="15">
        <f t="shared" si="85"/>
        <v>2033974.6666666674</v>
      </c>
      <c r="H335" s="15">
        <f>H333+(H$19-H$4)/15</f>
        <v>252288.00000000012</v>
      </c>
      <c r="I335" s="16">
        <f t="shared" si="81"/>
        <v>224492.52000000005</v>
      </c>
      <c r="J335" s="15">
        <f>J333+($J$185-$J$155)/15</f>
        <v>1781686.6666666672</v>
      </c>
      <c r="K335" s="16">
        <f>L335*$M$315/1000000</f>
        <v>0</v>
      </c>
      <c r="L335" s="15">
        <f t="shared" si="83"/>
        <v>1102190.666666666</v>
      </c>
      <c r="M335">
        <v>0</v>
      </c>
      <c r="N335">
        <f t="shared" si="84"/>
        <v>126</v>
      </c>
      <c r="O335" s="15">
        <f>36*60*60*24*365/1000</f>
        <v>1135296</v>
      </c>
      <c r="P335" t="s">
        <v>1106</v>
      </c>
    </row>
    <row r="336" spans="1:16" x14ac:dyDescent="0.15">
      <c r="B336" s="10">
        <f>B335+0.5</f>
        <v>2025.5</v>
      </c>
      <c r="C336" s="20">
        <f t="shared" si="77"/>
        <v>112.77869798715491</v>
      </c>
      <c r="D336" s="17">
        <f t="shared" si="82"/>
        <v>126</v>
      </c>
      <c r="E336" s="18">
        <f t="shared" si="78"/>
        <v>20.353081333333332</v>
      </c>
      <c r="F336" s="19">
        <f t="shared" si="79"/>
        <v>20353081.333333332</v>
      </c>
      <c r="G336" s="15">
        <f t="shared" si="85"/>
        <v>1272633.3333333333</v>
      </c>
      <c r="H336" s="15">
        <v>0</v>
      </c>
      <c r="I336" s="16">
        <f t="shared" si="81"/>
        <v>160351.79999999999</v>
      </c>
      <c r="J336" s="15">
        <f>J334+($J$186-$J$156)/15</f>
        <v>1272633.3333333333</v>
      </c>
      <c r="K336" s="16">
        <f>L336*M336/1000000</f>
        <v>0</v>
      </c>
      <c r="L336" s="15">
        <f t="shared" si="83"/>
        <v>1102190.666666666</v>
      </c>
      <c r="M336">
        <v>0</v>
      </c>
      <c r="N336">
        <f t="shared" si="84"/>
        <v>126</v>
      </c>
      <c r="O336" s="15">
        <f>18*60*60*24*365/1000</f>
        <v>567648</v>
      </c>
      <c r="P336" t="s">
        <v>964</v>
      </c>
    </row>
    <row r="337" spans="1:16" x14ac:dyDescent="0.15">
      <c r="A337">
        <f>A335+1</f>
        <v>11</v>
      </c>
      <c r="B337" s="10">
        <f>B335+1</f>
        <v>2026</v>
      </c>
      <c r="C337" s="20">
        <f t="shared" si="77"/>
        <v>103.23819953303843</v>
      </c>
      <c r="D337" s="17">
        <f t="shared" si="82"/>
        <v>110.74342123253334</v>
      </c>
      <c r="E337" s="18">
        <f t="shared" si="78"/>
        <v>19.080448000000001</v>
      </c>
      <c r="F337" s="19">
        <f t="shared" si="79"/>
        <v>19080448</v>
      </c>
      <c r="G337" s="15">
        <f t="shared" si="85"/>
        <v>2135668.5333333341</v>
      </c>
      <c r="H337" s="15">
        <f>H335+(H$19-H$4)/15</f>
        <v>258595.20000000013</v>
      </c>
      <c r="I337" s="16">
        <f t="shared" si="81"/>
        <v>236511.24000000008</v>
      </c>
      <c r="J337" s="15">
        <f>J335+($J$185-$J$155)/15</f>
        <v>1877073.333333334</v>
      </c>
      <c r="K337" s="16">
        <f>L337*$M$315/1000000</f>
        <v>0</v>
      </c>
      <c r="L337" s="15">
        <f t="shared" si="83"/>
        <v>1107561.9333333327</v>
      </c>
      <c r="M337">
        <v>0</v>
      </c>
      <c r="N337">
        <f t="shared" si="84"/>
        <v>126</v>
      </c>
      <c r="O337" s="15">
        <v>1129047</v>
      </c>
      <c r="P337" t="s">
        <v>1150</v>
      </c>
    </row>
    <row r="338" spans="1:16" x14ac:dyDescent="0.15">
      <c r="B338" s="10">
        <f>B337+0.5</f>
        <v>2026.5</v>
      </c>
      <c r="C338" s="20">
        <f t="shared" si="77"/>
        <v>109.36315542172964</v>
      </c>
      <c r="D338" s="17">
        <f t="shared" si="82"/>
        <v>126</v>
      </c>
      <c r="E338" s="18">
        <f t="shared" si="78"/>
        <v>16.94477946666667</v>
      </c>
      <c r="F338" s="19">
        <f t="shared" si="79"/>
        <v>16944779.466666669</v>
      </c>
      <c r="G338" s="15">
        <f t="shared" si="85"/>
        <v>1340766.6666666665</v>
      </c>
      <c r="H338" s="15">
        <v>0</v>
      </c>
      <c r="I338" s="16">
        <f t="shared" si="81"/>
        <v>168936.59999999998</v>
      </c>
      <c r="J338" s="15">
        <f>J336+($J$186-$J$156)/15</f>
        <v>1340766.6666666665</v>
      </c>
      <c r="K338" s="16">
        <f>L338*M338/1000000</f>
        <v>0</v>
      </c>
      <c r="L338" s="15">
        <f t="shared" si="83"/>
        <v>1107561.9333333327</v>
      </c>
      <c r="M338">
        <v>0</v>
      </c>
      <c r="N338">
        <f t="shared" si="84"/>
        <v>126</v>
      </c>
      <c r="O338" s="15">
        <v>1048478</v>
      </c>
      <c r="P338" t="s">
        <v>1149</v>
      </c>
    </row>
    <row r="339" spans="1:16" x14ac:dyDescent="0.15">
      <c r="A339">
        <f>A337+1</f>
        <v>12</v>
      </c>
      <c r="B339" s="10">
        <f>B337+1</f>
        <v>2027</v>
      </c>
      <c r="C339" s="20">
        <f t="shared" si="77"/>
        <v>101.28868416881967</v>
      </c>
      <c r="D339" s="17">
        <f t="shared" si="82"/>
        <v>111.08167367074729</v>
      </c>
      <c r="E339" s="18">
        <f t="shared" si="78"/>
        <v>15.604012800000001</v>
      </c>
      <c r="F339" s="19">
        <f t="shared" si="79"/>
        <v>15604012.800000001</v>
      </c>
      <c r="G339" s="15">
        <f t="shared" si="85"/>
        <v>2237362.4000000008</v>
      </c>
      <c r="H339" s="15">
        <f>H337+(H$19-H$4)/15</f>
        <v>264902.40000000014</v>
      </c>
      <c r="I339" s="16">
        <f t="shared" si="81"/>
        <v>248529.96000000008</v>
      </c>
      <c r="J339" s="15">
        <f>J337+($J$185-$J$155)/15</f>
        <v>1972460.0000000007</v>
      </c>
      <c r="K339" s="16">
        <f>L339*$M$315/1000000</f>
        <v>0</v>
      </c>
      <c r="L339" s="15">
        <f t="shared" si="83"/>
        <v>1112933.1999999993</v>
      </c>
      <c r="M339">
        <v>0</v>
      </c>
      <c r="N339">
        <f t="shared" si="84"/>
        <v>126</v>
      </c>
      <c r="O339" s="10">
        <f>7/12</f>
        <v>0.58333333333333337</v>
      </c>
      <c r="P339" s="10" t="s">
        <v>1086</v>
      </c>
    </row>
    <row r="340" spans="1:16" x14ac:dyDescent="0.15">
      <c r="B340" s="10">
        <f>B339+0.5</f>
        <v>2027.5</v>
      </c>
      <c r="C340" s="20">
        <f t="shared" si="77"/>
        <v>103.95101384562282</v>
      </c>
      <c r="D340" s="17">
        <f t="shared" si="82"/>
        <v>126</v>
      </c>
      <c r="E340" s="18">
        <f t="shared" si="78"/>
        <v>13.366650400000001</v>
      </c>
      <c r="F340" s="19">
        <f t="shared" si="79"/>
        <v>13366650.4</v>
      </c>
      <c r="G340" s="15">
        <f t="shared" si="85"/>
        <v>1408899.9999999998</v>
      </c>
      <c r="H340" s="15">
        <v>0</v>
      </c>
      <c r="I340" s="16">
        <f t="shared" si="81"/>
        <v>177521.39999999997</v>
      </c>
      <c r="J340" s="15">
        <f>J338+($J$186-$J$156)/15</f>
        <v>1408899.9999999998</v>
      </c>
      <c r="K340" s="16">
        <f>L340*M340/1000000</f>
        <v>0</v>
      </c>
      <c r="L340" s="15">
        <f t="shared" si="83"/>
        <v>1112933.1999999993</v>
      </c>
      <c r="M340">
        <v>0</v>
      </c>
      <c r="N340">
        <f t="shared" si="84"/>
        <v>126</v>
      </c>
      <c r="O340">
        <f>5/12</f>
        <v>0.41666666666666669</v>
      </c>
      <c r="P340" s="10" t="s">
        <v>1087</v>
      </c>
    </row>
    <row r="341" spans="1:16" x14ac:dyDescent="0.15">
      <c r="A341">
        <f>A339+1</f>
        <v>13</v>
      </c>
      <c r="B341" s="10">
        <f>B339+1</f>
        <v>2028</v>
      </c>
      <c r="C341" s="20">
        <f t="shared" si="77"/>
        <v>97.824203176079095</v>
      </c>
      <c r="D341" s="17">
        <f t="shared" si="82"/>
        <v>111.39051407741538</v>
      </c>
      <c r="E341" s="18">
        <f t="shared" si="78"/>
        <v>11.9577504</v>
      </c>
      <c r="F341" s="19">
        <f t="shared" si="79"/>
        <v>11957750.4</v>
      </c>
      <c r="G341" s="15">
        <f t="shared" si="85"/>
        <v>2339056.2666666675</v>
      </c>
      <c r="H341" s="15">
        <f>H339+(H$19-H$4)/15</f>
        <v>271209.60000000015</v>
      </c>
      <c r="I341" s="16">
        <f t="shared" si="81"/>
        <v>260548.68000000008</v>
      </c>
      <c r="J341" s="15">
        <f>J339+($J$185-$J$155)/15</f>
        <v>2067846.6666666674</v>
      </c>
      <c r="K341" s="16">
        <f>L341*$M$315/1000000</f>
        <v>0</v>
      </c>
      <c r="L341" s="15">
        <f t="shared" si="83"/>
        <v>1118304.4666666659</v>
      </c>
      <c r="M341">
        <v>0</v>
      </c>
      <c r="N341">
        <f t="shared" si="84"/>
        <v>126</v>
      </c>
      <c r="O341" s="15" t="s">
        <v>935</v>
      </c>
      <c r="P341" s="15" t="s">
        <v>1119</v>
      </c>
    </row>
    <row r="342" spans="1:16" x14ac:dyDescent="0.15">
      <c r="B342" s="10">
        <f>B341+0.5</f>
        <v>2028.5</v>
      </c>
      <c r="C342" s="20">
        <f t="shared" si="77"/>
        <v>94.027414892605094</v>
      </c>
      <c r="D342" s="17">
        <f t="shared" si="82"/>
        <v>126</v>
      </c>
      <c r="E342" s="18">
        <f t="shared" si="78"/>
        <v>9.6186941333333333</v>
      </c>
      <c r="F342" s="19">
        <f t="shared" si="79"/>
        <v>9618694.1333333328</v>
      </c>
      <c r="G342" s="15">
        <f t="shared" si="85"/>
        <v>1477033.333333333</v>
      </c>
      <c r="H342" s="15">
        <v>0</v>
      </c>
      <c r="I342" s="16">
        <f t="shared" si="81"/>
        <v>186106.19999999998</v>
      </c>
      <c r="J342" s="15">
        <f>J340+($J$186-$J$156)/15</f>
        <v>1477033.333333333</v>
      </c>
      <c r="K342" s="16">
        <f>L342*M342/1000000</f>
        <v>0</v>
      </c>
      <c r="L342" s="15">
        <f t="shared" si="83"/>
        <v>1118304.4666666659</v>
      </c>
      <c r="M342">
        <v>0</v>
      </c>
      <c r="N342">
        <f t="shared" si="84"/>
        <v>126</v>
      </c>
    </row>
    <row r="343" spans="1:16" x14ac:dyDescent="0.15">
      <c r="A343">
        <f>A341+1</f>
        <v>14</v>
      </c>
      <c r="B343" s="10">
        <f>B341+1</f>
        <v>2029</v>
      </c>
      <c r="C343" s="20">
        <f>(D343*G343+D345*F345)/F343</f>
        <v>90.612564559365723</v>
      </c>
      <c r="D343" s="17">
        <f t="shared" si="82"/>
        <v>111.67361880986752</v>
      </c>
      <c r="E343" s="18">
        <f t="shared" si="78"/>
        <v>8.1416608000000004</v>
      </c>
      <c r="F343" s="19">
        <f t="shared" si="79"/>
        <v>8141660.7999999998</v>
      </c>
      <c r="G343" s="15">
        <f t="shared" si="85"/>
        <v>2440750.1333333342</v>
      </c>
      <c r="H343" s="15">
        <f>H341+(H$19-H$4)/15</f>
        <v>277516.80000000016</v>
      </c>
      <c r="I343" s="16">
        <f t="shared" si="81"/>
        <v>272567.40000000008</v>
      </c>
      <c r="J343" s="15">
        <f>J341+($J$185-$J$155)/15</f>
        <v>2163233.333333334</v>
      </c>
      <c r="K343" s="16">
        <f>L343*$M$315/1000000</f>
        <v>0</v>
      </c>
      <c r="L343" s="15">
        <f t="shared" si="83"/>
        <v>1123675.7333333325</v>
      </c>
      <c r="M343">
        <v>0</v>
      </c>
      <c r="N343">
        <f t="shared" si="84"/>
        <v>126</v>
      </c>
    </row>
    <row r="344" spans="1:16" x14ac:dyDescent="0.15">
      <c r="B344" s="10">
        <f>B343+0.5</f>
        <v>2029.5</v>
      </c>
      <c r="C344" s="20">
        <f>(D344*G344+D346*F346)/F344</f>
        <v>69.807583957931399</v>
      </c>
      <c r="D344" s="17">
        <f t="shared" si="82"/>
        <v>126</v>
      </c>
      <c r="E344" s="18">
        <f t="shared" si="78"/>
        <v>5.7009106666666662</v>
      </c>
      <c r="F344" s="19">
        <f t="shared" si="79"/>
        <v>5700910.666666666</v>
      </c>
      <c r="G344" s="15">
        <f t="shared" si="85"/>
        <v>1545166.6666666663</v>
      </c>
      <c r="H344" s="15">
        <v>0</v>
      </c>
      <c r="I344" s="16">
        <f t="shared" si="81"/>
        <v>194690.99999999994</v>
      </c>
      <c r="J344" s="15">
        <f>J342+($J$186-$J$156)/15</f>
        <v>1545166.6666666663</v>
      </c>
      <c r="K344" s="16">
        <f>L344*M344/1000000</f>
        <v>0</v>
      </c>
      <c r="L344" s="15">
        <f t="shared" si="83"/>
        <v>1123675.7333333325</v>
      </c>
      <c r="M344">
        <v>0</v>
      </c>
      <c r="N344">
        <f t="shared" si="84"/>
        <v>126</v>
      </c>
    </row>
    <row r="345" spans="1:16" x14ac:dyDescent="0.15">
      <c r="A345">
        <f>A343+1</f>
        <v>15</v>
      </c>
      <c r="B345" s="10">
        <f>B343+1</f>
        <v>2030</v>
      </c>
      <c r="C345" s="20">
        <f>(D345*G345+D346*F346)/F345</f>
        <v>117.39460370994941</v>
      </c>
      <c r="D345" s="17">
        <f t="shared" si="82"/>
        <v>111.93407603077983</v>
      </c>
      <c r="E345" s="18">
        <f t="shared" si="78"/>
        <v>4.1557440000000003</v>
      </c>
      <c r="F345" s="19">
        <f>F346+H345+J345</f>
        <v>4155744</v>
      </c>
      <c r="G345" s="15">
        <f t="shared" si="85"/>
        <v>2542444</v>
      </c>
      <c r="H345" s="15">
        <f>H343+(H$19-H$4)/15</f>
        <v>283824.00000000017</v>
      </c>
      <c r="I345" s="16">
        <f t="shared" si="81"/>
        <v>284586.12</v>
      </c>
      <c r="J345" s="15">
        <f>O330*O339</f>
        <v>2258620</v>
      </c>
      <c r="K345" s="16">
        <f>L345*$M$315/1000000</f>
        <v>0</v>
      </c>
      <c r="L345" s="15">
        <f t="shared" si="83"/>
        <v>1129046.9999999991</v>
      </c>
      <c r="M345">
        <v>0</v>
      </c>
      <c r="N345">
        <f t="shared" si="84"/>
        <v>126</v>
      </c>
    </row>
    <row r="346" spans="1:16" x14ac:dyDescent="0.15">
      <c r="B346" s="10">
        <f>B345+0.5</f>
        <v>2030.5</v>
      </c>
      <c r="C346" s="20">
        <f>(D346*G346)/F346</f>
        <v>126</v>
      </c>
      <c r="D346" s="17">
        <f>(K346*1000/G346*1000)+(I346/G346*1000)</f>
        <v>126</v>
      </c>
      <c r="E346" s="18">
        <f t="shared" si="78"/>
        <v>1.6133</v>
      </c>
      <c r="F346" s="19">
        <f>F347+H346+J346</f>
        <v>1613300</v>
      </c>
      <c r="G346" s="15">
        <f t="shared" si="85"/>
        <v>1613300</v>
      </c>
      <c r="H346" s="15">
        <v>0</v>
      </c>
      <c r="I346" s="16">
        <f t="shared" si="81"/>
        <v>203275.8</v>
      </c>
      <c r="J346" s="15">
        <f>O330*O340</f>
        <v>1613300</v>
      </c>
      <c r="K346" s="16">
        <f>L346*M346/1000000</f>
        <v>0</v>
      </c>
      <c r="L346" s="15">
        <f t="shared" si="83"/>
        <v>1129046.9999999991</v>
      </c>
      <c r="M346">
        <v>0</v>
      </c>
      <c r="N346">
        <f t="shared" si="84"/>
        <v>126</v>
      </c>
    </row>
    <row r="347" spans="1:16" x14ac:dyDescent="0.15">
      <c r="C347" s="17"/>
      <c r="D347" s="7"/>
      <c r="E347" s="7"/>
      <c r="F347" s="15"/>
      <c r="G347" s="15"/>
      <c r="H347" s="15"/>
      <c r="I347" s="16"/>
      <c r="L347" s="15"/>
    </row>
    <row r="353" spans="1:16" ht="56" x14ac:dyDescent="0.15">
      <c r="A353" s="119" t="s">
        <v>1243</v>
      </c>
      <c r="B353" s="12"/>
      <c r="C353" s="12" t="s">
        <v>1172</v>
      </c>
      <c r="D353" s="13" t="s">
        <v>1166</v>
      </c>
      <c r="E353" s="13" t="s">
        <v>751</v>
      </c>
      <c r="F353" s="13" t="s">
        <v>751</v>
      </c>
      <c r="G353" s="13" t="s">
        <v>1088</v>
      </c>
      <c r="H353" s="13" t="s">
        <v>883</v>
      </c>
      <c r="I353" s="12" t="s">
        <v>1102</v>
      </c>
      <c r="J353" s="13" t="s">
        <v>897</v>
      </c>
      <c r="K353" s="13" t="s">
        <v>745</v>
      </c>
      <c r="L353" s="13" t="s">
        <v>898</v>
      </c>
      <c r="M353" s="12" t="s">
        <v>750</v>
      </c>
      <c r="N353" s="13" t="s">
        <v>1101</v>
      </c>
      <c r="O353" s="12"/>
      <c r="P353" s="12"/>
    </row>
    <row r="354" spans="1:16" x14ac:dyDescent="0.15">
      <c r="A354" s="1" t="s">
        <v>746</v>
      </c>
      <c r="B354" s="1" t="s">
        <v>747</v>
      </c>
      <c r="C354" s="1"/>
      <c r="D354" s="14" t="s">
        <v>1188</v>
      </c>
      <c r="E354" s="14" t="s">
        <v>1104</v>
      </c>
      <c r="F354" s="14" t="s">
        <v>718</v>
      </c>
      <c r="G354" s="14" t="s">
        <v>749</v>
      </c>
      <c r="H354" s="14" t="s">
        <v>749</v>
      </c>
      <c r="I354" s="14" t="s">
        <v>884</v>
      </c>
      <c r="J354" s="14" t="s">
        <v>749</v>
      </c>
      <c r="K354" s="14" t="s">
        <v>884</v>
      </c>
      <c r="L354" s="14" t="s">
        <v>1144</v>
      </c>
      <c r="M354" s="1" t="s">
        <v>885</v>
      </c>
      <c r="N354" s="14" t="s">
        <v>1188</v>
      </c>
    </row>
    <row r="355" spans="1:16" x14ac:dyDescent="0.15">
      <c r="A355">
        <v>0</v>
      </c>
      <c r="B355" s="10">
        <v>2015</v>
      </c>
      <c r="C355" s="20">
        <f t="shared" ref="C355:C382" si="86">(D355*G355+D357*F357)/F355</f>
        <v>74.179612044543632</v>
      </c>
      <c r="D355" s="17">
        <f>(K355*1000/G355*1000)+(I355/G355*1000)</f>
        <v>76.129934436932416</v>
      </c>
      <c r="E355" s="18">
        <f t="shared" ref="E355:E386" si="87">F355/1000000</f>
        <v>46.112639999999999</v>
      </c>
      <c r="F355" s="19">
        <f t="shared" ref="F355:F384" si="88">F356+H355+J355</f>
        <v>46112640</v>
      </c>
      <c r="G355" s="15">
        <f t="shared" ref="G355:G360" si="89">H355+J355</f>
        <v>1017036</v>
      </c>
      <c r="H355" s="15">
        <f>6*60*60*24*365/1000</f>
        <v>189216</v>
      </c>
      <c r="I355" s="16">
        <f>J355*1000*$N355/1000000</f>
        <v>56457.324000000001</v>
      </c>
      <c r="J355" s="15">
        <f>45*60*60*24*365/1000*O$179</f>
        <v>827820</v>
      </c>
      <c r="K355" s="16">
        <f>L355*$M$355/1000000</f>
        <v>20.969560000000001</v>
      </c>
      <c r="L355" s="15">
        <v>1048478</v>
      </c>
      <c r="M355">
        <v>20</v>
      </c>
      <c r="N355" s="16">
        <v>68.2</v>
      </c>
    </row>
    <row r="356" spans="1:16" x14ac:dyDescent="0.15">
      <c r="B356" s="10">
        <v>2015.5</v>
      </c>
      <c r="C356" s="20">
        <f t="shared" si="86"/>
        <v>66.508097239219452</v>
      </c>
      <c r="D356" s="17">
        <f>(K356*1000/G356*1000)+(I356/G356*1000)</f>
        <v>68.200000000000017</v>
      </c>
      <c r="E356" s="18">
        <f t="shared" si="87"/>
        <v>45.095604000000002</v>
      </c>
      <c r="F356" s="19">
        <f t="shared" si="88"/>
        <v>45095604</v>
      </c>
      <c r="G356" s="15">
        <f t="shared" si="89"/>
        <v>591300</v>
      </c>
      <c r="H356" s="15">
        <v>0</v>
      </c>
      <c r="I356" s="16">
        <f t="shared" ref="I356:I386" si="90">J356*1000*$N356/1000000</f>
        <v>40326.660000000003</v>
      </c>
      <c r="J356" s="15">
        <f>45*60*60*24*365/1000*O$180</f>
        <v>591300</v>
      </c>
      <c r="K356" s="16">
        <f>L356*M356/1000000</f>
        <v>0</v>
      </c>
      <c r="L356" s="15">
        <v>1048478</v>
      </c>
      <c r="M356">
        <v>0</v>
      </c>
      <c r="N356" s="16">
        <f>N355</f>
        <v>68.2</v>
      </c>
    </row>
    <row r="357" spans="1:16" x14ac:dyDescent="0.15">
      <c r="A357">
        <f>A355+1</f>
        <v>1</v>
      </c>
      <c r="B357" s="10">
        <f>B355+1</f>
        <v>2016</v>
      </c>
      <c r="C357" s="20">
        <f t="shared" si="86"/>
        <v>73.200031420638624</v>
      </c>
      <c r="D357" s="17">
        <f t="shared" ref="D357:D385" si="91">(K357*1000/G357*1000)+(I357/G357*1000)</f>
        <v>75.120618930468041</v>
      </c>
      <c r="E357" s="18">
        <f t="shared" si="87"/>
        <v>44.504303999999998</v>
      </c>
      <c r="F357" s="19">
        <f t="shared" si="88"/>
        <v>44504304</v>
      </c>
      <c r="G357" s="15">
        <f t="shared" si="89"/>
        <v>1118729.8666666667</v>
      </c>
      <c r="H357" s="15">
        <f>H355+(H$19-H$4)/15</f>
        <v>195523.20000000001</v>
      </c>
      <c r="I357" s="16">
        <f t="shared" si="90"/>
        <v>62962.694666666663</v>
      </c>
      <c r="J357" s="15">
        <f>J355+($J$185-$J$155)/15</f>
        <v>923206.66666666663</v>
      </c>
      <c r="K357" s="16">
        <f>L357*$M$355/1000000</f>
        <v>21.076985333333333</v>
      </c>
      <c r="L357" s="15">
        <f t="shared" ref="L357:L386" si="92">L355+(L$19-L$4)/15</f>
        <v>1053849.2666666666</v>
      </c>
      <c r="M357">
        <v>20</v>
      </c>
      <c r="N357" s="16">
        <f>N355</f>
        <v>68.2</v>
      </c>
    </row>
    <row r="358" spans="1:16" x14ac:dyDescent="0.15">
      <c r="B358" s="10">
        <v>2016.5</v>
      </c>
      <c r="C358" s="20">
        <f t="shared" si="86"/>
        <v>66.281553597572767</v>
      </c>
      <c r="D358" s="17">
        <f t="shared" si="91"/>
        <v>68.2</v>
      </c>
      <c r="E358" s="18">
        <f t="shared" si="87"/>
        <v>43.385574133333336</v>
      </c>
      <c r="F358" s="19">
        <f t="shared" si="88"/>
        <v>43385574.133333333</v>
      </c>
      <c r="G358" s="15">
        <f t="shared" si="89"/>
        <v>659433.33333333337</v>
      </c>
      <c r="H358" s="15">
        <v>0</v>
      </c>
      <c r="I358" s="16">
        <f t="shared" si="90"/>
        <v>44973.353333333333</v>
      </c>
      <c r="J358" s="15">
        <f>J356+($J$186-$J$156)/15</f>
        <v>659433.33333333337</v>
      </c>
      <c r="K358" s="16">
        <f>L358*M358/1000000</f>
        <v>0</v>
      </c>
      <c r="L358" s="15">
        <f t="shared" si="92"/>
        <v>1053849.2666666666</v>
      </c>
      <c r="M358">
        <v>0</v>
      </c>
      <c r="N358">
        <f t="shared" ref="N358:N386" si="93">N356</f>
        <v>68.2</v>
      </c>
    </row>
    <row r="359" spans="1:16" x14ac:dyDescent="0.15">
      <c r="A359">
        <f>A357+1</f>
        <v>2</v>
      </c>
      <c r="B359" s="10">
        <f>B357+1</f>
        <v>2017</v>
      </c>
      <c r="C359" s="20">
        <f t="shared" si="86"/>
        <v>72.335363936707139</v>
      </c>
      <c r="D359" s="17">
        <f t="shared" si="91"/>
        <v>74.279509258969938</v>
      </c>
      <c r="E359" s="18">
        <f t="shared" si="87"/>
        <v>42.726140799999996</v>
      </c>
      <c r="F359" s="19">
        <f t="shared" si="88"/>
        <v>42726140.799999997</v>
      </c>
      <c r="G359" s="15">
        <f t="shared" si="89"/>
        <v>1220423.7333333334</v>
      </c>
      <c r="H359" s="15">
        <f>H357+(H$19-H$4)/15</f>
        <v>201830.40000000002</v>
      </c>
      <c r="I359" s="16">
        <f t="shared" si="90"/>
        <v>69468.065333333332</v>
      </c>
      <c r="J359" s="15">
        <f>J357+($J$185-$J$155)/15</f>
        <v>1018593.3333333333</v>
      </c>
      <c r="K359" s="16">
        <f>L359*$M$355/1000000</f>
        <v>21.184410666666665</v>
      </c>
      <c r="L359" s="15">
        <f t="shared" si="92"/>
        <v>1059220.5333333332</v>
      </c>
      <c r="M359">
        <v>20</v>
      </c>
      <c r="N359">
        <f t="shared" si="93"/>
        <v>68.2</v>
      </c>
    </row>
    <row r="360" spans="1:16" x14ac:dyDescent="0.15">
      <c r="B360" s="10">
        <f>B359+0.5</f>
        <v>2017.5</v>
      </c>
      <c r="C360" s="20">
        <f t="shared" si="86"/>
        <v>66.027566256109466</v>
      </c>
      <c r="D360" s="17">
        <f t="shared" si="91"/>
        <v>68.2</v>
      </c>
      <c r="E360" s="18">
        <f t="shared" si="87"/>
        <v>41.505717066666662</v>
      </c>
      <c r="F360" s="19">
        <f t="shared" si="88"/>
        <v>41505717.066666663</v>
      </c>
      <c r="G360" s="15">
        <f t="shared" si="89"/>
        <v>727566.66666666674</v>
      </c>
      <c r="H360" s="15">
        <v>0</v>
      </c>
      <c r="I360" s="16">
        <f t="shared" si="90"/>
        <v>49620.046666666669</v>
      </c>
      <c r="J360" s="15">
        <f>J358+($J$186-$J$156)/15</f>
        <v>727566.66666666674</v>
      </c>
      <c r="K360" s="16">
        <f>L360*M360/1000000</f>
        <v>0</v>
      </c>
      <c r="L360" s="15">
        <f t="shared" si="92"/>
        <v>1059220.5333333332</v>
      </c>
      <c r="M360">
        <v>0</v>
      </c>
      <c r="N360">
        <f t="shared" si="93"/>
        <v>68.2</v>
      </c>
    </row>
    <row r="361" spans="1:16" x14ac:dyDescent="0.15">
      <c r="A361">
        <f>A359+1</f>
        <v>3</v>
      </c>
      <c r="B361" s="10">
        <f>B359+1</f>
        <v>2018</v>
      </c>
      <c r="C361" s="20">
        <f t="shared" si="86"/>
        <v>71.55390288323909</v>
      </c>
      <c r="D361" s="17">
        <f t="shared" si="91"/>
        <v>73.567791548951462</v>
      </c>
      <c r="E361" s="18">
        <f t="shared" si="87"/>
        <v>40.778150400000001</v>
      </c>
      <c r="F361" s="19">
        <f t="shared" si="88"/>
        <v>40778150.399999999</v>
      </c>
      <c r="G361" s="15">
        <f t="shared" ref="G361:G386" si="94">H361+J361</f>
        <v>1322117.6000000001</v>
      </c>
      <c r="H361" s="15">
        <f>H359+(H$19-H$4)/15</f>
        <v>208137.60000000003</v>
      </c>
      <c r="I361" s="16">
        <f t="shared" si="90"/>
        <v>75973.436000000002</v>
      </c>
      <c r="J361" s="15">
        <f>J359+($J$185-$J$155)/15</f>
        <v>1113980</v>
      </c>
      <c r="K361" s="16">
        <f>L361*$M$355/1000000</f>
        <v>21.291835999999996</v>
      </c>
      <c r="L361" s="15">
        <f t="shared" si="92"/>
        <v>1064591.7999999998</v>
      </c>
      <c r="M361">
        <v>20</v>
      </c>
      <c r="N361">
        <f t="shared" si="93"/>
        <v>68.2</v>
      </c>
    </row>
    <row r="362" spans="1:16" x14ac:dyDescent="0.15">
      <c r="B362" s="10">
        <f>B361+0.5</f>
        <v>2018.5</v>
      </c>
      <c r="C362" s="20">
        <f t="shared" si="86"/>
        <v>65.73893295560454</v>
      </c>
      <c r="D362" s="17">
        <f t="shared" si="91"/>
        <v>68.2</v>
      </c>
      <c r="E362" s="18">
        <f t="shared" si="87"/>
        <v>39.456032799999996</v>
      </c>
      <c r="F362" s="19">
        <f t="shared" si="88"/>
        <v>39456032.799999997</v>
      </c>
      <c r="G362" s="15">
        <f t="shared" si="94"/>
        <v>795700.00000000012</v>
      </c>
      <c r="H362" s="15">
        <v>0</v>
      </c>
      <c r="I362" s="16">
        <f t="shared" si="90"/>
        <v>54266.740000000005</v>
      </c>
      <c r="J362" s="15">
        <f>J360+($J$186-$J$156)/15</f>
        <v>795700.00000000012</v>
      </c>
      <c r="K362" s="16">
        <f>L362*M362/1000000</f>
        <v>0</v>
      </c>
      <c r="L362" s="15">
        <f t="shared" si="92"/>
        <v>1064591.7999999998</v>
      </c>
      <c r="M362">
        <v>0</v>
      </c>
      <c r="N362">
        <f t="shared" si="93"/>
        <v>68.2</v>
      </c>
    </row>
    <row r="363" spans="1:16" x14ac:dyDescent="0.15">
      <c r="A363">
        <f>A361+1</f>
        <v>4</v>
      </c>
      <c r="B363" s="10">
        <f>B361+1</f>
        <v>2019</v>
      </c>
      <c r="C363" s="20">
        <f t="shared" si="86"/>
        <v>70.830130004528243</v>
      </c>
      <c r="D363" s="17">
        <f t="shared" si="91"/>
        <v>72.957740846962324</v>
      </c>
      <c r="E363" s="18">
        <f t="shared" si="87"/>
        <v>38.660332799999999</v>
      </c>
      <c r="F363" s="19">
        <f t="shared" si="88"/>
        <v>38660332.799999997</v>
      </c>
      <c r="G363" s="15">
        <f t="shared" si="94"/>
        <v>1423811.4666666668</v>
      </c>
      <c r="H363" s="15">
        <f>H361+(H$19-H$4)/15</f>
        <v>214444.80000000005</v>
      </c>
      <c r="I363" s="16">
        <f t="shared" si="90"/>
        <v>82478.806666666671</v>
      </c>
      <c r="J363" s="15">
        <f>J361+($J$185-$J$155)/15</f>
        <v>1209366.6666666667</v>
      </c>
      <c r="K363" s="16">
        <f>L363*$M$355/1000000</f>
        <v>21.399261333333328</v>
      </c>
      <c r="L363" s="15">
        <f t="shared" si="92"/>
        <v>1069963.0666666664</v>
      </c>
      <c r="M363">
        <v>20</v>
      </c>
      <c r="N363">
        <f t="shared" si="93"/>
        <v>68.2</v>
      </c>
    </row>
    <row r="364" spans="1:16" x14ac:dyDescent="0.15">
      <c r="B364" s="10">
        <f>B363+0.5</f>
        <v>2019.5</v>
      </c>
      <c r="C364" s="20">
        <f t="shared" si="86"/>
        <v>65.40598326567634</v>
      </c>
      <c r="D364" s="17">
        <f t="shared" si="91"/>
        <v>68.2</v>
      </c>
      <c r="E364" s="18">
        <f t="shared" si="87"/>
        <v>37.236521333333336</v>
      </c>
      <c r="F364" s="19">
        <f t="shared" si="88"/>
        <v>37236521.333333336</v>
      </c>
      <c r="G364" s="15">
        <f t="shared" si="94"/>
        <v>863833.33333333349</v>
      </c>
      <c r="H364" s="15">
        <v>0</v>
      </c>
      <c r="I364" s="16">
        <f t="shared" si="90"/>
        <v>58913.433333333342</v>
      </c>
      <c r="J364" s="15">
        <f>J362+($J$186-$J$156)/15</f>
        <v>863833.33333333349</v>
      </c>
      <c r="K364" s="16">
        <f>L364*M364/1000000</f>
        <v>0</v>
      </c>
      <c r="L364" s="15">
        <f t="shared" si="92"/>
        <v>1069963.0666666664</v>
      </c>
      <c r="M364">
        <v>0</v>
      </c>
      <c r="N364">
        <f t="shared" si="93"/>
        <v>68.2</v>
      </c>
    </row>
    <row r="365" spans="1:16" x14ac:dyDescent="0.15">
      <c r="A365">
        <f>A363+1</f>
        <v>5</v>
      </c>
      <c r="B365" s="10">
        <f>B363+1</f>
        <v>2020</v>
      </c>
      <c r="C365" s="20">
        <f t="shared" si="86"/>
        <v>70.141824201612422</v>
      </c>
      <c r="D365" s="17">
        <f t="shared" si="91"/>
        <v>72.429025048748869</v>
      </c>
      <c r="E365" s="18">
        <f t="shared" si="87"/>
        <v>36.372687999999997</v>
      </c>
      <c r="F365" s="19">
        <f t="shared" si="88"/>
        <v>36372688</v>
      </c>
      <c r="G365" s="15">
        <f t="shared" si="94"/>
        <v>1525505.3333333335</v>
      </c>
      <c r="H365" s="15">
        <f>H363+(H$19-H$4)/15</f>
        <v>220752.00000000006</v>
      </c>
      <c r="I365" s="16">
        <f t="shared" si="90"/>
        <v>88984.17733333334</v>
      </c>
      <c r="J365" s="15">
        <f>J363+($J$185-$J$155)/15</f>
        <v>1304753.3333333335</v>
      </c>
      <c r="K365" s="16">
        <f>L365*$M$355/1000000</f>
        <v>21.50668666666666</v>
      </c>
      <c r="L365" s="15">
        <f t="shared" si="92"/>
        <v>1075334.333333333</v>
      </c>
      <c r="M365">
        <v>20</v>
      </c>
      <c r="N365">
        <f t="shared" si="93"/>
        <v>68.2</v>
      </c>
    </row>
    <row r="366" spans="1:16" x14ac:dyDescent="0.15">
      <c r="B366" s="10">
        <f>B365+0.5</f>
        <v>2020.5</v>
      </c>
      <c r="C366" s="20">
        <f t="shared" si="86"/>
        <v>65.015381418304642</v>
      </c>
      <c r="D366" s="17">
        <f t="shared" si="91"/>
        <v>68.2</v>
      </c>
      <c r="E366" s="18">
        <f t="shared" si="87"/>
        <v>34.847182666666662</v>
      </c>
      <c r="F366" s="19">
        <f t="shared" si="88"/>
        <v>34847182.666666664</v>
      </c>
      <c r="G366" s="15">
        <f t="shared" si="94"/>
        <v>931966.66666666686</v>
      </c>
      <c r="H366" s="15">
        <v>0</v>
      </c>
      <c r="I366" s="16">
        <f t="shared" si="90"/>
        <v>63560.126666666678</v>
      </c>
      <c r="J366" s="15">
        <f>J364+($J$186-$J$156)/15</f>
        <v>931966.66666666686</v>
      </c>
      <c r="K366" s="16">
        <f>L366*M366/1000000</f>
        <v>0</v>
      </c>
      <c r="L366" s="15">
        <f t="shared" si="92"/>
        <v>1075334.333333333</v>
      </c>
      <c r="M366">
        <v>0</v>
      </c>
      <c r="N366">
        <f t="shared" si="93"/>
        <v>68.2</v>
      </c>
    </row>
    <row r="367" spans="1:16" x14ac:dyDescent="0.15">
      <c r="A367">
        <f>A365+1</f>
        <v>6</v>
      </c>
      <c r="B367" s="10">
        <f>B365+1</f>
        <v>2021</v>
      </c>
      <c r="C367" s="20">
        <f t="shared" si="86"/>
        <v>69.467648646399297</v>
      </c>
      <c r="D367" s="17">
        <f t="shared" si="91"/>
        <v>71.96639477207215</v>
      </c>
      <c r="E367" s="18">
        <f t="shared" si="87"/>
        <v>33.915216000000001</v>
      </c>
      <c r="F367" s="19">
        <f t="shared" si="88"/>
        <v>33915216</v>
      </c>
      <c r="G367" s="15">
        <f t="shared" si="94"/>
        <v>1627199.2000000002</v>
      </c>
      <c r="H367" s="15">
        <f>H365+(H$19-H$4)/15</f>
        <v>227059.20000000007</v>
      </c>
      <c r="I367" s="16">
        <f t="shared" si="90"/>
        <v>95489.54800000001</v>
      </c>
      <c r="J367" s="15">
        <f>J365+($J$185-$J$155)/15</f>
        <v>1400140.0000000002</v>
      </c>
      <c r="K367" s="16">
        <f>L367*$M$355/1000000</f>
        <v>21.614111999999992</v>
      </c>
      <c r="L367" s="15">
        <f t="shared" si="92"/>
        <v>1080705.5999999996</v>
      </c>
      <c r="M367">
        <v>20</v>
      </c>
      <c r="N367">
        <f t="shared" si="93"/>
        <v>68.2</v>
      </c>
    </row>
    <row r="368" spans="1:16" x14ac:dyDescent="0.15">
      <c r="B368" s="10">
        <f>B367+0.5</f>
        <v>2021.5</v>
      </c>
      <c r="C368" s="20">
        <f t="shared" si="86"/>
        <v>64.548165083131835</v>
      </c>
      <c r="D368" s="17">
        <f t="shared" si="91"/>
        <v>68.200000000000017</v>
      </c>
      <c r="E368" s="18">
        <f t="shared" si="87"/>
        <v>32.288016800000001</v>
      </c>
      <c r="F368" s="19">
        <f t="shared" si="88"/>
        <v>32288016.800000001</v>
      </c>
      <c r="G368" s="15">
        <f t="shared" si="94"/>
        <v>1000100.0000000002</v>
      </c>
      <c r="H368" s="15">
        <v>0</v>
      </c>
      <c r="I368" s="16">
        <f t="shared" si="90"/>
        <v>68206.820000000022</v>
      </c>
      <c r="J368" s="15">
        <f>J366+($J$186-$J$156)/15</f>
        <v>1000100.0000000002</v>
      </c>
      <c r="K368" s="16">
        <f>L368*M368/1000000</f>
        <v>0</v>
      </c>
      <c r="L368" s="15">
        <f t="shared" si="92"/>
        <v>1080705.5999999996</v>
      </c>
      <c r="M368">
        <v>0</v>
      </c>
      <c r="N368">
        <f t="shared" si="93"/>
        <v>68.2</v>
      </c>
    </row>
    <row r="369" spans="1:16" x14ac:dyDescent="0.15">
      <c r="A369">
        <f>A367+1</f>
        <v>7</v>
      </c>
      <c r="B369" s="10">
        <f>B367+1</f>
        <v>2022</v>
      </c>
      <c r="C369" s="20">
        <f t="shared" si="86"/>
        <v>68.784632366783356</v>
      </c>
      <c r="D369" s="17">
        <f t="shared" si="91"/>
        <v>71.558188522629266</v>
      </c>
      <c r="E369" s="18">
        <f t="shared" si="87"/>
        <v>31.287916800000001</v>
      </c>
      <c r="F369" s="19">
        <f t="shared" si="88"/>
        <v>31287916.800000001</v>
      </c>
      <c r="G369" s="15">
        <f t="shared" si="94"/>
        <v>1728893.0666666671</v>
      </c>
      <c r="H369" s="15">
        <f>H367+(H$19-H$4)/15</f>
        <v>233366.40000000008</v>
      </c>
      <c r="I369" s="16">
        <f t="shared" si="90"/>
        <v>101994.91866666669</v>
      </c>
      <c r="J369" s="15">
        <f>J367+($J$185-$J$155)/15</f>
        <v>1495526.666666667</v>
      </c>
      <c r="K369" s="16">
        <f>L369*$M$355/1000000</f>
        <v>21.721537333333323</v>
      </c>
      <c r="L369" s="15">
        <f t="shared" si="92"/>
        <v>1086076.8666666662</v>
      </c>
      <c r="M369">
        <v>20</v>
      </c>
      <c r="N369">
        <f t="shared" si="93"/>
        <v>68.2</v>
      </c>
    </row>
    <row r="370" spans="1:16" x14ac:dyDescent="0.15">
      <c r="B370" s="10">
        <f>B369+0.5</f>
        <v>2022.5</v>
      </c>
      <c r="C370" s="20">
        <f t="shared" si="86"/>
        <v>63.976381859575902</v>
      </c>
      <c r="D370" s="17">
        <f t="shared" si="91"/>
        <v>68.200000000000017</v>
      </c>
      <c r="E370" s="18">
        <f t="shared" si="87"/>
        <v>29.559023733333333</v>
      </c>
      <c r="F370" s="19">
        <f t="shared" si="88"/>
        <v>29559023.733333334</v>
      </c>
      <c r="G370" s="15">
        <f t="shared" si="94"/>
        <v>1068233.3333333335</v>
      </c>
      <c r="H370" s="15">
        <v>0</v>
      </c>
      <c r="I370" s="16">
        <f t="shared" si="90"/>
        <v>72853.513333333351</v>
      </c>
      <c r="J370" s="15">
        <f>J368+($J$186-$J$156)/15</f>
        <v>1068233.3333333335</v>
      </c>
      <c r="K370" s="16">
        <f>L370*M370/1000000</f>
        <v>0</v>
      </c>
      <c r="L370" s="15">
        <f t="shared" si="92"/>
        <v>1086076.8666666662</v>
      </c>
      <c r="M370">
        <v>0</v>
      </c>
      <c r="N370">
        <f t="shared" si="93"/>
        <v>68.2</v>
      </c>
      <c r="O370" s="15">
        <v>3871920</v>
      </c>
      <c r="P370" t="s">
        <v>911</v>
      </c>
    </row>
    <row r="371" spans="1:16" x14ac:dyDescent="0.15">
      <c r="A371">
        <f>A369+1</f>
        <v>8</v>
      </c>
      <c r="B371" s="10">
        <f>B369+1</f>
        <v>2023</v>
      </c>
      <c r="C371" s="20">
        <f t="shared" si="86"/>
        <v>68.064831213248553</v>
      </c>
      <c r="D371" s="17">
        <f t="shared" si="91"/>
        <v>71.19533611150726</v>
      </c>
      <c r="E371" s="18">
        <f t="shared" si="87"/>
        <v>28.490790400000002</v>
      </c>
      <c r="F371" s="19">
        <f t="shared" si="88"/>
        <v>28490790.400000002</v>
      </c>
      <c r="G371" s="15">
        <f t="shared" si="94"/>
        <v>1830586.9333333338</v>
      </c>
      <c r="H371" s="15">
        <f>H369+(H$19-H$4)/15</f>
        <v>239673.60000000009</v>
      </c>
      <c r="I371" s="16">
        <f t="shared" si="90"/>
        <v>108500.28933333336</v>
      </c>
      <c r="J371" s="15">
        <f>J369+($J$185-$J$155)/15</f>
        <v>1590913.3333333337</v>
      </c>
      <c r="K371" s="16">
        <f>L371*$M$355/1000000</f>
        <v>21.828962666666655</v>
      </c>
      <c r="L371" s="15">
        <f t="shared" si="92"/>
        <v>1091448.1333333328</v>
      </c>
      <c r="M371">
        <v>20</v>
      </c>
      <c r="N371">
        <f t="shared" si="93"/>
        <v>68.2</v>
      </c>
      <c r="O371" s="16">
        <v>118000000</v>
      </c>
      <c r="P371" t="s">
        <v>755</v>
      </c>
    </row>
    <row r="372" spans="1:16" x14ac:dyDescent="0.15">
      <c r="B372" s="10">
        <f>B371+0.5</f>
        <v>2023.5</v>
      </c>
      <c r="C372" s="20">
        <f t="shared" si="86"/>
        <v>63.256993817591571</v>
      </c>
      <c r="D372" s="17">
        <f t="shared" si="91"/>
        <v>68.2</v>
      </c>
      <c r="E372" s="18">
        <f t="shared" si="87"/>
        <v>26.660203466666669</v>
      </c>
      <c r="F372" s="19">
        <f t="shared" si="88"/>
        <v>26660203.466666669</v>
      </c>
      <c r="G372" s="15">
        <f t="shared" si="94"/>
        <v>1136366.6666666667</v>
      </c>
      <c r="H372" s="15">
        <v>0</v>
      </c>
      <c r="I372" s="16">
        <f t="shared" si="90"/>
        <v>77500.206666666665</v>
      </c>
      <c r="J372" s="15">
        <f>J370+($J$186-$J$156)/15</f>
        <v>1136366.6666666667</v>
      </c>
      <c r="K372" s="16">
        <f>L372*M372/1000000</f>
        <v>0</v>
      </c>
      <c r="L372" s="15">
        <f t="shared" si="92"/>
        <v>1091448.1333333328</v>
      </c>
      <c r="M372">
        <v>0</v>
      </c>
      <c r="N372">
        <f t="shared" si="93"/>
        <v>68.2</v>
      </c>
      <c r="O372" s="15">
        <v>2932848</v>
      </c>
      <c r="P372" t="s">
        <v>966</v>
      </c>
    </row>
    <row r="373" spans="1:16" x14ac:dyDescent="0.15">
      <c r="A373">
        <f>A371+1</f>
        <v>9</v>
      </c>
      <c r="B373" s="10">
        <f>B371+1</f>
        <v>2024</v>
      </c>
      <c r="C373" s="20">
        <f t="shared" si="86"/>
        <v>67.26992050539549</v>
      </c>
      <c r="D373" s="17">
        <f t="shared" si="91"/>
        <v>70.870676767062008</v>
      </c>
      <c r="E373" s="18">
        <f t="shared" si="87"/>
        <v>25.523836800000002</v>
      </c>
      <c r="F373" s="19">
        <f t="shared" si="88"/>
        <v>25523836.800000001</v>
      </c>
      <c r="G373" s="15">
        <f t="shared" si="94"/>
        <v>1932280.8000000005</v>
      </c>
      <c r="H373" s="15">
        <f>H371+(H$19-H$4)/15</f>
        <v>245980.8000000001</v>
      </c>
      <c r="I373" s="16">
        <f t="shared" si="90"/>
        <v>115005.66000000003</v>
      </c>
      <c r="J373" s="15">
        <f>J371+($J$185-$J$155)/15</f>
        <v>1686300.0000000005</v>
      </c>
      <c r="K373" s="16">
        <f>L373*$M$355/1000000</f>
        <v>21.93638799999999</v>
      </c>
      <c r="L373" s="15">
        <f t="shared" si="92"/>
        <v>1096819.3999999994</v>
      </c>
      <c r="M373">
        <v>20</v>
      </c>
      <c r="N373">
        <f t="shared" si="93"/>
        <v>68.2</v>
      </c>
      <c r="O373" s="15">
        <v>283824</v>
      </c>
      <c r="P373" t="s">
        <v>965</v>
      </c>
    </row>
    <row r="374" spans="1:16" x14ac:dyDescent="0.15">
      <c r="B374" s="10">
        <f>B373+0.5</f>
        <v>2024.5</v>
      </c>
      <c r="C374" s="20">
        <f t="shared" si="86"/>
        <v>62.320054130102037</v>
      </c>
      <c r="D374" s="17">
        <f t="shared" si="91"/>
        <v>68.2</v>
      </c>
      <c r="E374" s="18">
        <f t="shared" si="87"/>
        <v>23.591556000000001</v>
      </c>
      <c r="F374" s="19">
        <f t="shared" si="88"/>
        <v>23591556</v>
      </c>
      <c r="G374" s="15">
        <f t="shared" si="94"/>
        <v>1204500</v>
      </c>
      <c r="H374" s="15">
        <v>0</v>
      </c>
      <c r="I374" s="16">
        <f t="shared" si="90"/>
        <v>82146.899999999994</v>
      </c>
      <c r="J374" s="15">
        <f>J372+($J$186-$J$156)/15</f>
        <v>1204500</v>
      </c>
      <c r="K374" s="16">
        <f>L374*M374/1000000</f>
        <v>0</v>
      </c>
      <c r="L374" s="15">
        <f t="shared" si="92"/>
        <v>1096819.3999999994</v>
      </c>
      <c r="M374">
        <v>0</v>
      </c>
      <c r="N374">
        <f t="shared" si="93"/>
        <v>68.2</v>
      </c>
      <c r="O374" s="15">
        <f>6*60*60*24*365/1000</f>
        <v>189216</v>
      </c>
      <c r="P374" t="s">
        <v>1105</v>
      </c>
    </row>
    <row r="375" spans="1:16" x14ac:dyDescent="0.15">
      <c r="A375">
        <f>A373+1</f>
        <v>10</v>
      </c>
      <c r="B375" s="10">
        <f>B373+1</f>
        <v>2025</v>
      </c>
      <c r="C375" s="20">
        <f t="shared" si="86"/>
        <v>66.340997825675771</v>
      </c>
      <c r="D375" s="17">
        <f t="shared" si="91"/>
        <v>70.578481803444276</v>
      </c>
      <c r="E375" s="18">
        <f t="shared" si="87"/>
        <v>22.387056000000001</v>
      </c>
      <c r="F375" s="19">
        <f t="shared" si="88"/>
        <v>22387056</v>
      </c>
      <c r="G375" s="15">
        <f t="shared" si="94"/>
        <v>2033974.6666666674</v>
      </c>
      <c r="H375" s="15">
        <f>H373+(H$19-H$4)/15</f>
        <v>252288.00000000012</v>
      </c>
      <c r="I375" s="16">
        <f t="shared" si="90"/>
        <v>121511.0306666667</v>
      </c>
      <c r="J375" s="15">
        <f>J373+($J$185-$J$155)/15</f>
        <v>1781686.6666666672</v>
      </c>
      <c r="K375" s="16">
        <f>L375*$M$355/1000000</f>
        <v>22.043813333333322</v>
      </c>
      <c r="L375" s="15">
        <f t="shared" si="92"/>
        <v>1102190.666666666</v>
      </c>
      <c r="M375">
        <v>20</v>
      </c>
      <c r="N375">
        <f t="shared" si="93"/>
        <v>68.2</v>
      </c>
      <c r="O375" s="15">
        <f>36*60*60*24*365/1000</f>
        <v>1135296</v>
      </c>
      <c r="P375" t="s">
        <v>1106</v>
      </c>
    </row>
    <row r="376" spans="1:16" x14ac:dyDescent="0.15">
      <c r="B376" s="10">
        <f>B375+0.5</f>
        <v>2025.5</v>
      </c>
      <c r="C376" s="20">
        <f t="shared" si="86"/>
        <v>61.043707958126703</v>
      </c>
      <c r="D376" s="17">
        <f t="shared" si="91"/>
        <v>68.2</v>
      </c>
      <c r="E376" s="18">
        <f t="shared" si="87"/>
        <v>20.353081333333332</v>
      </c>
      <c r="F376" s="19">
        <f t="shared" si="88"/>
        <v>20353081.333333332</v>
      </c>
      <c r="G376" s="15">
        <f t="shared" si="94"/>
        <v>1272633.3333333333</v>
      </c>
      <c r="H376" s="15">
        <v>0</v>
      </c>
      <c r="I376" s="16">
        <f t="shared" si="90"/>
        <v>86793.593333333323</v>
      </c>
      <c r="J376" s="15">
        <f>J374+($J$186-$J$156)/15</f>
        <v>1272633.3333333333</v>
      </c>
      <c r="K376" s="16">
        <f>L376*M376/1000000</f>
        <v>0</v>
      </c>
      <c r="L376" s="15">
        <f t="shared" si="92"/>
        <v>1102190.666666666</v>
      </c>
      <c r="M376">
        <v>0</v>
      </c>
      <c r="N376">
        <f t="shared" si="93"/>
        <v>68.2</v>
      </c>
      <c r="O376" s="15">
        <f>18*60*60*24*365/1000</f>
        <v>567648</v>
      </c>
      <c r="P376" t="s">
        <v>964</v>
      </c>
    </row>
    <row r="377" spans="1:16" x14ac:dyDescent="0.15">
      <c r="A377">
        <f>A375+1</f>
        <v>11</v>
      </c>
      <c r="B377" s="10">
        <f>B375+1</f>
        <v>2026</v>
      </c>
      <c r="C377" s="20">
        <f t="shared" si="86"/>
        <v>65.1766545522146</v>
      </c>
      <c r="D377" s="17">
        <f t="shared" si="91"/>
        <v>70.31411366333127</v>
      </c>
      <c r="E377" s="18">
        <f t="shared" si="87"/>
        <v>19.080448000000001</v>
      </c>
      <c r="F377" s="19">
        <f t="shared" si="88"/>
        <v>19080448</v>
      </c>
      <c r="G377" s="15">
        <f t="shared" si="94"/>
        <v>2135668.5333333341</v>
      </c>
      <c r="H377" s="15">
        <f>H375+(H$19-H$4)/15</f>
        <v>258595.20000000013</v>
      </c>
      <c r="I377" s="16">
        <f t="shared" si="90"/>
        <v>128016.40133333339</v>
      </c>
      <c r="J377" s="15">
        <f>J375+($J$185-$J$155)/15</f>
        <v>1877073.333333334</v>
      </c>
      <c r="K377" s="16">
        <f>L377*$M$355/1000000</f>
        <v>22.151238666666654</v>
      </c>
      <c r="L377" s="15">
        <f t="shared" si="92"/>
        <v>1107561.9333333327</v>
      </c>
      <c r="M377">
        <v>20</v>
      </c>
      <c r="N377">
        <f t="shared" si="93"/>
        <v>68.2</v>
      </c>
      <c r="O377" s="15">
        <v>1129047</v>
      </c>
      <c r="P377" t="s">
        <v>1150</v>
      </c>
    </row>
    <row r="378" spans="1:16" x14ac:dyDescent="0.15">
      <c r="B378" s="10">
        <f>B377+0.5</f>
        <v>2026.5</v>
      </c>
      <c r="C378" s="20">
        <f t="shared" si="86"/>
        <v>59.194977775888589</v>
      </c>
      <c r="D378" s="17">
        <f t="shared" si="91"/>
        <v>68.2</v>
      </c>
      <c r="E378" s="18">
        <f t="shared" si="87"/>
        <v>16.94477946666667</v>
      </c>
      <c r="F378" s="19">
        <f t="shared" si="88"/>
        <v>16944779.466666669</v>
      </c>
      <c r="G378" s="15">
        <f t="shared" si="94"/>
        <v>1340766.6666666665</v>
      </c>
      <c r="H378" s="15">
        <v>0</v>
      </c>
      <c r="I378" s="16">
        <f t="shared" si="90"/>
        <v>91440.286666666652</v>
      </c>
      <c r="J378" s="15">
        <f>J376+($J$186-$J$156)/15</f>
        <v>1340766.6666666665</v>
      </c>
      <c r="K378" s="16">
        <f>L378*M378/1000000</f>
        <v>0</v>
      </c>
      <c r="L378" s="15">
        <f t="shared" si="92"/>
        <v>1107561.9333333327</v>
      </c>
      <c r="M378">
        <v>0</v>
      </c>
      <c r="N378">
        <f t="shared" si="93"/>
        <v>68.2</v>
      </c>
      <c r="O378" s="15">
        <v>1048478</v>
      </c>
      <c r="P378" t="s">
        <v>1149</v>
      </c>
    </row>
    <row r="379" spans="1:16" x14ac:dyDescent="0.15">
      <c r="A379">
        <f>A377+1</f>
        <v>12</v>
      </c>
      <c r="B379" s="10">
        <f>B377+1</f>
        <v>2027</v>
      </c>
      <c r="C379" s="20">
        <f t="shared" si="86"/>
        <v>63.57859431213847</v>
      </c>
      <c r="D379" s="17">
        <f t="shared" si="91"/>
        <v>70.073777944958749</v>
      </c>
      <c r="E379" s="18">
        <f t="shared" si="87"/>
        <v>15.604012800000001</v>
      </c>
      <c r="F379" s="19">
        <f t="shared" si="88"/>
        <v>15604012.800000001</v>
      </c>
      <c r="G379" s="15">
        <f t="shared" si="94"/>
        <v>2237362.4000000008</v>
      </c>
      <c r="H379" s="15">
        <f>H377+(H$19-H$4)/15</f>
        <v>264902.40000000014</v>
      </c>
      <c r="I379" s="16">
        <f t="shared" si="90"/>
        <v>134521.77200000006</v>
      </c>
      <c r="J379" s="15">
        <f>J377+($J$185-$J$155)/15</f>
        <v>1972460.0000000007</v>
      </c>
      <c r="K379" s="16">
        <f>L379*$M$355/1000000</f>
        <v>22.258663999999985</v>
      </c>
      <c r="L379" s="15">
        <f t="shared" si="92"/>
        <v>1112933.1999999993</v>
      </c>
      <c r="M379">
        <v>20</v>
      </c>
      <c r="N379">
        <f t="shared" si="93"/>
        <v>68.2</v>
      </c>
      <c r="O379" s="10">
        <f>7/12</f>
        <v>0.58333333333333337</v>
      </c>
      <c r="P379" s="10" t="s">
        <v>1086</v>
      </c>
    </row>
    <row r="380" spans="1:16" x14ac:dyDescent="0.15">
      <c r="B380" s="10">
        <f>B379+0.5</f>
        <v>2027.5</v>
      </c>
      <c r="C380" s="20">
        <f t="shared" si="86"/>
        <v>56.265548764059339</v>
      </c>
      <c r="D380" s="17">
        <f t="shared" si="91"/>
        <v>68.2</v>
      </c>
      <c r="E380" s="18">
        <f t="shared" si="87"/>
        <v>13.366650400000001</v>
      </c>
      <c r="F380" s="19">
        <f t="shared" si="88"/>
        <v>13366650.4</v>
      </c>
      <c r="G380" s="15">
        <f t="shared" si="94"/>
        <v>1408899.9999999998</v>
      </c>
      <c r="H380" s="15">
        <v>0</v>
      </c>
      <c r="I380" s="16">
        <f t="shared" si="90"/>
        <v>96086.979999999981</v>
      </c>
      <c r="J380" s="15">
        <f>J378+($J$186-$J$156)/15</f>
        <v>1408899.9999999998</v>
      </c>
      <c r="K380" s="16">
        <f>L380*M380/1000000</f>
        <v>0</v>
      </c>
      <c r="L380" s="15">
        <f t="shared" si="92"/>
        <v>1112933.1999999993</v>
      </c>
      <c r="M380">
        <v>0</v>
      </c>
      <c r="N380">
        <f t="shared" si="93"/>
        <v>68.2</v>
      </c>
      <c r="O380">
        <f>5/12</f>
        <v>0.41666666666666669</v>
      </c>
      <c r="P380" s="10" t="s">
        <v>1087</v>
      </c>
    </row>
    <row r="381" spans="1:16" x14ac:dyDescent="0.15">
      <c r="A381">
        <f>A379+1</f>
        <v>13</v>
      </c>
      <c r="B381" s="10">
        <f>B379+1</f>
        <v>2028</v>
      </c>
      <c r="C381" s="20">
        <f t="shared" si="86"/>
        <v>61.088903701700254</v>
      </c>
      <c r="D381" s="17">
        <f t="shared" si="91"/>
        <v>69.854340115061774</v>
      </c>
      <c r="E381" s="18">
        <f t="shared" si="87"/>
        <v>11.9577504</v>
      </c>
      <c r="F381" s="19">
        <f t="shared" si="88"/>
        <v>11957750.4</v>
      </c>
      <c r="G381" s="15">
        <f t="shared" si="94"/>
        <v>2339056.2666666675</v>
      </c>
      <c r="H381" s="15">
        <f>H379+(H$19-H$4)/15</f>
        <v>271209.60000000015</v>
      </c>
      <c r="I381" s="16">
        <f t="shared" si="90"/>
        <v>141027.14266666671</v>
      </c>
      <c r="J381" s="15">
        <f>J379+($J$185-$J$155)/15</f>
        <v>2067846.6666666674</v>
      </c>
      <c r="K381" s="16">
        <f>L381*$M$355/1000000</f>
        <v>22.366089333333317</v>
      </c>
      <c r="L381" s="15">
        <f t="shared" si="92"/>
        <v>1118304.4666666659</v>
      </c>
      <c r="M381">
        <v>20</v>
      </c>
      <c r="N381">
        <f t="shared" si="93"/>
        <v>68.2</v>
      </c>
      <c r="O381" s="15" t="s">
        <v>935</v>
      </c>
      <c r="P381" s="15" t="s">
        <v>1119</v>
      </c>
    </row>
    <row r="382" spans="1:16" x14ac:dyDescent="0.15">
      <c r="B382" s="10">
        <f>B381+0.5</f>
        <v>2028.5</v>
      </c>
      <c r="C382" s="20">
        <f t="shared" si="86"/>
        <v>50.894203933933873</v>
      </c>
      <c r="D382" s="17">
        <f t="shared" si="91"/>
        <v>68.2</v>
      </c>
      <c r="E382" s="18">
        <f t="shared" si="87"/>
        <v>9.6186941333333333</v>
      </c>
      <c r="F382" s="19">
        <f t="shared" si="88"/>
        <v>9618694.1333333328</v>
      </c>
      <c r="G382" s="15">
        <f t="shared" si="94"/>
        <v>1477033.333333333</v>
      </c>
      <c r="H382" s="15">
        <v>0</v>
      </c>
      <c r="I382" s="16">
        <f t="shared" si="90"/>
        <v>100733.67333333331</v>
      </c>
      <c r="J382" s="15">
        <f>J380+($J$186-$J$156)/15</f>
        <v>1477033.333333333</v>
      </c>
      <c r="K382" s="16">
        <f>L382*M382/1000000</f>
        <v>0</v>
      </c>
      <c r="L382" s="15">
        <f t="shared" si="92"/>
        <v>1118304.4666666659</v>
      </c>
      <c r="M382">
        <v>0</v>
      </c>
      <c r="N382">
        <f t="shared" si="93"/>
        <v>68.2</v>
      </c>
    </row>
    <row r="383" spans="1:16" x14ac:dyDescent="0.15">
      <c r="A383">
        <f>A381+1</f>
        <v>14</v>
      </c>
      <c r="B383" s="10">
        <f>B381+1</f>
        <v>2029</v>
      </c>
      <c r="C383" s="20">
        <f>(D383*G383+D385*F385)/F383</f>
        <v>56.33958394891453</v>
      </c>
      <c r="D383" s="17">
        <f t="shared" si="91"/>
        <v>69.653188041752827</v>
      </c>
      <c r="E383" s="18">
        <f t="shared" si="87"/>
        <v>8.1416608000000004</v>
      </c>
      <c r="F383" s="19">
        <f t="shared" si="88"/>
        <v>8141660.7999999998</v>
      </c>
      <c r="G383" s="15">
        <f t="shared" si="94"/>
        <v>2440750.1333333342</v>
      </c>
      <c r="H383" s="15">
        <f>H381+(H$19-H$4)/15</f>
        <v>277516.80000000016</v>
      </c>
      <c r="I383" s="16">
        <f t="shared" si="90"/>
        <v>147532.51333333337</v>
      </c>
      <c r="J383" s="15">
        <f>J381+($J$185-$J$155)/15</f>
        <v>2163233.333333334</v>
      </c>
      <c r="K383" s="16">
        <f>L383*$M$355/1000000</f>
        <v>22.473514666666649</v>
      </c>
      <c r="L383" s="15">
        <f t="shared" si="92"/>
        <v>1123675.7333333325</v>
      </c>
      <c r="M383">
        <v>20</v>
      </c>
      <c r="N383">
        <f t="shared" si="93"/>
        <v>68.2</v>
      </c>
    </row>
    <row r="384" spans="1:16" x14ac:dyDescent="0.15">
      <c r="B384" s="10">
        <f>B383+0.5</f>
        <v>2029.5</v>
      </c>
      <c r="C384" s="20">
        <f>(D384*G384+D386*F386)/F384</f>
        <v>37.784739888340646</v>
      </c>
      <c r="D384" s="17">
        <f t="shared" si="91"/>
        <v>68.2</v>
      </c>
      <c r="E384" s="18">
        <f t="shared" si="87"/>
        <v>5.7009106666666662</v>
      </c>
      <c r="F384" s="19">
        <f t="shared" si="88"/>
        <v>5700910.666666666</v>
      </c>
      <c r="G384" s="15">
        <f t="shared" si="94"/>
        <v>1545166.6666666663</v>
      </c>
      <c r="H384" s="15">
        <v>0</v>
      </c>
      <c r="I384" s="16">
        <f t="shared" si="90"/>
        <v>105380.36666666664</v>
      </c>
      <c r="J384" s="15">
        <f>J382+($J$186-$J$156)/15</f>
        <v>1545166.6666666663</v>
      </c>
      <c r="K384" s="16">
        <f>L384*M384/1000000</f>
        <v>0</v>
      </c>
      <c r="L384" s="15">
        <f t="shared" si="92"/>
        <v>1123675.7333333325</v>
      </c>
      <c r="M384">
        <v>0</v>
      </c>
      <c r="N384">
        <f t="shared" si="93"/>
        <v>68.2</v>
      </c>
    </row>
    <row r="385" spans="1:16" x14ac:dyDescent="0.15">
      <c r="A385">
        <f>A383+1</f>
        <v>15</v>
      </c>
      <c r="B385" s="10">
        <f>B383+1</f>
        <v>2030</v>
      </c>
      <c r="C385" s="20">
        <f>(D385*G385+D386*F386)/F385</f>
        <v>68.975828154958535</v>
      </c>
      <c r="D385" s="17">
        <f t="shared" si="91"/>
        <v>69.46812751824622</v>
      </c>
      <c r="E385" s="18">
        <f t="shared" si="87"/>
        <v>4.1557440000000003</v>
      </c>
      <c r="F385" s="19">
        <f>F386+H385+J385</f>
        <v>4155744</v>
      </c>
      <c r="G385" s="15">
        <f t="shared" si="94"/>
        <v>2542444</v>
      </c>
      <c r="H385" s="15">
        <f>H383+(H$19-H$4)/15</f>
        <v>283824.00000000017</v>
      </c>
      <c r="I385" s="16">
        <f t="shared" si="90"/>
        <v>154037.88399999999</v>
      </c>
      <c r="J385" s="15">
        <f>O370*O379</f>
        <v>2258620</v>
      </c>
      <c r="K385" s="16">
        <f>L385*$M$355/1000000</f>
        <v>22.58093999999998</v>
      </c>
      <c r="L385" s="15">
        <f t="shared" si="92"/>
        <v>1129046.9999999991</v>
      </c>
      <c r="M385">
        <v>20</v>
      </c>
      <c r="N385">
        <f t="shared" si="93"/>
        <v>68.2</v>
      </c>
    </row>
    <row r="386" spans="1:16" x14ac:dyDescent="0.15">
      <c r="B386" s="10">
        <f>B385+0.5</f>
        <v>2030.5</v>
      </c>
      <c r="C386" s="20">
        <f>(D386*G386)/F386</f>
        <v>68.2</v>
      </c>
      <c r="D386" s="17">
        <f>(K386*1000/G386*1000)+(I386/G386*1000)</f>
        <v>68.2</v>
      </c>
      <c r="E386" s="18">
        <f t="shared" si="87"/>
        <v>1.6133</v>
      </c>
      <c r="F386" s="19">
        <f>F387+H386+J386</f>
        <v>1613300</v>
      </c>
      <c r="G386" s="15">
        <f t="shared" si="94"/>
        <v>1613300</v>
      </c>
      <c r="H386" s="15">
        <v>0</v>
      </c>
      <c r="I386" s="16">
        <f t="shared" si="90"/>
        <v>110027.06</v>
      </c>
      <c r="J386" s="15">
        <f>O370*O380</f>
        <v>1613300</v>
      </c>
      <c r="K386" s="16">
        <f>L386*M386/1000000</f>
        <v>0</v>
      </c>
      <c r="L386" s="15">
        <f t="shared" si="92"/>
        <v>1129046.9999999991</v>
      </c>
      <c r="M386">
        <v>0</v>
      </c>
      <c r="N386">
        <f t="shared" si="93"/>
        <v>68.2</v>
      </c>
    </row>
    <row r="387" spans="1:16" x14ac:dyDescent="0.15">
      <c r="C387" s="17"/>
      <c r="D387" s="7"/>
      <c r="E387" s="7"/>
      <c r="F387" s="15"/>
      <c r="G387" s="15"/>
      <c r="H387" s="15"/>
      <c r="I387" s="16"/>
      <c r="L387" s="15"/>
    </row>
    <row r="389" spans="1:16" ht="56" x14ac:dyDescent="0.15">
      <c r="A389" s="119" t="s">
        <v>675</v>
      </c>
      <c r="B389" s="12"/>
      <c r="C389" s="12" t="s">
        <v>1172</v>
      </c>
      <c r="D389" s="13" t="s">
        <v>1166</v>
      </c>
      <c r="E389" s="13" t="s">
        <v>751</v>
      </c>
      <c r="F389" s="13" t="s">
        <v>751</v>
      </c>
      <c r="G389" s="13" t="s">
        <v>1088</v>
      </c>
      <c r="H389" s="13" t="s">
        <v>883</v>
      </c>
      <c r="I389" s="12" t="s">
        <v>1102</v>
      </c>
      <c r="J389" s="13" t="s">
        <v>897</v>
      </c>
      <c r="K389" s="13" t="s">
        <v>745</v>
      </c>
      <c r="L389" s="13" t="s">
        <v>898</v>
      </c>
      <c r="M389" s="12" t="s">
        <v>750</v>
      </c>
      <c r="N389" s="13" t="s">
        <v>1101</v>
      </c>
      <c r="O389" s="12"/>
      <c r="P389" s="12"/>
    </row>
    <row r="390" spans="1:16" x14ac:dyDescent="0.15">
      <c r="A390" s="1" t="s">
        <v>746</v>
      </c>
      <c r="B390" s="1" t="s">
        <v>747</v>
      </c>
      <c r="C390" s="1"/>
      <c r="D390" s="14" t="s">
        <v>1188</v>
      </c>
      <c r="E390" s="14" t="s">
        <v>1104</v>
      </c>
      <c r="F390" s="14" t="s">
        <v>718</v>
      </c>
      <c r="G390" s="14" t="s">
        <v>749</v>
      </c>
      <c r="H390" s="14" t="s">
        <v>749</v>
      </c>
      <c r="I390" s="14" t="s">
        <v>884</v>
      </c>
      <c r="J390" s="14" t="s">
        <v>749</v>
      </c>
      <c r="K390" s="14" t="s">
        <v>884</v>
      </c>
      <c r="L390" s="14" t="s">
        <v>1144</v>
      </c>
      <c r="M390" s="1" t="s">
        <v>885</v>
      </c>
      <c r="N390" s="14" t="s">
        <v>1188</v>
      </c>
    </row>
    <row r="391" spans="1:16" x14ac:dyDescent="0.15">
      <c r="A391">
        <v>0</v>
      </c>
      <c r="B391" s="10">
        <v>2015</v>
      </c>
      <c r="C391" s="20">
        <f t="shared" ref="C391:C418" si="95">(D391*G391+D393*F393)/F391</f>
        <v>15.428018307829229</v>
      </c>
      <c r="D391" s="17">
        <f>(K391*1000/G391)+(I391/G391)</f>
        <v>17.15279329168289</v>
      </c>
      <c r="E391" s="18">
        <f t="shared" ref="E391:E422" si="96">F391/1000000</f>
        <v>46.112639999999999</v>
      </c>
      <c r="F391" s="19">
        <f t="shared" ref="F391:F420" si="97">F392+H391+J391</f>
        <v>46112640</v>
      </c>
      <c r="G391" s="15">
        <f t="shared" ref="G391:G396" si="98">H391+J391</f>
        <v>1017036</v>
      </c>
      <c r="H391" s="15">
        <f>6*60*60*24*365/1000</f>
        <v>189216</v>
      </c>
      <c r="I391" s="16">
        <f>J391*1000*$N391/1000000</f>
        <v>8.2782</v>
      </c>
      <c r="J391" s="15">
        <f>45*60*60*24*365/1000*O$179</f>
        <v>827820</v>
      </c>
      <c r="K391" s="16">
        <v>17445</v>
      </c>
      <c r="L391" s="15">
        <v>1048478</v>
      </c>
      <c r="N391" s="83">
        <v>0.01</v>
      </c>
    </row>
    <row r="392" spans="1:16" x14ac:dyDescent="0.15">
      <c r="B392" s="10">
        <v>2015.5</v>
      </c>
      <c r="C392" s="20">
        <f t="shared" si="95"/>
        <v>9.7519204163078373E-6</v>
      </c>
      <c r="D392" s="17">
        <f t="shared" ref="D392:D422" si="99">(K392*1000/G392)+(I392/G392)</f>
        <v>1.0000000000000001E-5</v>
      </c>
      <c r="E392" s="18">
        <f t="shared" si="96"/>
        <v>45.095604000000002</v>
      </c>
      <c r="F392" s="19">
        <f t="shared" si="97"/>
        <v>45095604</v>
      </c>
      <c r="G392" s="15">
        <f t="shared" si="98"/>
        <v>591300</v>
      </c>
      <c r="H392" s="15">
        <v>0</v>
      </c>
      <c r="I392" s="16">
        <f t="shared" ref="I392:I422" si="100">J392*1000*$N392/1000000</f>
        <v>5.9130000000000003</v>
      </c>
      <c r="J392" s="15">
        <f>45*60*60*24*365/1000*O$180</f>
        <v>591300</v>
      </c>
      <c r="K392" s="16">
        <f>L392*M392/1000000</f>
        <v>0</v>
      </c>
      <c r="L392" s="15">
        <v>1048478</v>
      </c>
      <c r="N392" s="83">
        <f>N391</f>
        <v>0.01</v>
      </c>
    </row>
    <row r="393" spans="1:16" x14ac:dyDescent="0.15">
      <c r="A393">
        <f>A391+1</f>
        <v>1</v>
      </c>
      <c r="B393" s="10">
        <f>B391+1</f>
        <v>2016</v>
      </c>
      <c r="C393" s="20">
        <f t="shared" si="95"/>
        <v>14.115085033545554</v>
      </c>
      <c r="D393" s="17">
        <f t="shared" si="99"/>
        <v>15.59358496796486</v>
      </c>
      <c r="E393" s="18">
        <f t="shared" si="96"/>
        <v>44.504303999999998</v>
      </c>
      <c r="F393" s="19">
        <f t="shared" si="97"/>
        <v>44504304</v>
      </c>
      <c r="G393" s="15">
        <f t="shared" si="98"/>
        <v>1118729.8666666667</v>
      </c>
      <c r="H393" s="15">
        <f>H391+(H$19-H$4)/15</f>
        <v>195523.20000000001</v>
      </c>
      <c r="I393" s="16">
        <f t="shared" si="100"/>
        <v>9.2320666666666664</v>
      </c>
      <c r="J393" s="15">
        <f>J391+($J$185-$J$155)/15</f>
        <v>923206.66666666663</v>
      </c>
      <c r="K393" s="16">
        <v>17445</v>
      </c>
      <c r="L393" s="15">
        <f t="shared" ref="L393:L422" si="101">L391+(L$19-L$4)/15</f>
        <v>1053849.2666666666</v>
      </c>
      <c r="N393" s="83">
        <f>N391</f>
        <v>0.01</v>
      </c>
    </row>
    <row r="394" spans="1:16" x14ac:dyDescent="0.15">
      <c r="B394" s="10">
        <v>2016.5</v>
      </c>
      <c r="C394" s="20">
        <f t="shared" si="95"/>
        <v>9.7187028735443935E-6</v>
      </c>
      <c r="D394" s="17">
        <f t="shared" si="99"/>
        <v>1.0000000000000001E-5</v>
      </c>
      <c r="E394" s="18">
        <f t="shared" si="96"/>
        <v>43.385574133333336</v>
      </c>
      <c r="F394" s="19">
        <f t="shared" si="97"/>
        <v>43385574.133333333</v>
      </c>
      <c r="G394" s="15">
        <f t="shared" si="98"/>
        <v>659433.33333333337</v>
      </c>
      <c r="H394" s="15">
        <v>0</v>
      </c>
      <c r="I394" s="16">
        <f t="shared" si="100"/>
        <v>6.594333333333334</v>
      </c>
      <c r="J394" s="15">
        <f>J392+($J$186-$J$156)/15</f>
        <v>659433.33333333337</v>
      </c>
      <c r="K394" s="16">
        <f>L394*M394/1000000</f>
        <v>0</v>
      </c>
      <c r="L394" s="15">
        <f t="shared" si="101"/>
        <v>1053849.2666666666</v>
      </c>
      <c r="N394">
        <f t="shared" ref="N394:N422" si="102">N392</f>
        <v>0.01</v>
      </c>
    </row>
    <row r="395" spans="1:16" x14ac:dyDescent="0.15">
      <c r="A395">
        <f>A393+1</f>
        <v>2</v>
      </c>
      <c r="B395" s="10">
        <f>B393+1</f>
        <v>2017</v>
      </c>
      <c r="C395" s="20">
        <f t="shared" si="95"/>
        <v>13.001466967018686</v>
      </c>
      <c r="D395" s="17">
        <f t="shared" si="99"/>
        <v>14.294223972755692</v>
      </c>
      <c r="E395" s="18">
        <f t="shared" si="96"/>
        <v>42.726140799999996</v>
      </c>
      <c r="F395" s="19">
        <f t="shared" si="97"/>
        <v>42726140.799999997</v>
      </c>
      <c r="G395" s="15">
        <f t="shared" si="98"/>
        <v>1220423.7333333334</v>
      </c>
      <c r="H395" s="15">
        <f>H393+(H$19-H$4)/15</f>
        <v>201830.40000000002</v>
      </c>
      <c r="I395" s="16">
        <f t="shared" si="100"/>
        <v>10.185933333333333</v>
      </c>
      <c r="J395" s="15">
        <f>J393+($J$185-$J$155)/15</f>
        <v>1018593.3333333333</v>
      </c>
      <c r="K395" s="16">
        <v>17445</v>
      </c>
      <c r="L395" s="15">
        <f t="shared" si="101"/>
        <v>1059220.5333333332</v>
      </c>
      <c r="N395">
        <f t="shared" si="102"/>
        <v>0.01</v>
      </c>
    </row>
    <row r="396" spans="1:16" x14ac:dyDescent="0.15">
      <c r="B396" s="10">
        <f>B395+0.5</f>
        <v>2017.5</v>
      </c>
      <c r="C396" s="20">
        <f t="shared" si="95"/>
        <v>9.681461327875287E-6</v>
      </c>
      <c r="D396" s="17">
        <f t="shared" si="99"/>
        <v>1.0000000000000001E-5</v>
      </c>
      <c r="E396" s="18">
        <f t="shared" si="96"/>
        <v>41.505717066666662</v>
      </c>
      <c r="F396" s="19">
        <f t="shared" si="97"/>
        <v>41505717.066666663</v>
      </c>
      <c r="G396" s="15">
        <f t="shared" si="98"/>
        <v>727566.66666666674</v>
      </c>
      <c r="H396" s="15">
        <v>0</v>
      </c>
      <c r="I396" s="16">
        <f t="shared" si="100"/>
        <v>7.2756666666666678</v>
      </c>
      <c r="J396" s="15">
        <f>J394+($J$186-$J$156)/15</f>
        <v>727566.66666666674</v>
      </c>
      <c r="K396" s="16">
        <f>L396*M396/1000000</f>
        <v>0</v>
      </c>
      <c r="L396" s="15">
        <f t="shared" si="101"/>
        <v>1059220.5333333332</v>
      </c>
      <c r="N396">
        <f t="shared" si="102"/>
        <v>0.01</v>
      </c>
    </row>
    <row r="397" spans="1:16" x14ac:dyDescent="0.15">
      <c r="A397">
        <f>A395+1</f>
        <v>3</v>
      </c>
      <c r="B397" s="10">
        <f>B395+1</f>
        <v>2018</v>
      </c>
      <c r="C397" s="20">
        <f t="shared" si="95"/>
        <v>12.043809596082472</v>
      </c>
      <c r="D397" s="17">
        <f t="shared" si="99"/>
        <v>13.194749952500443</v>
      </c>
      <c r="E397" s="18">
        <f t="shared" si="96"/>
        <v>40.778150400000001</v>
      </c>
      <c r="F397" s="19">
        <f t="shared" si="97"/>
        <v>40778150.399999999</v>
      </c>
      <c r="G397" s="15">
        <f t="shared" ref="G397:G422" si="103">H397+J397</f>
        <v>1322117.6000000001</v>
      </c>
      <c r="H397" s="15">
        <f>H395+(H$19-H$4)/15</f>
        <v>208137.60000000003</v>
      </c>
      <c r="I397" s="16">
        <f t="shared" si="100"/>
        <v>11.139799999999999</v>
      </c>
      <c r="J397" s="15">
        <f>J395+($J$185-$J$155)/15</f>
        <v>1113980</v>
      </c>
      <c r="K397" s="16">
        <v>17445</v>
      </c>
      <c r="L397" s="15">
        <f t="shared" si="101"/>
        <v>1064591.7999999998</v>
      </c>
      <c r="N397">
        <f t="shared" si="102"/>
        <v>0.01</v>
      </c>
    </row>
    <row r="398" spans="1:16" x14ac:dyDescent="0.15">
      <c r="B398" s="10">
        <f>B397+0.5</f>
        <v>2018.5</v>
      </c>
      <c r="C398" s="20">
        <f t="shared" si="95"/>
        <v>9.6391397295607826E-6</v>
      </c>
      <c r="D398" s="17">
        <f t="shared" si="99"/>
        <v>9.9999999999999991E-6</v>
      </c>
      <c r="E398" s="18">
        <f t="shared" si="96"/>
        <v>39.456032799999996</v>
      </c>
      <c r="F398" s="19">
        <f t="shared" si="97"/>
        <v>39456032.799999997</v>
      </c>
      <c r="G398" s="15">
        <f t="shared" si="103"/>
        <v>795700.00000000012</v>
      </c>
      <c r="H398" s="15">
        <v>0</v>
      </c>
      <c r="I398" s="16">
        <f t="shared" si="100"/>
        <v>7.9570000000000007</v>
      </c>
      <c r="J398" s="15">
        <f>J396+($J$186-$J$156)/15</f>
        <v>795700.00000000012</v>
      </c>
      <c r="K398" s="16">
        <f>L398*M398/1000000</f>
        <v>0</v>
      </c>
      <c r="L398" s="15">
        <f t="shared" si="101"/>
        <v>1064591.7999999998</v>
      </c>
      <c r="N398">
        <f t="shared" si="102"/>
        <v>0.01</v>
      </c>
    </row>
    <row r="399" spans="1:16" x14ac:dyDescent="0.15">
      <c r="A399">
        <f>A397+1</f>
        <v>4</v>
      </c>
      <c r="B399" s="10">
        <f>B397+1</f>
        <v>2019</v>
      </c>
      <c r="C399" s="20">
        <f t="shared" si="95"/>
        <v>11.210125793838539</v>
      </c>
      <c r="D399" s="17">
        <f t="shared" si="99"/>
        <v>12.252332912100909</v>
      </c>
      <c r="E399" s="18">
        <f t="shared" si="96"/>
        <v>38.660332799999999</v>
      </c>
      <c r="F399" s="19">
        <f t="shared" si="97"/>
        <v>38660332.799999997</v>
      </c>
      <c r="G399" s="15">
        <f t="shared" si="103"/>
        <v>1423811.4666666668</v>
      </c>
      <c r="H399" s="15">
        <f>H397+(H$19-H$4)/15</f>
        <v>214444.80000000005</v>
      </c>
      <c r="I399" s="16">
        <f t="shared" si="100"/>
        <v>12.093666666666667</v>
      </c>
      <c r="J399" s="15">
        <f>J397+($J$185-$J$155)/15</f>
        <v>1209366.6666666667</v>
      </c>
      <c r="K399" s="16">
        <v>17445</v>
      </c>
      <c r="L399" s="15">
        <f t="shared" si="101"/>
        <v>1069963.0666666664</v>
      </c>
      <c r="N399">
        <f t="shared" si="102"/>
        <v>0.01</v>
      </c>
    </row>
    <row r="400" spans="1:16" x14ac:dyDescent="0.15">
      <c r="B400" s="10">
        <f>B399+0.5</f>
        <v>2019.5</v>
      </c>
      <c r="C400" s="20">
        <f t="shared" si="95"/>
        <v>9.5903201269320139E-6</v>
      </c>
      <c r="D400" s="17">
        <f t="shared" si="99"/>
        <v>1.0000000000000001E-5</v>
      </c>
      <c r="E400" s="18">
        <f t="shared" si="96"/>
        <v>37.236521333333336</v>
      </c>
      <c r="F400" s="19">
        <f t="shared" si="97"/>
        <v>37236521.333333336</v>
      </c>
      <c r="G400" s="15">
        <f t="shared" si="103"/>
        <v>863833.33333333349</v>
      </c>
      <c r="H400" s="15">
        <v>0</v>
      </c>
      <c r="I400" s="16">
        <f t="shared" si="100"/>
        <v>8.6383333333333354</v>
      </c>
      <c r="J400" s="15">
        <f>J398+($J$186-$J$156)/15</f>
        <v>863833.33333333349</v>
      </c>
      <c r="K400" s="16">
        <f>L400*M400/1000000</f>
        <v>0</v>
      </c>
      <c r="L400" s="15">
        <f t="shared" si="101"/>
        <v>1069963.0666666664</v>
      </c>
      <c r="N400">
        <f t="shared" si="102"/>
        <v>0.01</v>
      </c>
    </row>
    <row r="401" spans="1:16" x14ac:dyDescent="0.15">
      <c r="A401">
        <f>A399+1</f>
        <v>5</v>
      </c>
      <c r="B401" s="10">
        <f>B399+1</f>
        <v>2020</v>
      </c>
      <c r="C401" s="20">
        <f t="shared" si="95"/>
        <v>10.476160365078284</v>
      </c>
      <c r="D401" s="17">
        <f t="shared" si="99"/>
        <v>11.43556345975847</v>
      </c>
      <c r="E401" s="18">
        <f t="shared" si="96"/>
        <v>36.372687999999997</v>
      </c>
      <c r="F401" s="19">
        <f t="shared" si="97"/>
        <v>36372688</v>
      </c>
      <c r="G401" s="15">
        <f t="shared" si="103"/>
        <v>1525505.3333333335</v>
      </c>
      <c r="H401" s="15">
        <f>H399+(H$19-H$4)/15</f>
        <v>220752.00000000006</v>
      </c>
      <c r="I401" s="16">
        <f t="shared" si="100"/>
        <v>13.047533333333336</v>
      </c>
      <c r="J401" s="15">
        <f>J399+($J$185-$J$155)/15</f>
        <v>1304753.3333333335</v>
      </c>
      <c r="K401" s="16">
        <v>17445</v>
      </c>
      <c r="L401" s="15">
        <f t="shared" si="101"/>
        <v>1075334.333333333</v>
      </c>
      <c r="N401">
        <f t="shared" si="102"/>
        <v>0.01</v>
      </c>
    </row>
    <row r="402" spans="1:16" x14ac:dyDescent="0.15">
      <c r="B402" s="10">
        <f>B401+0.5</f>
        <v>2020.5</v>
      </c>
      <c r="C402" s="20">
        <f t="shared" si="95"/>
        <v>9.5330471287836672E-6</v>
      </c>
      <c r="D402" s="17">
        <f t="shared" si="99"/>
        <v>1.0000000000000001E-5</v>
      </c>
      <c r="E402" s="18">
        <f t="shared" si="96"/>
        <v>34.847182666666662</v>
      </c>
      <c r="F402" s="19">
        <f t="shared" si="97"/>
        <v>34847182.666666664</v>
      </c>
      <c r="G402" s="15">
        <f t="shared" si="103"/>
        <v>931966.66666666686</v>
      </c>
      <c r="H402" s="15">
        <v>0</v>
      </c>
      <c r="I402" s="16">
        <f t="shared" si="100"/>
        <v>9.3196666666666701</v>
      </c>
      <c r="J402" s="15">
        <f>J400+($J$186-$J$156)/15</f>
        <v>931966.66666666686</v>
      </c>
      <c r="K402" s="16">
        <f>L402*M402/1000000</f>
        <v>0</v>
      </c>
      <c r="L402" s="15">
        <f t="shared" si="101"/>
        <v>1075334.333333333</v>
      </c>
      <c r="N402">
        <f t="shared" si="102"/>
        <v>0.01</v>
      </c>
    </row>
    <row r="403" spans="1:16" x14ac:dyDescent="0.15">
      <c r="A403">
        <f>A401+1</f>
        <v>6</v>
      </c>
      <c r="B403" s="10">
        <f>B401+1</f>
        <v>2021</v>
      </c>
      <c r="C403" s="20">
        <f t="shared" si="95"/>
        <v>9.8229907165745338</v>
      </c>
      <c r="D403" s="17">
        <f t="shared" si="99"/>
        <v>10.720884081924325</v>
      </c>
      <c r="E403" s="18">
        <f t="shared" si="96"/>
        <v>33.915216000000001</v>
      </c>
      <c r="F403" s="19">
        <f t="shared" si="97"/>
        <v>33915216</v>
      </c>
      <c r="G403" s="15">
        <f t="shared" si="103"/>
        <v>1627199.2000000002</v>
      </c>
      <c r="H403" s="15">
        <f>H401+(H$19-H$4)/15</f>
        <v>227059.20000000007</v>
      </c>
      <c r="I403" s="16">
        <f t="shared" si="100"/>
        <v>14.001400000000002</v>
      </c>
      <c r="J403" s="15">
        <f>J401+($J$185-$J$155)/15</f>
        <v>1400140.0000000002</v>
      </c>
      <c r="K403" s="16">
        <v>17445</v>
      </c>
      <c r="L403" s="15">
        <f t="shared" si="101"/>
        <v>1080705.5999999996</v>
      </c>
      <c r="N403">
        <f t="shared" si="102"/>
        <v>0.01</v>
      </c>
    </row>
    <row r="404" spans="1:16" x14ac:dyDescent="0.15">
      <c r="B404" s="10">
        <f>B403+0.5</f>
        <v>2021.5</v>
      </c>
      <c r="C404" s="20">
        <f t="shared" si="95"/>
        <v>9.464540334770062E-6</v>
      </c>
      <c r="D404" s="17">
        <f t="shared" si="99"/>
        <v>9.9999999999999991E-6</v>
      </c>
      <c r="E404" s="18">
        <f t="shared" si="96"/>
        <v>32.288016800000001</v>
      </c>
      <c r="F404" s="19">
        <f t="shared" si="97"/>
        <v>32288016.800000001</v>
      </c>
      <c r="G404" s="15">
        <f t="shared" si="103"/>
        <v>1000100.0000000002</v>
      </c>
      <c r="H404" s="15">
        <v>0</v>
      </c>
      <c r="I404" s="16">
        <f t="shared" si="100"/>
        <v>10.001000000000001</v>
      </c>
      <c r="J404" s="15">
        <f>J402+($J$186-$J$156)/15</f>
        <v>1000100.0000000002</v>
      </c>
      <c r="K404" s="16">
        <f>L404*M404/1000000</f>
        <v>0</v>
      </c>
      <c r="L404" s="15">
        <f t="shared" si="101"/>
        <v>1080705.5999999996</v>
      </c>
      <c r="N404">
        <f t="shared" si="102"/>
        <v>0.01</v>
      </c>
    </row>
    <row r="405" spans="1:16" x14ac:dyDescent="0.15">
      <c r="A405">
        <f>A403+1</f>
        <v>7</v>
      </c>
      <c r="B405" s="10">
        <f>B403+1</f>
        <v>2022</v>
      </c>
      <c r="C405" s="20">
        <f t="shared" si="95"/>
        <v>9.2353484767167089</v>
      </c>
      <c r="D405" s="17">
        <f t="shared" si="99"/>
        <v>10.090279897357057</v>
      </c>
      <c r="E405" s="18">
        <f t="shared" si="96"/>
        <v>31.287916800000001</v>
      </c>
      <c r="F405" s="19">
        <f t="shared" si="97"/>
        <v>31287916.800000001</v>
      </c>
      <c r="G405" s="15">
        <f t="shared" si="103"/>
        <v>1728893.0666666671</v>
      </c>
      <c r="H405" s="15">
        <f>H403+(H$19-H$4)/15</f>
        <v>233366.40000000008</v>
      </c>
      <c r="I405" s="16">
        <f t="shared" si="100"/>
        <v>14.95526666666667</v>
      </c>
      <c r="J405" s="15">
        <f>J403+($J$185-$J$155)/15</f>
        <v>1495526.666666667</v>
      </c>
      <c r="K405" s="16">
        <v>17445</v>
      </c>
      <c r="L405" s="15">
        <f t="shared" si="101"/>
        <v>1086076.8666666662</v>
      </c>
      <c r="N405">
        <f t="shared" si="102"/>
        <v>0.01</v>
      </c>
    </row>
    <row r="406" spans="1:16" x14ac:dyDescent="0.15">
      <c r="B406" s="10">
        <f>B405+0.5</f>
        <v>2022.5</v>
      </c>
      <c r="C406" s="20">
        <f t="shared" si="95"/>
        <v>9.3807011524304831E-6</v>
      </c>
      <c r="D406" s="17">
        <f t="shared" si="99"/>
        <v>1.0000000000000001E-5</v>
      </c>
      <c r="E406" s="18">
        <f t="shared" si="96"/>
        <v>29.559023733333333</v>
      </c>
      <c r="F406" s="19">
        <f t="shared" si="97"/>
        <v>29559023.733333334</v>
      </c>
      <c r="G406" s="15">
        <f t="shared" si="103"/>
        <v>1068233.3333333335</v>
      </c>
      <c r="H406" s="15">
        <v>0</v>
      </c>
      <c r="I406" s="16">
        <f t="shared" si="100"/>
        <v>10.682333333333336</v>
      </c>
      <c r="J406" s="15">
        <f>J404+($J$186-$J$156)/15</f>
        <v>1068233.3333333335</v>
      </c>
      <c r="K406" s="16">
        <f>L406*M406/1000000</f>
        <v>0</v>
      </c>
      <c r="L406" s="15">
        <f t="shared" si="101"/>
        <v>1086076.8666666662</v>
      </c>
      <c r="N406">
        <f t="shared" si="102"/>
        <v>0.01</v>
      </c>
      <c r="O406" s="15">
        <v>3871920</v>
      </c>
      <c r="P406" t="s">
        <v>911</v>
      </c>
    </row>
    <row r="407" spans="1:16" x14ac:dyDescent="0.15">
      <c r="A407">
        <f>A405+1</f>
        <v>8</v>
      </c>
      <c r="B407" s="10">
        <f>B405+1</f>
        <v>2023</v>
      </c>
      <c r="C407" s="20">
        <f t="shared" si="95"/>
        <v>8.7003311304233257</v>
      </c>
      <c r="D407" s="17">
        <f t="shared" si="99"/>
        <v>9.5297391188997143</v>
      </c>
      <c r="E407" s="18">
        <f t="shared" si="96"/>
        <v>28.490790400000002</v>
      </c>
      <c r="F407" s="19">
        <f t="shared" si="97"/>
        <v>28490790.400000002</v>
      </c>
      <c r="G407" s="15">
        <f t="shared" si="103"/>
        <v>1830586.9333333338</v>
      </c>
      <c r="H407" s="15">
        <f>H405+(H$19-H$4)/15</f>
        <v>239673.60000000009</v>
      </c>
      <c r="I407" s="16">
        <f t="shared" si="100"/>
        <v>15.909133333333338</v>
      </c>
      <c r="J407" s="15">
        <f>J405+($J$185-$J$155)/15</f>
        <v>1590913.3333333337</v>
      </c>
      <c r="K407" s="16">
        <v>17445</v>
      </c>
      <c r="L407" s="15">
        <f t="shared" si="101"/>
        <v>1091448.1333333328</v>
      </c>
      <c r="N407">
        <f t="shared" si="102"/>
        <v>0.01</v>
      </c>
      <c r="O407" s="16">
        <v>118000000</v>
      </c>
      <c r="P407" t="s">
        <v>755</v>
      </c>
    </row>
    <row r="408" spans="1:16" x14ac:dyDescent="0.15">
      <c r="B408" s="10">
        <f>B407+0.5</f>
        <v>2023.5</v>
      </c>
      <c r="C408" s="20">
        <f t="shared" si="95"/>
        <v>9.2752190348374716E-6</v>
      </c>
      <c r="D408" s="17">
        <f t="shared" si="99"/>
        <v>9.9999999999999991E-6</v>
      </c>
      <c r="E408" s="18">
        <f t="shared" si="96"/>
        <v>26.660203466666669</v>
      </c>
      <c r="F408" s="19">
        <f t="shared" si="97"/>
        <v>26660203.466666669</v>
      </c>
      <c r="G408" s="15">
        <f t="shared" si="103"/>
        <v>1136366.6666666667</v>
      </c>
      <c r="H408" s="15">
        <v>0</v>
      </c>
      <c r="I408" s="16">
        <f t="shared" si="100"/>
        <v>11.363666666666667</v>
      </c>
      <c r="J408" s="15">
        <f>J406+($J$186-$J$156)/15</f>
        <v>1136366.6666666667</v>
      </c>
      <c r="K408" s="16">
        <f>L408*M408/1000000</f>
        <v>0</v>
      </c>
      <c r="L408" s="15">
        <f t="shared" si="101"/>
        <v>1091448.1333333328</v>
      </c>
      <c r="N408">
        <f t="shared" si="102"/>
        <v>0.01</v>
      </c>
      <c r="O408" s="15">
        <v>2932848</v>
      </c>
      <c r="P408" t="s">
        <v>966</v>
      </c>
    </row>
    <row r="409" spans="1:16" x14ac:dyDescent="0.15">
      <c r="A409">
        <f>A407+1</f>
        <v>9</v>
      </c>
      <c r="B409" s="10">
        <f>B407+1</f>
        <v>2024</v>
      </c>
      <c r="C409" s="20">
        <f t="shared" si="95"/>
        <v>8.2062341730009791</v>
      </c>
      <c r="D409" s="17">
        <f t="shared" si="99"/>
        <v>9.0281996607325379</v>
      </c>
      <c r="E409" s="18">
        <f t="shared" si="96"/>
        <v>25.523836800000002</v>
      </c>
      <c r="F409" s="19">
        <f t="shared" si="97"/>
        <v>25523836.800000001</v>
      </c>
      <c r="G409" s="15">
        <f t="shared" si="103"/>
        <v>1932280.8000000005</v>
      </c>
      <c r="H409" s="15">
        <f>H407+(H$19-H$4)/15</f>
        <v>245980.8000000001</v>
      </c>
      <c r="I409" s="16">
        <f t="shared" si="100"/>
        <v>16.863000000000003</v>
      </c>
      <c r="J409" s="15">
        <f>J407+($J$185-$J$155)/15</f>
        <v>1686300.0000000005</v>
      </c>
      <c r="K409" s="16">
        <v>17445</v>
      </c>
      <c r="L409" s="15">
        <f t="shared" si="101"/>
        <v>1096819.3999999994</v>
      </c>
      <c r="N409">
        <f t="shared" si="102"/>
        <v>0.01</v>
      </c>
      <c r="O409" s="15">
        <v>283824</v>
      </c>
      <c r="P409" t="s">
        <v>965</v>
      </c>
    </row>
    <row r="410" spans="1:16" x14ac:dyDescent="0.15">
      <c r="B410" s="10">
        <f>B409+0.5</f>
        <v>2024.5</v>
      </c>
      <c r="C410" s="20">
        <f t="shared" si="95"/>
        <v>9.1378378489885671E-6</v>
      </c>
      <c r="D410" s="17">
        <f t="shared" si="99"/>
        <v>9.9999999999999991E-6</v>
      </c>
      <c r="E410" s="18">
        <f t="shared" si="96"/>
        <v>23.591556000000001</v>
      </c>
      <c r="F410" s="19">
        <f t="shared" si="97"/>
        <v>23591556</v>
      </c>
      <c r="G410" s="15">
        <f t="shared" si="103"/>
        <v>1204500</v>
      </c>
      <c r="H410" s="15">
        <v>0</v>
      </c>
      <c r="I410" s="16">
        <f t="shared" si="100"/>
        <v>12.045</v>
      </c>
      <c r="J410" s="15">
        <f>J408+($J$186-$J$156)/15</f>
        <v>1204500</v>
      </c>
      <c r="K410" s="16">
        <f>L410*M410/1000000</f>
        <v>0</v>
      </c>
      <c r="L410" s="15">
        <f t="shared" si="101"/>
        <v>1096819.3999999994</v>
      </c>
      <c r="N410">
        <f t="shared" si="102"/>
        <v>0.01</v>
      </c>
      <c r="O410" s="15">
        <f>6*60*60*24*365/1000</f>
        <v>189216</v>
      </c>
      <c r="P410" t="s">
        <v>1105</v>
      </c>
    </row>
    <row r="411" spans="1:16" x14ac:dyDescent="0.15">
      <c r="A411">
        <f>A409+1</f>
        <v>10</v>
      </c>
      <c r="B411" s="10">
        <f>B409+1</f>
        <v>2025</v>
      </c>
      <c r="C411" s="20">
        <f t="shared" si="95"/>
        <v>7.7411680657314363</v>
      </c>
      <c r="D411" s="17">
        <f t="shared" si="99"/>
        <v>8.5768117483272466</v>
      </c>
      <c r="E411" s="18">
        <f t="shared" si="96"/>
        <v>22.387056000000001</v>
      </c>
      <c r="F411" s="19">
        <f t="shared" si="97"/>
        <v>22387056</v>
      </c>
      <c r="G411" s="15">
        <f t="shared" si="103"/>
        <v>2033974.6666666674</v>
      </c>
      <c r="H411" s="15">
        <f>H409+(H$19-H$4)/15</f>
        <v>252288.00000000012</v>
      </c>
      <c r="I411" s="16">
        <f t="shared" si="100"/>
        <v>17.816866666666673</v>
      </c>
      <c r="J411" s="15">
        <f>J409+($J$185-$J$155)/15</f>
        <v>1781686.6666666672</v>
      </c>
      <c r="K411" s="16">
        <v>17445</v>
      </c>
      <c r="L411" s="15">
        <f t="shared" si="101"/>
        <v>1102190.666666666</v>
      </c>
      <c r="N411">
        <f t="shared" si="102"/>
        <v>0.01</v>
      </c>
      <c r="O411" s="15">
        <f>36*60*60*24*365/1000</f>
        <v>1135296</v>
      </c>
      <c r="P411" t="s">
        <v>1106</v>
      </c>
    </row>
    <row r="412" spans="1:16" x14ac:dyDescent="0.15">
      <c r="B412" s="10">
        <f>B411+0.5</f>
        <v>2025.5</v>
      </c>
      <c r="C412" s="20">
        <f t="shared" si="95"/>
        <v>8.9506903164408685E-6</v>
      </c>
      <c r="D412" s="17">
        <f t="shared" si="99"/>
        <v>1.0000000000000001E-5</v>
      </c>
      <c r="E412" s="18">
        <f t="shared" si="96"/>
        <v>20.353081333333332</v>
      </c>
      <c r="F412" s="19">
        <f t="shared" si="97"/>
        <v>20353081.333333332</v>
      </c>
      <c r="G412" s="15">
        <f t="shared" si="103"/>
        <v>1272633.3333333333</v>
      </c>
      <c r="H412" s="15">
        <v>0</v>
      </c>
      <c r="I412" s="16">
        <f t="shared" si="100"/>
        <v>12.726333333333333</v>
      </c>
      <c r="J412" s="15">
        <f>J410+($J$186-$J$156)/15</f>
        <v>1272633.3333333333</v>
      </c>
      <c r="K412" s="16">
        <f>L412*M412/1000000</f>
        <v>0</v>
      </c>
      <c r="L412" s="15">
        <f t="shared" si="101"/>
        <v>1102190.666666666</v>
      </c>
      <c r="N412">
        <f t="shared" si="102"/>
        <v>0.01</v>
      </c>
      <c r="O412" s="15">
        <f>18*60*60*24*365/1000</f>
        <v>567648</v>
      </c>
      <c r="P412" t="s">
        <v>964</v>
      </c>
    </row>
    <row r="413" spans="1:16" x14ac:dyDescent="0.15">
      <c r="A413">
        <f>A411+1</f>
        <v>11</v>
      </c>
      <c r="B413" s="10">
        <f>B411+1</f>
        <v>2026</v>
      </c>
      <c r="C413" s="20">
        <f t="shared" si="95"/>
        <v>7.2907949735158457</v>
      </c>
      <c r="D413" s="17">
        <f t="shared" si="99"/>
        <v>8.1684112016696186</v>
      </c>
      <c r="E413" s="18">
        <f t="shared" si="96"/>
        <v>19.080448000000001</v>
      </c>
      <c r="F413" s="19">
        <f t="shared" si="97"/>
        <v>19080448</v>
      </c>
      <c r="G413" s="15">
        <f t="shared" si="103"/>
        <v>2135668.5333333341</v>
      </c>
      <c r="H413" s="15">
        <f>H411+(H$19-H$4)/15</f>
        <v>258595.20000000013</v>
      </c>
      <c r="I413" s="16">
        <f t="shared" si="100"/>
        <v>18.770733333333339</v>
      </c>
      <c r="J413" s="15">
        <f>J411+($J$185-$J$155)/15</f>
        <v>1877073.333333334</v>
      </c>
      <c r="K413" s="16">
        <v>17445</v>
      </c>
      <c r="L413" s="15">
        <f t="shared" si="101"/>
        <v>1107561.9333333327</v>
      </c>
      <c r="N413">
        <f t="shared" si="102"/>
        <v>0.01</v>
      </c>
      <c r="O413" s="15">
        <v>1129047</v>
      </c>
      <c r="P413" t="s">
        <v>1150</v>
      </c>
    </row>
    <row r="414" spans="1:16" x14ac:dyDescent="0.15">
      <c r="B414" s="10">
        <f>B413+0.5</f>
        <v>2026.5</v>
      </c>
      <c r="C414" s="20">
        <f t="shared" si="95"/>
        <v>8.6796155096610831E-6</v>
      </c>
      <c r="D414" s="17">
        <f t="shared" si="99"/>
        <v>1.0000000000000001E-5</v>
      </c>
      <c r="E414" s="18">
        <f t="shared" si="96"/>
        <v>16.94477946666667</v>
      </c>
      <c r="F414" s="19">
        <f t="shared" si="97"/>
        <v>16944779.466666669</v>
      </c>
      <c r="G414" s="15">
        <f t="shared" si="103"/>
        <v>1340766.6666666665</v>
      </c>
      <c r="H414" s="15">
        <v>0</v>
      </c>
      <c r="I414" s="16">
        <f t="shared" si="100"/>
        <v>13.407666666666666</v>
      </c>
      <c r="J414" s="15">
        <f>J412+($J$186-$J$156)/15</f>
        <v>1340766.6666666665</v>
      </c>
      <c r="K414" s="16">
        <f>L414*M414/1000000</f>
        <v>0</v>
      </c>
      <c r="L414" s="15">
        <f t="shared" si="101"/>
        <v>1107561.9333333327</v>
      </c>
      <c r="N414">
        <f t="shared" si="102"/>
        <v>0.01</v>
      </c>
      <c r="O414" s="15">
        <v>1048478</v>
      </c>
      <c r="P414" t="s">
        <v>1149</v>
      </c>
    </row>
    <row r="415" spans="1:16" x14ac:dyDescent="0.15">
      <c r="A415">
        <f>A413+1</f>
        <v>12</v>
      </c>
      <c r="B415" s="10">
        <f>B413+1</f>
        <v>2027</v>
      </c>
      <c r="C415" s="20">
        <f t="shared" si="95"/>
        <v>6.8333483718056911</v>
      </c>
      <c r="D415" s="17">
        <f t="shared" si="99"/>
        <v>7.7971363622629903</v>
      </c>
      <c r="E415" s="18">
        <f t="shared" si="96"/>
        <v>15.604012800000001</v>
      </c>
      <c r="F415" s="19">
        <f t="shared" si="97"/>
        <v>15604012.800000001</v>
      </c>
      <c r="G415" s="15">
        <f t="shared" si="103"/>
        <v>2237362.4000000008</v>
      </c>
      <c r="H415" s="15">
        <f>H413+(H$19-H$4)/15</f>
        <v>264902.40000000014</v>
      </c>
      <c r="I415" s="16">
        <f t="shared" si="100"/>
        <v>19.724600000000006</v>
      </c>
      <c r="J415" s="15">
        <f>J413+($J$185-$J$155)/15</f>
        <v>1972460.0000000007</v>
      </c>
      <c r="K415" s="16">
        <v>17445</v>
      </c>
      <c r="L415" s="15">
        <f t="shared" si="101"/>
        <v>1112933.1999999993</v>
      </c>
      <c r="N415">
        <f t="shared" si="102"/>
        <v>0.01</v>
      </c>
      <c r="O415" s="10">
        <f>7/12</f>
        <v>0.58333333333333337</v>
      </c>
      <c r="P415" s="10" t="s">
        <v>1086</v>
      </c>
    </row>
    <row r="416" spans="1:16" x14ac:dyDescent="0.15">
      <c r="B416" s="10">
        <f>B415+0.5</f>
        <v>2027.5</v>
      </c>
      <c r="C416" s="20">
        <f t="shared" si="95"/>
        <v>8.2500804639383185E-6</v>
      </c>
      <c r="D416" s="17">
        <f t="shared" si="99"/>
        <v>1.0000000000000001E-5</v>
      </c>
      <c r="E416" s="18">
        <f t="shared" si="96"/>
        <v>13.366650400000001</v>
      </c>
      <c r="F416" s="19">
        <f t="shared" si="97"/>
        <v>13366650.4</v>
      </c>
      <c r="G416" s="15">
        <f t="shared" si="103"/>
        <v>1408899.9999999998</v>
      </c>
      <c r="H416" s="15">
        <v>0</v>
      </c>
      <c r="I416" s="16">
        <f t="shared" si="100"/>
        <v>14.088999999999999</v>
      </c>
      <c r="J416" s="15">
        <f>J414+($J$186-$J$156)/15</f>
        <v>1408899.9999999998</v>
      </c>
      <c r="K416" s="16">
        <f>L416*M416/1000000</f>
        <v>0</v>
      </c>
      <c r="L416" s="15">
        <f t="shared" si="101"/>
        <v>1112933.1999999993</v>
      </c>
      <c r="N416">
        <f t="shared" si="102"/>
        <v>0.01</v>
      </c>
      <c r="O416">
        <f>5/12</f>
        <v>0.41666666666666669</v>
      </c>
      <c r="P416" s="10" t="s">
        <v>1087</v>
      </c>
    </row>
    <row r="417" spans="1:16" x14ac:dyDescent="0.15">
      <c r="A417">
        <f>A415+1</f>
        <v>13</v>
      </c>
      <c r="B417" s="10">
        <f>B415+1</f>
        <v>2028</v>
      </c>
      <c r="C417" s="20">
        <f t="shared" si="95"/>
        <v>6.3253319666827883</v>
      </c>
      <c r="D417" s="17">
        <f t="shared" si="99"/>
        <v>7.4581449480593918</v>
      </c>
      <c r="E417" s="18">
        <f t="shared" si="96"/>
        <v>11.9577504</v>
      </c>
      <c r="F417" s="19">
        <f t="shared" si="97"/>
        <v>11957750.4</v>
      </c>
      <c r="G417" s="15">
        <f t="shared" si="103"/>
        <v>2339056.2666666675</v>
      </c>
      <c r="H417" s="15">
        <f>H415+(H$19-H$4)/15</f>
        <v>271209.60000000015</v>
      </c>
      <c r="I417" s="16">
        <f t="shared" si="100"/>
        <v>20.678466666666676</v>
      </c>
      <c r="J417" s="15">
        <f>J415+($J$185-$J$155)/15</f>
        <v>2067846.6666666674</v>
      </c>
      <c r="K417" s="16">
        <v>17445</v>
      </c>
      <c r="L417" s="15">
        <f t="shared" si="101"/>
        <v>1118304.4666666659</v>
      </c>
      <c r="N417">
        <f t="shared" si="102"/>
        <v>0.01</v>
      </c>
      <c r="O417" s="15" t="s">
        <v>935</v>
      </c>
      <c r="P417" s="15" t="s">
        <v>1119</v>
      </c>
    </row>
    <row r="418" spans="1:16" x14ac:dyDescent="0.15">
      <c r="B418" s="10">
        <f>B417+0.5</f>
        <v>2028.5</v>
      </c>
      <c r="C418" s="20">
        <f t="shared" si="95"/>
        <v>7.4624932454448474E-6</v>
      </c>
      <c r="D418" s="17">
        <f t="shared" si="99"/>
        <v>9.9999999999999991E-6</v>
      </c>
      <c r="E418" s="18">
        <f t="shared" si="96"/>
        <v>9.6186941333333333</v>
      </c>
      <c r="F418" s="19">
        <f t="shared" si="97"/>
        <v>9618694.1333333328</v>
      </c>
      <c r="G418" s="15">
        <f t="shared" si="103"/>
        <v>1477033.333333333</v>
      </c>
      <c r="H418" s="15">
        <v>0</v>
      </c>
      <c r="I418" s="16">
        <f t="shared" si="100"/>
        <v>14.77033333333333</v>
      </c>
      <c r="J418" s="15">
        <f>J416+($J$186-$J$156)/15</f>
        <v>1477033.333333333</v>
      </c>
      <c r="K418" s="16">
        <f>L418*M418/1000000</f>
        <v>0</v>
      </c>
      <c r="L418" s="15">
        <f t="shared" si="101"/>
        <v>1118304.4666666659</v>
      </c>
      <c r="N418">
        <f t="shared" si="102"/>
        <v>0.01</v>
      </c>
    </row>
    <row r="419" spans="1:16" x14ac:dyDescent="0.15">
      <c r="A419">
        <f>A417+1</f>
        <v>14</v>
      </c>
      <c r="B419" s="10">
        <f>B417+1</f>
        <v>2029</v>
      </c>
      <c r="C419" s="20">
        <f>(D419*G419+D421*F421)/F419</f>
        <v>5.6450066680426429</v>
      </c>
      <c r="D419" s="17">
        <f t="shared" si="99"/>
        <v>7.1474016918350651</v>
      </c>
      <c r="E419" s="18">
        <f t="shared" si="96"/>
        <v>8.1416608000000004</v>
      </c>
      <c r="F419" s="19">
        <f t="shared" si="97"/>
        <v>8141660.7999999998</v>
      </c>
      <c r="G419" s="15">
        <f t="shared" si="103"/>
        <v>2440750.1333333342</v>
      </c>
      <c r="H419" s="15">
        <f>H417+(H$19-H$4)/15</f>
        <v>277516.80000000016</v>
      </c>
      <c r="I419" s="16">
        <f t="shared" si="100"/>
        <v>21.632333333333339</v>
      </c>
      <c r="J419" s="15">
        <f>J417+($J$185-$J$155)/15</f>
        <v>2163233.333333334</v>
      </c>
      <c r="K419" s="16">
        <v>17445</v>
      </c>
      <c r="L419" s="15">
        <f t="shared" si="101"/>
        <v>1123675.7333333325</v>
      </c>
      <c r="N419">
        <f t="shared" si="102"/>
        <v>0.01</v>
      </c>
    </row>
    <row r="420" spans="1:16" x14ac:dyDescent="0.15">
      <c r="B420" s="10">
        <f>B419+0.5</f>
        <v>2029.5</v>
      </c>
      <c r="C420" s="20">
        <f>(D420*G420+D422*F422)/F420</f>
        <v>5.5402844411056664E-6</v>
      </c>
      <c r="D420" s="17">
        <f t="shared" si="99"/>
        <v>9.9999999999999991E-6</v>
      </c>
      <c r="E420" s="18">
        <f t="shared" si="96"/>
        <v>5.7009106666666662</v>
      </c>
      <c r="F420" s="19">
        <f t="shared" si="97"/>
        <v>5700910.666666666</v>
      </c>
      <c r="G420" s="15">
        <f t="shared" si="103"/>
        <v>1545166.6666666663</v>
      </c>
      <c r="H420" s="15">
        <v>0</v>
      </c>
      <c r="I420" s="16">
        <f t="shared" si="100"/>
        <v>15.451666666666663</v>
      </c>
      <c r="J420" s="15">
        <f>J418+($J$186-$J$156)/15</f>
        <v>1545166.6666666663</v>
      </c>
      <c r="K420" s="16">
        <f>L420*M420/1000000</f>
        <v>0</v>
      </c>
      <c r="L420" s="15">
        <f t="shared" si="101"/>
        <v>1123675.7333333325</v>
      </c>
      <c r="N420">
        <f t="shared" si="102"/>
        <v>0.01</v>
      </c>
    </row>
    <row r="421" spans="1:16" x14ac:dyDescent="0.15">
      <c r="A421">
        <f>A419+1</f>
        <v>15</v>
      </c>
      <c r="B421" s="10">
        <f>B419+1</f>
        <v>2030</v>
      </c>
      <c r="C421" s="20">
        <f>(D421*G421+D422*F422)/F421</f>
        <v>4.1978136091154798</v>
      </c>
      <c r="D421" s="17">
        <f t="shared" si="99"/>
        <v>6.8615169444046753</v>
      </c>
      <c r="E421" s="18">
        <f t="shared" si="96"/>
        <v>4.1557440000000003</v>
      </c>
      <c r="F421" s="19">
        <f>F422+H421+J421</f>
        <v>4155744</v>
      </c>
      <c r="G421" s="15">
        <f t="shared" si="103"/>
        <v>2542444</v>
      </c>
      <c r="H421" s="15">
        <f>H419+(H$19-H$4)/15</f>
        <v>283824.00000000017</v>
      </c>
      <c r="I421" s="16">
        <f t="shared" si="100"/>
        <v>22.586200000000002</v>
      </c>
      <c r="J421" s="15">
        <f>O406*O415</f>
        <v>2258620</v>
      </c>
      <c r="K421" s="16">
        <v>17445</v>
      </c>
      <c r="L421" s="15">
        <f t="shared" si="101"/>
        <v>1129046.9999999991</v>
      </c>
      <c r="N421">
        <f t="shared" si="102"/>
        <v>0.01</v>
      </c>
    </row>
    <row r="422" spans="1:16" x14ac:dyDescent="0.15">
      <c r="B422" s="10">
        <f>B421+0.5</f>
        <v>2030.5</v>
      </c>
      <c r="C422" s="20">
        <f>(D422*G422)/F422</f>
        <v>9.9999999999999991E-6</v>
      </c>
      <c r="D422" s="17">
        <f t="shared" si="99"/>
        <v>9.9999999999999991E-6</v>
      </c>
      <c r="E422" s="18">
        <f t="shared" si="96"/>
        <v>1.6133</v>
      </c>
      <c r="F422" s="19">
        <f>F423+H422+J422</f>
        <v>1613300</v>
      </c>
      <c r="G422" s="15">
        <f t="shared" si="103"/>
        <v>1613300</v>
      </c>
      <c r="H422" s="15">
        <v>0</v>
      </c>
      <c r="I422" s="16">
        <f t="shared" si="100"/>
        <v>16.132999999999999</v>
      </c>
      <c r="J422" s="15">
        <f>O406*O416</f>
        <v>1613300</v>
      </c>
      <c r="K422" s="16">
        <f>L422*M422/1000000</f>
        <v>0</v>
      </c>
      <c r="L422" s="15">
        <f t="shared" si="101"/>
        <v>1129046.9999999991</v>
      </c>
      <c r="N422">
        <f t="shared" si="102"/>
        <v>0.01</v>
      </c>
    </row>
    <row r="423" spans="1:16" x14ac:dyDescent="0.15">
      <c r="C423" s="17"/>
      <c r="D423" s="7"/>
      <c r="E423" s="7"/>
      <c r="F423" s="15"/>
      <c r="G423" s="15"/>
      <c r="H423" s="15"/>
      <c r="I423" s="16"/>
      <c r="L423" s="15"/>
    </row>
    <row r="425" spans="1:16" ht="56" x14ac:dyDescent="0.15">
      <c r="A425" s="119" t="s">
        <v>681</v>
      </c>
      <c r="B425" s="12"/>
      <c r="C425" s="12" t="s">
        <v>1172</v>
      </c>
      <c r="D425" s="13" t="s">
        <v>1166</v>
      </c>
      <c r="E425" s="13" t="s">
        <v>751</v>
      </c>
      <c r="F425" s="13" t="s">
        <v>751</v>
      </c>
      <c r="G425" s="13" t="s">
        <v>1088</v>
      </c>
      <c r="H425" s="13" t="s">
        <v>883</v>
      </c>
      <c r="I425" s="12" t="s">
        <v>1102</v>
      </c>
      <c r="J425" s="13" t="s">
        <v>1103</v>
      </c>
      <c r="K425" s="13" t="s">
        <v>745</v>
      </c>
      <c r="L425" s="13" t="s">
        <v>898</v>
      </c>
      <c r="M425" s="12" t="s">
        <v>750</v>
      </c>
      <c r="N425" s="13" t="s">
        <v>1101</v>
      </c>
      <c r="O425" s="12"/>
      <c r="P425" s="12"/>
    </row>
    <row r="426" spans="1:16" x14ac:dyDescent="0.15">
      <c r="A426" s="1" t="s">
        <v>746</v>
      </c>
      <c r="B426" s="1" t="s">
        <v>747</v>
      </c>
      <c r="C426" s="1"/>
      <c r="D426" s="14" t="s">
        <v>1188</v>
      </c>
      <c r="E426" s="14" t="s">
        <v>1104</v>
      </c>
      <c r="F426" s="14" t="s">
        <v>718</v>
      </c>
      <c r="G426" s="14" t="s">
        <v>749</v>
      </c>
      <c r="H426" s="14" t="s">
        <v>749</v>
      </c>
      <c r="I426" s="14" t="s">
        <v>884</v>
      </c>
      <c r="J426" s="14" t="s">
        <v>749</v>
      </c>
      <c r="K426" s="14" t="s">
        <v>884</v>
      </c>
      <c r="L426" s="14" t="s">
        <v>1144</v>
      </c>
      <c r="M426" s="1" t="s">
        <v>885</v>
      </c>
      <c r="N426" s="14" t="s">
        <v>1188</v>
      </c>
    </row>
    <row r="427" spans="1:16" x14ac:dyDescent="0.15">
      <c r="A427">
        <v>0</v>
      </c>
      <c r="B427" s="10">
        <v>2015</v>
      </c>
      <c r="C427" s="20">
        <f t="shared" ref="C427:C455" si="104">(D427*G427+D429*F429)/F427</f>
        <v>1.7219827002233588E-2</v>
      </c>
      <c r="D427" s="17">
        <f>(K427*1000/G427*1000)+(I427/G427*1000)</f>
        <v>1.7309985093939644E-2</v>
      </c>
      <c r="E427" s="18">
        <f t="shared" ref="E427:E458" si="105">F427/1000000</f>
        <v>46.112639999999999</v>
      </c>
      <c r="F427" s="19">
        <f t="shared" ref="F427:F456" si="106">F428+H427+J427</f>
        <v>46112640</v>
      </c>
      <c r="G427" s="15">
        <f t="shared" ref="G427:G433" si="107">H427+J427</f>
        <v>1017036</v>
      </c>
      <c r="H427" s="15">
        <f>6*60*60*24*365/1000</f>
        <v>189216</v>
      </c>
      <c r="I427" s="16">
        <f>J427*1000*$N427/1000000</f>
        <v>16.5564</v>
      </c>
      <c r="J427" s="15">
        <f>45*60*60*24*365/1000*O$179</f>
        <v>827820</v>
      </c>
      <c r="K427" s="16">
        <f>L427*$M$427/1000000</f>
        <v>1.048478E-3</v>
      </c>
      <c r="L427" s="15">
        <v>1048478</v>
      </c>
      <c r="M427">
        <v>1E-3</v>
      </c>
      <c r="N427" s="83">
        <v>0.02</v>
      </c>
    </row>
    <row r="428" spans="1:16" x14ac:dyDescent="0.15">
      <c r="B428" s="10">
        <v>2015.5</v>
      </c>
      <c r="C428" s="20">
        <f t="shared" si="104"/>
        <v>1.9503840832615672E-2</v>
      </c>
      <c r="D428" s="17">
        <f>(K428*1000/G428*1000)+(I428/G428*1000)</f>
        <v>0.02</v>
      </c>
      <c r="E428" s="18">
        <f t="shared" si="105"/>
        <v>45.095604000000002</v>
      </c>
      <c r="F428" s="19">
        <f t="shared" si="106"/>
        <v>45095604</v>
      </c>
      <c r="G428" s="15">
        <f t="shared" si="107"/>
        <v>591300</v>
      </c>
      <c r="H428" s="15">
        <v>0</v>
      </c>
      <c r="I428" s="16">
        <f t="shared" ref="I428:I458" si="108">J428*1000*$N428/1000000</f>
        <v>11.826000000000001</v>
      </c>
      <c r="J428" s="15">
        <f>45*60*60*24*365/1000*O$180</f>
        <v>591300</v>
      </c>
      <c r="K428" s="16">
        <f>L428*M428/1000000</f>
        <v>0</v>
      </c>
      <c r="L428" s="15">
        <v>1048478</v>
      </c>
      <c r="M428">
        <v>0</v>
      </c>
      <c r="N428" s="83">
        <f>N427</f>
        <v>0.02</v>
      </c>
    </row>
    <row r="429" spans="1:16" x14ac:dyDescent="0.15">
      <c r="A429">
        <f>A427+1</f>
        <v>1</v>
      </c>
      <c r="B429" s="10">
        <f>B427+1</f>
        <v>2016</v>
      </c>
      <c r="C429" s="20">
        <f t="shared" si="104"/>
        <v>1.7297307799234159E-2</v>
      </c>
      <c r="D429" s="17">
        <f t="shared" ref="D429:D457" si="109">(K429*1000/G429*1000)+(I429/G429*1000)</f>
        <v>1.7446555403186997E-2</v>
      </c>
      <c r="E429" s="18">
        <f t="shared" si="105"/>
        <v>44.504303999999998</v>
      </c>
      <c r="F429" s="19">
        <f t="shared" si="106"/>
        <v>44504304</v>
      </c>
      <c r="G429" s="15">
        <f t="shared" si="107"/>
        <v>1118729.8666666667</v>
      </c>
      <c r="H429" s="15">
        <f>H427+(H$19-H$4)/15</f>
        <v>195523.20000000001</v>
      </c>
      <c r="I429" s="16">
        <f t="shared" si="108"/>
        <v>18.464133333333333</v>
      </c>
      <c r="J429" s="15">
        <f>J427+($J$185-$J$155)/15</f>
        <v>923206.66666666663</v>
      </c>
      <c r="K429" s="16">
        <f>L429*$M$427/1000000</f>
        <v>1.0538492666666665E-3</v>
      </c>
      <c r="L429" s="15">
        <f t="shared" ref="L429:L458" si="110">L427+(L$19-L$4)/15</f>
        <v>1053849.2666666666</v>
      </c>
      <c r="M429">
        <v>1E-3</v>
      </c>
      <c r="N429" s="83">
        <f>N427</f>
        <v>0.02</v>
      </c>
    </row>
    <row r="430" spans="1:16" x14ac:dyDescent="0.15">
      <c r="B430" s="10">
        <v>2016.5</v>
      </c>
      <c r="C430" s="20">
        <f t="shared" si="104"/>
        <v>1.9437405747088788E-2</v>
      </c>
      <c r="D430" s="17">
        <f t="shared" si="109"/>
        <v>0.02</v>
      </c>
      <c r="E430" s="18">
        <f t="shared" si="105"/>
        <v>43.385574133333336</v>
      </c>
      <c r="F430" s="19">
        <f t="shared" si="106"/>
        <v>43385574.133333333</v>
      </c>
      <c r="G430" s="15">
        <f t="shared" si="107"/>
        <v>659433.33333333337</v>
      </c>
      <c r="H430" s="15">
        <v>0</v>
      </c>
      <c r="I430" s="16">
        <f t="shared" si="108"/>
        <v>13.188666666666668</v>
      </c>
      <c r="J430" s="15">
        <f>J428+($J$186-$J$156)/15</f>
        <v>659433.33333333337</v>
      </c>
      <c r="K430" s="16">
        <f>L430*M430/1000000</f>
        <v>0</v>
      </c>
      <c r="L430" s="15">
        <f t="shared" si="110"/>
        <v>1053849.2666666666</v>
      </c>
      <c r="M430">
        <v>0</v>
      </c>
      <c r="N430">
        <f t="shared" ref="N430:N458" si="111">N428</f>
        <v>0.02</v>
      </c>
    </row>
    <row r="431" spans="1:16" x14ac:dyDescent="0.15">
      <c r="A431">
        <f>A429+1</f>
        <v>2</v>
      </c>
      <c r="B431" s="10">
        <f>B429+1</f>
        <v>2017</v>
      </c>
      <c r="C431" s="20">
        <f t="shared" si="104"/>
        <v>1.7353248976282157E-2</v>
      </c>
      <c r="D431" s="17">
        <f t="shared" si="109"/>
        <v>1.7560365809558165E-2</v>
      </c>
      <c r="E431" s="18">
        <f t="shared" si="105"/>
        <v>42.726140799999996</v>
      </c>
      <c r="F431" s="19">
        <f t="shared" si="106"/>
        <v>42726140.799999997</v>
      </c>
      <c r="G431" s="15">
        <f t="shared" si="107"/>
        <v>1220423.7333333334</v>
      </c>
      <c r="H431" s="15">
        <f>H429+(H$19-H$4)/15</f>
        <v>201830.40000000002</v>
      </c>
      <c r="I431" s="16">
        <f t="shared" si="108"/>
        <v>20.371866666666666</v>
      </c>
      <c r="J431" s="15">
        <f>J429+($J$185-$J$155)/15</f>
        <v>1018593.3333333333</v>
      </c>
      <c r="K431" s="16">
        <f>L431*$M$427/1000000</f>
        <v>1.059220533333333E-3</v>
      </c>
      <c r="L431" s="15">
        <f t="shared" si="110"/>
        <v>1059220.5333333332</v>
      </c>
      <c r="M431">
        <v>1E-3</v>
      </c>
      <c r="N431">
        <f t="shared" si="111"/>
        <v>0.02</v>
      </c>
    </row>
    <row r="432" spans="1:16" x14ac:dyDescent="0.15">
      <c r="B432" s="10">
        <f>B431+0.5</f>
        <v>2017.5</v>
      </c>
      <c r="C432" s="20">
        <f t="shared" si="104"/>
        <v>1.9362922655750577E-2</v>
      </c>
      <c r="D432" s="17">
        <f t="shared" si="109"/>
        <v>0.02</v>
      </c>
      <c r="E432" s="18">
        <f t="shared" si="105"/>
        <v>41.505717066666662</v>
      </c>
      <c r="F432" s="19">
        <f t="shared" si="106"/>
        <v>41505717.066666663</v>
      </c>
      <c r="G432" s="15">
        <f t="shared" si="107"/>
        <v>727566.66666666674</v>
      </c>
      <c r="H432" s="15">
        <v>0</v>
      </c>
      <c r="I432" s="16">
        <f t="shared" si="108"/>
        <v>14.551333333333336</v>
      </c>
      <c r="J432" s="15">
        <f>J430+($J$186-$J$156)/15</f>
        <v>727566.66666666674</v>
      </c>
      <c r="K432" s="16">
        <f>L432*M432/1000000</f>
        <v>0</v>
      </c>
      <c r="L432" s="15">
        <f t="shared" si="110"/>
        <v>1059220.5333333332</v>
      </c>
      <c r="M432">
        <v>0</v>
      </c>
      <c r="N432">
        <f t="shared" si="111"/>
        <v>0.02</v>
      </c>
    </row>
    <row r="433" spans="1:16" x14ac:dyDescent="0.15">
      <c r="A433">
        <f>A431+1</f>
        <v>3</v>
      </c>
      <c r="B433" s="10">
        <f>B431+1</f>
        <v>2018</v>
      </c>
      <c r="C433" s="20">
        <f t="shared" si="104"/>
        <v>1.7390394226615032E-2</v>
      </c>
      <c r="D433" s="17">
        <f t="shared" si="109"/>
        <v>1.7656668211662865E-2</v>
      </c>
      <c r="E433" s="18">
        <f t="shared" si="105"/>
        <v>40.778150400000001</v>
      </c>
      <c r="F433" s="19">
        <f t="shared" si="106"/>
        <v>40778150.399999999</v>
      </c>
      <c r="G433" s="15">
        <f t="shared" si="107"/>
        <v>1322117.6000000001</v>
      </c>
      <c r="H433" s="15">
        <f>H431+(H$19-H$4)/15</f>
        <v>208137.60000000003</v>
      </c>
      <c r="I433" s="16">
        <f t="shared" si="108"/>
        <v>22.279599999999999</v>
      </c>
      <c r="J433" s="15">
        <f>J431+($J$185-$J$155)/15</f>
        <v>1113980</v>
      </c>
      <c r="K433" s="16">
        <f>L433*$M$427/1000000</f>
        <v>1.0645918E-3</v>
      </c>
      <c r="L433" s="15">
        <f t="shared" si="110"/>
        <v>1064591.7999999998</v>
      </c>
      <c r="M433">
        <v>1E-3</v>
      </c>
      <c r="N433">
        <f t="shared" si="111"/>
        <v>0.02</v>
      </c>
    </row>
    <row r="434" spans="1:16" x14ac:dyDescent="0.15">
      <c r="B434" s="10">
        <f>B433+0.5</f>
        <v>2018.5</v>
      </c>
      <c r="C434" s="20">
        <f t="shared" si="104"/>
        <v>1.9278279459121566E-2</v>
      </c>
      <c r="D434" s="17">
        <f t="shared" si="109"/>
        <v>1.9999999999999997E-2</v>
      </c>
      <c r="E434" s="18">
        <f t="shared" si="105"/>
        <v>39.456032799999996</v>
      </c>
      <c r="F434" s="19">
        <f t="shared" si="106"/>
        <v>39456032.799999997</v>
      </c>
      <c r="G434" s="15">
        <f t="shared" ref="G434:G458" si="112">H434+J434</f>
        <v>795700.00000000012</v>
      </c>
      <c r="H434" s="15">
        <v>0</v>
      </c>
      <c r="I434" s="16">
        <f t="shared" si="108"/>
        <v>15.914000000000001</v>
      </c>
      <c r="J434" s="15">
        <f>J432+($J$186-$J$156)/15</f>
        <v>795700.00000000012</v>
      </c>
      <c r="K434" s="16">
        <f>L434*M434/1000000</f>
        <v>0</v>
      </c>
      <c r="L434" s="15">
        <f t="shared" si="110"/>
        <v>1064591.7999999998</v>
      </c>
      <c r="M434">
        <v>0</v>
      </c>
      <c r="N434">
        <f t="shared" si="111"/>
        <v>0.02</v>
      </c>
    </row>
    <row r="435" spans="1:16" x14ac:dyDescent="0.15">
      <c r="A435">
        <f>A433+1</f>
        <v>4</v>
      </c>
      <c r="B435" s="10">
        <f>B433+1</f>
        <v>2019</v>
      </c>
      <c r="C435" s="20">
        <f t="shared" si="104"/>
        <v>1.7410153110204218E-2</v>
      </c>
      <c r="D435" s="17">
        <f t="shared" si="109"/>
        <v>1.773921406822963E-2</v>
      </c>
      <c r="E435" s="18">
        <f t="shared" si="105"/>
        <v>38.660332799999999</v>
      </c>
      <c r="F435" s="19">
        <f t="shared" si="106"/>
        <v>38660332.799999997</v>
      </c>
      <c r="G435" s="15">
        <f t="shared" si="112"/>
        <v>1423811.4666666668</v>
      </c>
      <c r="H435" s="15">
        <f>H433+(H$19-H$4)/15</f>
        <v>214444.80000000005</v>
      </c>
      <c r="I435" s="16">
        <f t="shared" si="108"/>
        <v>24.187333333333335</v>
      </c>
      <c r="J435" s="15">
        <f>J433+($J$185-$J$155)/15</f>
        <v>1209366.6666666667</v>
      </c>
      <c r="K435" s="16">
        <f>L435*$M$427/1000000</f>
        <v>1.0699630666666665E-3</v>
      </c>
      <c r="L435" s="15">
        <f t="shared" si="110"/>
        <v>1069963.0666666664</v>
      </c>
      <c r="M435">
        <v>1E-3</v>
      </c>
      <c r="N435">
        <f t="shared" si="111"/>
        <v>0.02</v>
      </c>
    </row>
    <row r="436" spans="1:16" x14ac:dyDescent="0.15">
      <c r="B436" s="10">
        <f>B435+0.5</f>
        <v>2019.5</v>
      </c>
      <c r="C436" s="20">
        <f t="shared" si="104"/>
        <v>1.9180640253864026E-2</v>
      </c>
      <c r="D436" s="17">
        <f t="shared" si="109"/>
        <v>0.02</v>
      </c>
      <c r="E436" s="18">
        <f t="shared" si="105"/>
        <v>37.236521333333336</v>
      </c>
      <c r="F436" s="19">
        <f t="shared" si="106"/>
        <v>37236521.333333336</v>
      </c>
      <c r="G436" s="15">
        <f t="shared" si="112"/>
        <v>863833.33333333349</v>
      </c>
      <c r="H436" s="15">
        <v>0</v>
      </c>
      <c r="I436" s="16">
        <f t="shared" si="108"/>
        <v>17.276666666666671</v>
      </c>
      <c r="J436" s="15">
        <f>J434+($J$186-$J$156)/15</f>
        <v>863833.33333333349</v>
      </c>
      <c r="K436" s="16">
        <f>L436*M436/1000000</f>
        <v>0</v>
      </c>
      <c r="L436" s="15">
        <f t="shared" si="110"/>
        <v>1069963.0666666664</v>
      </c>
      <c r="M436">
        <v>0</v>
      </c>
      <c r="N436">
        <f t="shared" si="111"/>
        <v>0.02</v>
      </c>
    </row>
    <row r="437" spans="1:16" x14ac:dyDescent="0.15">
      <c r="A437">
        <f>A435+1</f>
        <v>5</v>
      </c>
      <c r="B437" s="10">
        <f>B435+1</f>
        <v>2020</v>
      </c>
      <c r="C437" s="20">
        <f t="shared" si="104"/>
        <v>1.7412763843413715E-2</v>
      </c>
      <c r="D437" s="17">
        <f t="shared" si="109"/>
        <v>1.7810754512821544E-2</v>
      </c>
      <c r="E437" s="18">
        <f t="shared" si="105"/>
        <v>36.372687999999997</v>
      </c>
      <c r="F437" s="19">
        <f t="shared" si="106"/>
        <v>36372688</v>
      </c>
      <c r="G437" s="15">
        <f t="shared" si="112"/>
        <v>1525505.3333333335</v>
      </c>
      <c r="H437" s="15">
        <f>H435+(H$19-H$4)/15</f>
        <v>220752.00000000006</v>
      </c>
      <c r="I437" s="16">
        <f t="shared" si="108"/>
        <v>26.095066666666671</v>
      </c>
      <c r="J437" s="15">
        <f>J435+($J$185-$J$155)/15</f>
        <v>1304753.3333333335</v>
      </c>
      <c r="K437" s="16">
        <f>L437*$M$427/1000000</f>
        <v>1.075334333333333E-3</v>
      </c>
      <c r="L437" s="15">
        <f t="shared" si="110"/>
        <v>1075334.333333333</v>
      </c>
      <c r="M437">
        <v>1E-3</v>
      </c>
      <c r="N437">
        <f t="shared" si="111"/>
        <v>0.02</v>
      </c>
    </row>
    <row r="438" spans="1:16" x14ac:dyDescent="0.15">
      <c r="B438" s="10">
        <f>B437+0.5</f>
        <v>2020.5</v>
      </c>
      <c r="C438" s="20">
        <f t="shared" si="104"/>
        <v>1.9066094257567334E-2</v>
      </c>
      <c r="D438" s="17">
        <f t="shared" si="109"/>
        <v>0.02</v>
      </c>
      <c r="E438" s="18">
        <f t="shared" si="105"/>
        <v>34.847182666666662</v>
      </c>
      <c r="F438" s="19">
        <f t="shared" si="106"/>
        <v>34847182.666666664</v>
      </c>
      <c r="G438" s="15">
        <f t="shared" si="112"/>
        <v>931966.66666666686</v>
      </c>
      <c r="H438" s="15">
        <v>0</v>
      </c>
      <c r="I438" s="16">
        <f t="shared" si="108"/>
        <v>18.63933333333334</v>
      </c>
      <c r="J438" s="15">
        <f>J436+($J$186-$J$156)/15</f>
        <v>931966.66666666686</v>
      </c>
      <c r="K438" s="16">
        <f>L438*M438/1000000</f>
        <v>0</v>
      </c>
      <c r="L438" s="15">
        <f t="shared" si="110"/>
        <v>1075334.333333333</v>
      </c>
      <c r="M438">
        <v>0</v>
      </c>
      <c r="N438">
        <f t="shared" si="111"/>
        <v>0.02</v>
      </c>
    </row>
    <row r="439" spans="1:16" x14ac:dyDescent="0.15">
      <c r="A439">
        <f>A437+1</f>
        <v>6</v>
      </c>
      <c r="B439" s="10">
        <f>B437+1</f>
        <v>2021</v>
      </c>
      <c r="C439" s="20">
        <f t="shared" si="104"/>
        <v>1.7397254729870804E-2</v>
      </c>
      <c r="D439" s="17">
        <f t="shared" si="109"/>
        <v>1.7873352936751689E-2</v>
      </c>
      <c r="E439" s="18">
        <f t="shared" si="105"/>
        <v>33.915216000000001</v>
      </c>
      <c r="F439" s="19">
        <f t="shared" si="106"/>
        <v>33915216</v>
      </c>
      <c r="G439" s="15">
        <f t="shared" si="112"/>
        <v>1627199.2000000002</v>
      </c>
      <c r="H439" s="15">
        <f>H437+(H$19-H$4)/15</f>
        <v>227059.20000000007</v>
      </c>
      <c r="I439" s="16">
        <f t="shared" si="108"/>
        <v>28.002800000000004</v>
      </c>
      <c r="J439" s="15">
        <f>J437+($J$185-$J$155)/15</f>
        <v>1400140.0000000002</v>
      </c>
      <c r="K439" s="16">
        <f>L439*$M$427/1000000</f>
        <v>1.0807055999999995E-3</v>
      </c>
      <c r="L439" s="15">
        <f t="shared" si="110"/>
        <v>1080705.5999999996</v>
      </c>
      <c r="M439">
        <v>1E-3</v>
      </c>
      <c r="N439">
        <f t="shared" si="111"/>
        <v>0.02</v>
      </c>
    </row>
    <row r="440" spans="1:16" x14ac:dyDescent="0.15">
      <c r="B440" s="10">
        <f>B439+0.5</f>
        <v>2021.5</v>
      </c>
      <c r="C440" s="20">
        <f t="shared" si="104"/>
        <v>1.8929080669540122E-2</v>
      </c>
      <c r="D440" s="17">
        <f t="shared" si="109"/>
        <v>1.9999999999999997E-2</v>
      </c>
      <c r="E440" s="18">
        <f t="shared" si="105"/>
        <v>32.288016800000001</v>
      </c>
      <c r="F440" s="19">
        <f t="shared" si="106"/>
        <v>32288016.800000001</v>
      </c>
      <c r="G440" s="15">
        <f t="shared" si="112"/>
        <v>1000100.0000000002</v>
      </c>
      <c r="H440" s="15">
        <v>0</v>
      </c>
      <c r="I440" s="16">
        <f t="shared" si="108"/>
        <v>20.002000000000002</v>
      </c>
      <c r="J440" s="15">
        <f>J438+($J$186-$J$156)/15</f>
        <v>1000100.0000000002</v>
      </c>
      <c r="K440" s="16">
        <f>L440*M440/1000000</f>
        <v>0</v>
      </c>
      <c r="L440" s="15">
        <f t="shared" si="110"/>
        <v>1080705.5999999996</v>
      </c>
      <c r="M440">
        <v>0</v>
      </c>
      <c r="N440">
        <f t="shared" si="111"/>
        <v>0.02</v>
      </c>
    </row>
    <row r="441" spans="1:16" x14ac:dyDescent="0.15">
      <c r="A441">
        <f>A439+1</f>
        <v>7</v>
      </c>
      <c r="B441" s="10">
        <f>B439+1</f>
        <v>2022</v>
      </c>
      <c r="C441" s="20">
        <f t="shared" si="104"/>
        <v>1.7361176899075056E-2</v>
      </c>
      <c r="D441" s="17">
        <f t="shared" si="109"/>
        <v>1.7928587254827714E-2</v>
      </c>
      <c r="E441" s="18">
        <f t="shared" si="105"/>
        <v>31.287916800000001</v>
      </c>
      <c r="F441" s="19">
        <f t="shared" si="106"/>
        <v>31287916.800000001</v>
      </c>
      <c r="G441" s="15">
        <f t="shared" si="112"/>
        <v>1728893.0666666671</v>
      </c>
      <c r="H441" s="15">
        <f>H439+(H$19-H$4)/15</f>
        <v>233366.40000000008</v>
      </c>
      <c r="I441" s="16">
        <f t="shared" si="108"/>
        <v>29.910533333333341</v>
      </c>
      <c r="J441" s="15">
        <f>J439+($J$185-$J$155)/15</f>
        <v>1495526.666666667</v>
      </c>
      <c r="K441" s="16">
        <f>L441*$M$427/1000000</f>
        <v>1.0860768666666662E-3</v>
      </c>
      <c r="L441" s="15">
        <f t="shared" si="110"/>
        <v>1086076.8666666662</v>
      </c>
      <c r="M441">
        <v>1E-3</v>
      </c>
      <c r="N441">
        <f t="shared" si="111"/>
        <v>0.02</v>
      </c>
    </row>
    <row r="442" spans="1:16" x14ac:dyDescent="0.15">
      <c r="B442" s="10">
        <f>B441+0.5</f>
        <v>2022.5</v>
      </c>
      <c r="C442" s="20">
        <f t="shared" si="104"/>
        <v>1.8761402304860963E-2</v>
      </c>
      <c r="D442" s="17">
        <f t="shared" si="109"/>
        <v>0.02</v>
      </c>
      <c r="E442" s="18">
        <f t="shared" si="105"/>
        <v>29.559023733333333</v>
      </c>
      <c r="F442" s="19">
        <f t="shared" si="106"/>
        <v>29559023.733333334</v>
      </c>
      <c r="G442" s="15">
        <f t="shared" si="112"/>
        <v>1068233.3333333335</v>
      </c>
      <c r="H442" s="15">
        <v>0</v>
      </c>
      <c r="I442" s="16">
        <f t="shared" si="108"/>
        <v>21.364666666666672</v>
      </c>
      <c r="J442" s="15">
        <f>J440+($J$186-$J$156)/15</f>
        <v>1068233.3333333335</v>
      </c>
      <c r="K442" s="16">
        <f>L442*M442/1000000</f>
        <v>0</v>
      </c>
      <c r="L442" s="15">
        <f t="shared" si="110"/>
        <v>1086076.8666666662</v>
      </c>
      <c r="M442">
        <v>0</v>
      </c>
      <c r="N442">
        <f t="shared" si="111"/>
        <v>0.02</v>
      </c>
      <c r="O442" s="15">
        <v>3871920</v>
      </c>
      <c r="P442" t="s">
        <v>911</v>
      </c>
    </row>
    <row r="443" spans="1:16" x14ac:dyDescent="0.15">
      <c r="A443">
        <f>A441+1</f>
        <v>8</v>
      </c>
      <c r="B443" s="10">
        <f>B441+1</f>
        <v>2023</v>
      </c>
      <c r="C443" s="20">
        <f t="shared" si="104"/>
        <v>1.7299992436421573E-2</v>
      </c>
      <c r="D443" s="17">
        <f t="shared" si="109"/>
        <v>1.7977684752766364E-2</v>
      </c>
      <c r="E443" s="18">
        <f t="shared" si="105"/>
        <v>28.490790400000002</v>
      </c>
      <c r="F443" s="19">
        <f t="shared" si="106"/>
        <v>28490790.400000002</v>
      </c>
      <c r="G443" s="15">
        <f t="shared" si="112"/>
        <v>1830586.9333333338</v>
      </c>
      <c r="H443" s="15">
        <f>H441+(H$19-H$4)/15</f>
        <v>239673.60000000009</v>
      </c>
      <c r="I443" s="16">
        <f t="shared" si="108"/>
        <v>31.818266666666677</v>
      </c>
      <c r="J443" s="15">
        <f>J441+($J$185-$J$155)/15</f>
        <v>1590913.3333333337</v>
      </c>
      <c r="K443" s="16">
        <f>L443*$M$427/1000000</f>
        <v>1.0914481333333329E-3</v>
      </c>
      <c r="L443" s="15">
        <f t="shared" si="110"/>
        <v>1091448.1333333328</v>
      </c>
      <c r="M443">
        <v>1E-3</v>
      </c>
      <c r="N443">
        <f t="shared" si="111"/>
        <v>0.02</v>
      </c>
      <c r="O443" s="16">
        <v>118000000</v>
      </c>
      <c r="P443" t="s">
        <v>755</v>
      </c>
    </row>
    <row r="444" spans="1:16" x14ac:dyDescent="0.15">
      <c r="B444" s="10">
        <f>B443+0.5</f>
        <v>2023.5</v>
      </c>
      <c r="C444" s="20">
        <f t="shared" si="104"/>
        <v>1.8550438069674942E-2</v>
      </c>
      <c r="D444" s="17">
        <f t="shared" si="109"/>
        <v>1.9999999999999997E-2</v>
      </c>
      <c r="E444" s="18">
        <f t="shared" si="105"/>
        <v>26.660203466666669</v>
      </c>
      <c r="F444" s="19">
        <f t="shared" si="106"/>
        <v>26660203.466666669</v>
      </c>
      <c r="G444" s="15">
        <f t="shared" si="112"/>
        <v>1136366.6666666667</v>
      </c>
      <c r="H444" s="15">
        <v>0</v>
      </c>
      <c r="I444" s="16">
        <f t="shared" si="108"/>
        <v>22.727333333333334</v>
      </c>
      <c r="J444" s="15">
        <f>J442+($J$186-$J$156)/15</f>
        <v>1136366.6666666667</v>
      </c>
      <c r="K444" s="16">
        <f>L444*M444/1000000</f>
        <v>0</v>
      </c>
      <c r="L444" s="15">
        <f t="shared" si="110"/>
        <v>1091448.1333333328</v>
      </c>
      <c r="M444">
        <v>0</v>
      </c>
      <c r="N444">
        <f t="shared" si="111"/>
        <v>0.02</v>
      </c>
      <c r="O444" s="15">
        <v>2932848</v>
      </c>
      <c r="P444" t="s">
        <v>966</v>
      </c>
    </row>
    <row r="445" spans="1:16" x14ac:dyDescent="0.15">
      <c r="A445">
        <f>A443+1</f>
        <v>9</v>
      </c>
      <c r="B445" s="10">
        <f>B443+1</f>
        <v>2024</v>
      </c>
      <c r="C445" s="20">
        <f t="shared" si="104"/>
        <v>1.7205831014830929E-2</v>
      </c>
      <c r="D445" s="17">
        <f t="shared" si="109"/>
        <v>1.802161435335899E-2</v>
      </c>
      <c r="E445" s="18">
        <f t="shared" si="105"/>
        <v>25.523836800000002</v>
      </c>
      <c r="F445" s="19">
        <f t="shared" si="106"/>
        <v>25523836.800000001</v>
      </c>
      <c r="G445" s="15">
        <f t="shared" si="112"/>
        <v>1932280.8000000005</v>
      </c>
      <c r="H445" s="15">
        <f>H443+(H$19-H$4)/15</f>
        <v>245980.8000000001</v>
      </c>
      <c r="I445" s="16">
        <f t="shared" si="108"/>
        <v>33.726000000000006</v>
      </c>
      <c r="J445" s="15">
        <f>J443+($J$185-$J$155)/15</f>
        <v>1686300.0000000005</v>
      </c>
      <c r="K445" s="16">
        <f>L445*$M$427/1000000</f>
        <v>1.0968193999999994E-3</v>
      </c>
      <c r="L445" s="15">
        <f t="shared" si="110"/>
        <v>1096819.3999999994</v>
      </c>
      <c r="M445">
        <v>1E-3</v>
      </c>
      <c r="N445">
        <f t="shared" si="111"/>
        <v>0.02</v>
      </c>
      <c r="O445" s="15">
        <v>283824</v>
      </c>
      <c r="P445" t="s">
        <v>965</v>
      </c>
    </row>
    <row r="446" spans="1:16" x14ac:dyDescent="0.15">
      <c r="B446" s="10">
        <f>B445+0.5</f>
        <v>2024.5</v>
      </c>
      <c r="C446" s="20">
        <f t="shared" si="104"/>
        <v>1.8275675697977133E-2</v>
      </c>
      <c r="D446" s="17">
        <f t="shared" si="109"/>
        <v>1.9999999999999997E-2</v>
      </c>
      <c r="E446" s="18">
        <f t="shared" si="105"/>
        <v>23.591556000000001</v>
      </c>
      <c r="F446" s="19">
        <f t="shared" si="106"/>
        <v>23591556</v>
      </c>
      <c r="G446" s="15">
        <f t="shared" si="112"/>
        <v>1204500</v>
      </c>
      <c r="H446" s="15">
        <v>0</v>
      </c>
      <c r="I446" s="16">
        <f t="shared" si="108"/>
        <v>24.09</v>
      </c>
      <c r="J446" s="15">
        <f>J444+($J$186-$J$156)/15</f>
        <v>1204500</v>
      </c>
      <c r="K446" s="16">
        <f>L446*M446/1000000</f>
        <v>0</v>
      </c>
      <c r="L446" s="15">
        <f t="shared" si="110"/>
        <v>1096819.3999999994</v>
      </c>
      <c r="M446">
        <v>0</v>
      </c>
      <c r="N446">
        <f t="shared" si="111"/>
        <v>0.02</v>
      </c>
      <c r="O446" s="15">
        <f>6*60*60*24*365/1000</f>
        <v>189216</v>
      </c>
      <c r="P446" t="s">
        <v>1105</v>
      </c>
    </row>
    <row r="447" spans="1:16" x14ac:dyDescent="0.15">
      <c r="A447">
        <f>A445+1</f>
        <v>10</v>
      </c>
      <c r="B447" s="10">
        <f>B445+1</f>
        <v>2025</v>
      </c>
      <c r="C447" s="20">
        <f t="shared" si="104"/>
        <v>1.7064919955379933E-2</v>
      </c>
      <c r="D447" s="17">
        <f t="shared" si="109"/>
        <v>1.8061151204112013E-2</v>
      </c>
      <c r="E447" s="18">
        <f t="shared" si="105"/>
        <v>22.387056000000001</v>
      </c>
      <c r="F447" s="19">
        <f t="shared" si="106"/>
        <v>22387056</v>
      </c>
      <c r="G447" s="15">
        <f t="shared" si="112"/>
        <v>2033974.6666666674</v>
      </c>
      <c r="H447" s="15">
        <f>H445+(H$19-H$4)/15</f>
        <v>252288.00000000012</v>
      </c>
      <c r="I447" s="16">
        <f t="shared" si="108"/>
        <v>35.633733333333346</v>
      </c>
      <c r="J447" s="15">
        <f>J445+($J$185-$J$155)/15</f>
        <v>1781686.6666666672</v>
      </c>
      <c r="K447" s="16">
        <f>L447*$M$427/1000000</f>
        <v>1.1021906666666662E-3</v>
      </c>
      <c r="L447" s="15">
        <f t="shared" si="110"/>
        <v>1102190.666666666</v>
      </c>
      <c r="M447">
        <v>1E-3</v>
      </c>
      <c r="N447">
        <f t="shared" si="111"/>
        <v>0.02</v>
      </c>
      <c r="O447" s="15">
        <f>36*60*60*24*365/1000</f>
        <v>1135296</v>
      </c>
      <c r="P447" t="s">
        <v>1106</v>
      </c>
    </row>
    <row r="448" spans="1:16" x14ac:dyDescent="0.15">
      <c r="B448" s="10">
        <f>B447+0.5</f>
        <v>2025.5</v>
      </c>
      <c r="C448" s="20">
        <f t="shared" si="104"/>
        <v>1.7901380632881735E-2</v>
      </c>
      <c r="D448" s="17">
        <f t="shared" si="109"/>
        <v>0.02</v>
      </c>
      <c r="E448" s="18">
        <f t="shared" si="105"/>
        <v>20.353081333333332</v>
      </c>
      <c r="F448" s="19">
        <f t="shared" si="106"/>
        <v>20353081.333333332</v>
      </c>
      <c r="G448" s="15">
        <f t="shared" si="112"/>
        <v>1272633.3333333333</v>
      </c>
      <c r="H448" s="15">
        <v>0</v>
      </c>
      <c r="I448" s="16">
        <f t="shared" si="108"/>
        <v>25.452666666666666</v>
      </c>
      <c r="J448" s="15">
        <f>J446+($J$186-$J$156)/15</f>
        <v>1272633.3333333333</v>
      </c>
      <c r="K448" s="16">
        <f>L448*M448/1000000</f>
        <v>0</v>
      </c>
      <c r="L448" s="15">
        <f t="shared" si="110"/>
        <v>1102190.666666666</v>
      </c>
      <c r="M448">
        <v>0</v>
      </c>
      <c r="N448">
        <f t="shared" si="111"/>
        <v>0.02</v>
      </c>
      <c r="O448" s="15">
        <f>18*60*60*24*365/1000</f>
        <v>567648</v>
      </c>
      <c r="P448" t="s">
        <v>964</v>
      </c>
    </row>
    <row r="449" spans="1:16" x14ac:dyDescent="0.15">
      <c r="A449">
        <f>A447+1</f>
        <v>11</v>
      </c>
      <c r="B449" s="10">
        <f>B447+1</f>
        <v>2026</v>
      </c>
      <c r="C449" s="20">
        <f t="shared" si="104"/>
        <v>1.6851862332794124E-2</v>
      </c>
      <c r="D449" s="17">
        <f t="shared" si="109"/>
        <v>1.8096922812116781E-2</v>
      </c>
      <c r="E449" s="18">
        <f t="shared" si="105"/>
        <v>19.080448000000001</v>
      </c>
      <c r="F449" s="19">
        <f t="shared" si="106"/>
        <v>19080448</v>
      </c>
      <c r="G449" s="15">
        <f t="shared" si="112"/>
        <v>2135668.5333333341</v>
      </c>
      <c r="H449" s="15">
        <f>H447+(H$19-H$4)/15</f>
        <v>258595.20000000013</v>
      </c>
      <c r="I449" s="16">
        <f t="shared" si="108"/>
        <v>37.541466666666679</v>
      </c>
      <c r="J449" s="15">
        <f>J447+($J$185-$J$155)/15</f>
        <v>1877073.333333334</v>
      </c>
      <c r="K449" s="16">
        <f>L449*$M$427/1000000</f>
        <v>1.1075619333333327E-3</v>
      </c>
      <c r="L449" s="15">
        <f t="shared" si="110"/>
        <v>1107561.9333333327</v>
      </c>
      <c r="M449">
        <v>1E-3</v>
      </c>
      <c r="N449">
        <f t="shared" si="111"/>
        <v>0.02</v>
      </c>
      <c r="O449" s="15">
        <v>1129047</v>
      </c>
      <c r="P449" t="s">
        <v>1150</v>
      </c>
    </row>
    <row r="450" spans="1:16" x14ac:dyDescent="0.15">
      <c r="B450" s="10">
        <f>B449+0.5</f>
        <v>2026.5</v>
      </c>
      <c r="C450" s="20">
        <f t="shared" si="104"/>
        <v>1.7359231019322165E-2</v>
      </c>
      <c r="D450" s="17">
        <f t="shared" si="109"/>
        <v>0.02</v>
      </c>
      <c r="E450" s="18">
        <f t="shared" si="105"/>
        <v>16.94477946666667</v>
      </c>
      <c r="F450" s="19">
        <f t="shared" si="106"/>
        <v>16944779.466666669</v>
      </c>
      <c r="G450" s="15">
        <f t="shared" si="112"/>
        <v>1340766.6666666665</v>
      </c>
      <c r="H450" s="15">
        <v>0</v>
      </c>
      <c r="I450" s="16">
        <f t="shared" si="108"/>
        <v>26.815333333333331</v>
      </c>
      <c r="J450" s="15">
        <f>J448+($J$186-$J$156)/15</f>
        <v>1340766.6666666665</v>
      </c>
      <c r="K450" s="16">
        <f>L450*M450/1000000</f>
        <v>0</v>
      </c>
      <c r="L450" s="15">
        <f t="shared" si="110"/>
        <v>1107561.9333333327</v>
      </c>
      <c r="M450">
        <v>0</v>
      </c>
      <c r="N450">
        <f t="shared" si="111"/>
        <v>0.02</v>
      </c>
      <c r="O450" s="15">
        <v>1048478</v>
      </c>
      <c r="P450" t="s">
        <v>1149</v>
      </c>
    </row>
    <row r="451" spans="1:16" x14ac:dyDescent="0.15">
      <c r="A451">
        <f>A449+1</f>
        <v>12</v>
      </c>
      <c r="B451" s="10">
        <f>B449+1</f>
        <v>2027</v>
      </c>
      <c r="C451" s="20">
        <f t="shared" si="104"/>
        <v>1.6515273131168184E-2</v>
      </c>
      <c r="D451" s="17">
        <f t="shared" si="109"/>
        <v>1.8129442597229664E-2</v>
      </c>
      <c r="E451" s="18">
        <f t="shared" si="105"/>
        <v>15.604012800000001</v>
      </c>
      <c r="F451" s="19">
        <f t="shared" si="106"/>
        <v>15604012.800000001</v>
      </c>
      <c r="G451" s="15">
        <f t="shared" si="112"/>
        <v>2237362.4000000008</v>
      </c>
      <c r="H451" s="15">
        <f>H449+(H$19-H$4)/15</f>
        <v>264902.40000000014</v>
      </c>
      <c r="I451" s="16">
        <f t="shared" si="108"/>
        <v>39.449200000000012</v>
      </c>
      <c r="J451" s="15">
        <f>J449+($J$185-$J$155)/15</f>
        <v>1972460.0000000007</v>
      </c>
      <c r="K451" s="16">
        <f>L451*$M$427/1000000</f>
        <v>1.1129331999999992E-3</v>
      </c>
      <c r="L451" s="15">
        <f t="shared" si="110"/>
        <v>1112933.1999999993</v>
      </c>
      <c r="M451">
        <v>1E-3</v>
      </c>
      <c r="N451">
        <f t="shared" si="111"/>
        <v>0.02</v>
      </c>
      <c r="O451" s="10">
        <f>7/12</f>
        <v>0.58333333333333337</v>
      </c>
      <c r="P451" s="10" t="s">
        <v>1086</v>
      </c>
    </row>
    <row r="452" spans="1:16" x14ac:dyDescent="0.15">
      <c r="B452" s="10">
        <f>B451+0.5</f>
        <v>2027.5</v>
      </c>
      <c r="C452" s="20">
        <f t="shared" si="104"/>
        <v>1.6500160927876636E-2</v>
      </c>
      <c r="D452" s="17">
        <f t="shared" si="109"/>
        <v>0.02</v>
      </c>
      <c r="E452" s="18">
        <f t="shared" si="105"/>
        <v>13.366650400000001</v>
      </c>
      <c r="F452" s="19">
        <f t="shared" si="106"/>
        <v>13366650.4</v>
      </c>
      <c r="G452" s="15">
        <f t="shared" si="112"/>
        <v>1408899.9999999998</v>
      </c>
      <c r="H452" s="15">
        <v>0</v>
      </c>
      <c r="I452" s="16">
        <f t="shared" si="108"/>
        <v>28.177999999999997</v>
      </c>
      <c r="J452" s="15">
        <f>J450+($J$186-$J$156)/15</f>
        <v>1408899.9999999998</v>
      </c>
      <c r="K452" s="16">
        <f>L452*M452/1000000</f>
        <v>0</v>
      </c>
      <c r="L452" s="15">
        <f t="shared" si="110"/>
        <v>1112933.1999999993</v>
      </c>
      <c r="M452">
        <v>0</v>
      </c>
      <c r="N452">
        <f t="shared" si="111"/>
        <v>0.02</v>
      </c>
      <c r="O452">
        <f>5/12</f>
        <v>0.41666666666666669</v>
      </c>
      <c r="P452" s="10" t="s">
        <v>1087</v>
      </c>
    </row>
    <row r="453" spans="1:16" x14ac:dyDescent="0.15">
      <c r="A453">
        <f>A451+1</f>
        <v>13</v>
      </c>
      <c r="B453" s="10">
        <f>B451+1</f>
        <v>2028</v>
      </c>
      <c r="C453" s="20">
        <f t="shared" si="104"/>
        <v>1.5934631936602096E-2</v>
      </c>
      <c r="D453" s="17">
        <f t="shared" si="109"/>
        <v>1.8159134692612783E-2</v>
      </c>
      <c r="E453" s="18">
        <f t="shared" si="105"/>
        <v>11.9577504</v>
      </c>
      <c r="F453" s="19">
        <f t="shared" si="106"/>
        <v>11957750.4</v>
      </c>
      <c r="G453" s="15">
        <f t="shared" si="112"/>
        <v>2339056.2666666675</v>
      </c>
      <c r="H453" s="15">
        <f>H451+(H$19-H$4)/15</f>
        <v>271209.60000000015</v>
      </c>
      <c r="I453" s="16">
        <f t="shared" si="108"/>
        <v>41.356933333333352</v>
      </c>
      <c r="J453" s="15">
        <f>J451+($J$185-$J$155)/15</f>
        <v>2067846.6666666674</v>
      </c>
      <c r="K453" s="16">
        <f>L453*$M$427/1000000</f>
        <v>1.1183044666666659E-3</v>
      </c>
      <c r="L453" s="15">
        <f t="shared" si="110"/>
        <v>1118304.4666666659</v>
      </c>
      <c r="M453">
        <v>1E-3</v>
      </c>
      <c r="N453">
        <f t="shared" si="111"/>
        <v>0.02</v>
      </c>
      <c r="O453" s="15" t="s">
        <v>935</v>
      </c>
      <c r="P453" s="15" t="s">
        <v>1119</v>
      </c>
    </row>
    <row r="454" spans="1:16" x14ac:dyDescent="0.15">
      <c r="B454" s="10">
        <f>B453+0.5</f>
        <v>2028.5</v>
      </c>
      <c r="C454" s="20">
        <f t="shared" si="104"/>
        <v>1.4924986490889695E-2</v>
      </c>
      <c r="D454" s="17">
        <f t="shared" si="109"/>
        <v>1.9999999999999997E-2</v>
      </c>
      <c r="E454" s="18">
        <f t="shared" si="105"/>
        <v>9.6186941333333333</v>
      </c>
      <c r="F454" s="19">
        <f t="shared" si="106"/>
        <v>9618694.1333333328</v>
      </c>
      <c r="G454" s="15">
        <f t="shared" si="112"/>
        <v>1477033.333333333</v>
      </c>
      <c r="H454" s="15">
        <v>0</v>
      </c>
      <c r="I454" s="16">
        <f t="shared" si="108"/>
        <v>29.54066666666666</v>
      </c>
      <c r="J454" s="15">
        <f>J452+($J$186-$J$156)/15</f>
        <v>1477033.333333333</v>
      </c>
      <c r="K454" s="16">
        <f>L454*M454/1000000</f>
        <v>0</v>
      </c>
      <c r="L454" s="15">
        <f t="shared" si="110"/>
        <v>1118304.4666666659</v>
      </c>
      <c r="M454">
        <v>0</v>
      </c>
      <c r="N454">
        <f t="shared" si="111"/>
        <v>0.02</v>
      </c>
    </row>
    <row r="455" spans="1:16" x14ac:dyDescent="0.15">
      <c r="A455">
        <f>A453+1</f>
        <v>14</v>
      </c>
      <c r="B455" s="10">
        <f>B453+1</f>
        <v>2029</v>
      </c>
      <c r="C455" s="20">
        <f t="shared" si="104"/>
        <v>1.4747633531095546E-2</v>
      </c>
      <c r="D455" s="17">
        <f t="shared" si="109"/>
        <v>1.8186352545386867E-2</v>
      </c>
      <c r="E455" s="18">
        <f t="shared" si="105"/>
        <v>8.1416608000000004</v>
      </c>
      <c r="F455" s="19">
        <f t="shared" si="106"/>
        <v>8141660.7999999998</v>
      </c>
      <c r="G455" s="15">
        <f t="shared" si="112"/>
        <v>2440750.1333333342</v>
      </c>
      <c r="H455" s="15">
        <f>H453+(H$19-H$4)/15</f>
        <v>277516.80000000016</v>
      </c>
      <c r="I455" s="16">
        <f t="shared" si="108"/>
        <v>43.264666666666677</v>
      </c>
      <c r="J455" s="15">
        <f>J453+($J$185-$J$155)/15</f>
        <v>2163233.333333334</v>
      </c>
      <c r="K455" s="16">
        <f>L455*$M$427/1000000</f>
        <v>1.1236757333333326E-3</v>
      </c>
      <c r="L455" s="15">
        <f t="shared" si="110"/>
        <v>1123675.7333333325</v>
      </c>
      <c r="M455">
        <v>1E-3</v>
      </c>
      <c r="N455">
        <f t="shared" si="111"/>
        <v>0.02</v>
      </c>
    </row>
    <row r="456" spans="1:16" x14ac:dyDescent="0.15">
      <c r="B456" s="10">
        <f>B455+0.5</f>
        <v>2029.5</v>
      </c>
      <c r="C456" s="20">
        <f>(D456*G456+D458*F458)/F456</f>
        <v>1.1080568882211331E-2</v>
      </c>
      <c r="D456" s="17">
        <f t="shared" si="109"/>
        <v>1.9999999999999997E-2</v>
      </c>
      <c r="E456" s="18">
        <f t="shared" si="105"/>
        <v>5.7009106666666662</v>
      </c>
      <c r="F456" s="19">
        <f t="shared" si="106"/>
        <v>5700910.666666666</v>
      </c>
      <c r="G456" s="15">
        <f t="shared" si="112"/>
        <v>1545166.6666666663</v>
      </c>
      <c r="H456" s="15">
        <v>0</v>
      </c>
      <c r="I456" s="16">
        <f t="shared" si="108"/>
        <v>30.903333333333325</v>
      </c>
      <c r="J456" s="15">
        <f>J454+($J$186-$J$156)/15</f>
        <v>1545166.6666666663</v>
      </c>
      <c r="K456" s="16">
        <f>L456*M456/1000000</f>
        <v>0</v>
      </c>
      <c r="L456" s="15">
        <f t="shared" si="110"/>
        <v>1123675.7333333325</v>
      </c>
      <c r="M456">
        <v>0</v>
      </c>
      <c r="N456">
        <f t="shared" si="111"/>
        <v>0.02</v>
      </c>
    </row>
    <row r="457" spans="1:16" x14ac:dyDescent="0.15">
      <c r="A457">
        <f>A455+1</f>
        <v>15</v>
      </c>
      <c r="B457" s="10">
        <f>B455+1</f>
        <v>2030</v>
      </c>
      <c r="C457" s="20">
        <f>(D457*G457+D458*F458)/F457</f>
        <v>1.8905747562891262E-2</v>
      </c>
      <c r="D457" s="17">
        <f t="shared" si="109"/>
        <v>1.821139305329832E-2</v>
      </c>
      <c r="E457" s="18">
        <f t="shared" si="105"/>
        <v>4.1557440000000003</v>
      </c>
      <c r="F457" s="19">
        <f>F458+H457+J457</f>
        <v>4155744</v>
      </c>
      <c r="G457" s="15">
        <f t="shared" si="112"/>
        <v>2542444</v>
      </c>
      <c r="H457" s="15">
        <f>H455+(H$19-H$4)/15</f>
        <v>283824.00000000017</v>
      </c>
      <c r="I457" s="16">
        <f t="shared" si="108"/>
        <v>45.172400000000003</v>
      </c>
      <c r="J457" s="15">
        <f>O442*O451</f>
        <v>2258620</v>
      </c>
      <c r="K457" s="16">
        <f>L457*$M$427/1000000</f>
        <v>1.1290469999999991E-3</v>
      </c>
      <c r="L457" s="15">
        <f t="shared" si="110"/>
        <v>1129046.9999999991</v>
      </c>
      <c r="M457">
        <v>1E-3</v>
      </c>
      <c r="N457">
        <f t="shared" si="111"/>
        <v>0.02</v>
      </c>
    </row>
    <row r="458" spans="1:16" x14ac:dyDescent="0.15">
      <c r="B458" s="10">
        <f>B457+0.5</f>
        <v>2030.5</v>
      </c>
      <c r="C458" s="20">
        <f>(D458*G458)/F458</f>
        <v>1.9999999999999997E-2</v>
      </c>
      <c r="D458" s="17">
        <f>(K458*1000/G458*1000)+(I458/G458*1000)</f>
        <v>1.9999999999999997E-2</v>
      </c>
      <c r="E458" s="18">
        <f t="shared" si="105"/>
        <v>1.6133</v>
      </c>
      <c r="F458" s="19">
        <f>F459+H458+J458</f>
        <v>1613300</v>
      </c>
      <c r="G458" s="15">
        <f t="shared" si="112"/>
        <v>1613300</v>
      </c>
      <c r="H458" s="15">
        <v>0</v>
      </c>
      <c r="I458" s="16">
        <f t="shared" si="108"/>
        <v>32.265999999999998</v>
      </c>
      <c r="J458" s="15">
        <f>O442*O452</f>
        <v>1613300</v>
      </c>
      <c r="K458" s="16">
        <f>L458*M458/1000000</f>
        <v>0</v>
      </c>
      <c r="L458" s="15">
        <f t="shared" si="110"/>
        <v>1129046.9999999991</v>
      </c>
      <c r="M458">
        <v>0</v>
      </c>
      <c r="N458">
        <f t="shared" si="111"/>
        <v>0.02</v>
      </c>
    </row>
    <row r="459" spans="1:16" x14ac:dyDescent="0.15">
      <c r="C459" s="17"/>
      <c r="D459" s="7"/>
      <c r="E459" s="7"/>
      <c r="F459" s="15"/>
      <c r="G459" s="15"/>
      <c r="H459" s="15"/>
      <c r="I459" s="16"/>
      <c r="L459" s="15"/>
    </row>
    <row r="505" spans="1:16" ht="56" x14ac:dyDescent="0.15">
      <c r="A505" s="119" t="s">
        <v>3</v>
      </c>
      <c r="B505" s="12"/>
      <c r="C505" s="12" t="s">
        <v>1172</v>
      </c>
      <c r="D505" s="13" t="s">
        <v>1166</v>
      </c>
      <c r="E505" s="13" t="s">
        <v>751</v>
      </c>
      <c r="F505" s="13" t="s">
        <v>751</v>
      </c>
      <c r="G505" s="13" t="s">
        <v>1088</v>
      </c>
      <c r="H505" s="13" t="s">
        <v>883</v>
      </c>
      <c r="I505" s="12" t="s">
        <v>1102</v>
      </c>
      <c r="J505" s="13" t="s">
        <v>897</v>
      </c>
      <c r="K505" s="13" t="s">
        <v>745</v>
      </c>
      <c r="L505" s="13" t="s">
        <v>898</v>
      </c>
      <c r="M505" s="12" t="s">
        <v>750</v>
      </c>
      <c r="N505" s="13" t="s">
        <v>1101</v>
      </c>
      <c r="O505" s="12"/>
      <c r="P505" s="12"/>
    </row>
    <row r="506" spans="1:16" x14ac:dyDescent="0.15">
      <c r="A506" s="1" t="s">
        <v>746</v>
      </c>
      <c r="B506" s="1" t="s">
        <v>747</v>
      </c>
      <c r="C506" s="1"/>
      <c r="D506" s="14" t="s">
        <v>748</v>
      </c>
      <c r="E506" s="14" t="s">
        <v>1104</v>
      </c>
      <c r="F506" s="14" t="s">
        <v>718</v>
      </c>
      <c r="G506" s="14" t="s">
        <v>749</v>
      </c>
      <c r="H506" s="14" t="s">
        <v>749</v>
      </c>
      <c r="I506" s="14" t="s">
        <v>884</v>
      </c>
      <c r="J506" s="14" t="s">
        <v>749</v>
      </c>
      <c r="K506" s="14" t="s">
        <v>884</v>
      </c>
      <c r="L506" s="14" t="s">
        <v>1144</v>
      </c>
      <c r="M506" s="1" t="s">
        <v>885</v>
      </c>
      <c r="N506" s="14" t="s">
        <v>748</v>
      </c>
      <c r="O506" s="1"/>
      <c r="P506" s="1"/>
    </row>
    <row r="507" spans="1:16" x14ac:dyDescent="0.15">
      <c r="A507">
        <v>0</v>
      </c>
      <c r="B507" s="10">
        <v>2015</v>
      </c>
      <c r="C507" s="20" t="e">
        <f t="shared" ref="C507:C536" si="113">(D507*G507+D509*F509)/F507</f>
        <v>#VALUE!</v>
      </c>
      <c r="D507" s="100">
        <f>(K507/1000/G507)*1000000000+(I507/G507)*1000000000/1000</f>
        <v>8.9534883720930228E-2</v>
      </c>
      <c r="E507" s="18" t="e">
        <f t="shared" ref="E507:E538" si="114">F507/1000000</f>
        <v>#VALUE!</v>
      </c>
      <c r="F507" s="19" t="e">
        <f t="shared" ref="F507:F536" si="115">F508+H507+J507</f>
        <v>#VALUE!</v>
      </c>
      <c r="G507" s="15">
        <f t="shared" ref="G507:G538" si="116">H507+J507</f>
        <v>1017036</v>
      </c>
      <c r="H507" s="15">
        <f>6*60*60*24*365/1000</f>
        <v>189216</v>
      </c>
      <c r="I507" s="16">
        <f t="shared" ref="I507:I538" si="117">J507*1000*$N507/1000000000</f>
        <v>9.1060199999999994E-2</v>
      </c>
      <c r="J507" s="15">
        <f>45*60*60*24*365/1000*O$179</f>
        <v>827820</v>
      </c>
      <c r="K507" s="16">
        <f>L507*M507/1000000</f>
        <v>0</v>
      </c>
      <c r="L507" s="15">
        <v>1048478</v>
      </c>
      <c r="M507">
        <v>0</v>
      </c>
      <c r="N507" s="83">
        <v>0.11</v>
      </c>
    </row>
    <row r="508" spans="1:16" x14ac:dyDescent="0.15">
      <c r="B508" s="10">
        <v>2015.5</v>
      </c>
      <c r="C508" s="20" t="e">
        <f t="shared" si="113"/>
        <v>#VALUE!</v>
      </c>
      <c r="D508" s="100">
        <f t="shared" ref="D508:D538" si="118">(K508*1000/G508)+(I508/G508)*1000000000/1000</f>
        <v>8.3333333333333343E-2</v>
      </c>
      <c r="E508" s="18" t="e">
        <f t="shared" si="114"/>
        <v>#VALUE!</v>
      </c>
      <c r="F508" s="19" t="e">
        <f t="shared" si="115"/>
        <v>#VALUE!</v>
      </c>
      <c r="G508" s="15">
        <f>H508+J508</f>
        <v>780516</v>
      </c>
      <c r="H508" s="15">
        <f>6*60*60*24*365/1000</f>
        <v>189216</v>
      </c>
      <c r="I508" s="16">
        <f t="shared" si="117"/>
        <v>6.5043000000000004E-2</v>
      </c>
      <c r="J508" s="15">
        <f>45*60*60*24*365/1000*O$180</f>
        <v>591300</v>
      </c>
      <c r="K508" s="16">
        <f t="shared" ref="K508:K538" si="119">L508*M508/1000000</f>
        <v>0</v>
      </c>
      <c r="L508" s="15">
        <v>1048478</v>
      </c>
      <c r="M508">
        <v>0</v>
      </c>
      <c r="N508" s="83">
        <v>0.11</v>
      </c>
    </row>
    <row r="509" spans="1:16" x14ac:dyDescent="0.15">
      <c r="A509">
        <f>A507+1</f>
        <v>1</v>
      </c>
      <c r="B509" s="10">
        <f>B507+1</f>
        <v>2016</v>
      </c>
      <c r="C509" s="20" t="e">
        <f t="shared" si="113"/>
        <v>#VALUE!</v>
      </c>
      <c r="D509" s="100">
        <f t="shared" si="118"/>
        <v>9.0775026536045508E-2</v>
      </c>
      <c r="E509" s="18" t="e">
        <f t="shared" si="114"/>
        <v>#VALUE!</v>
      </c>
      <c r="F509" s="19" t="e">
        <f t="shared" si="115"/>
        <v>#VALUE!</v>
      </c>
      <c r="G509" s="15">
        <f t="shared" si="116"/>
        <v>1118729.8666666667</v>
      </c>
      <c r="H509" s="15">
        <f>H507+(H$19-H$4)/15</f>
        <v>195523.20000000001</v>
      </c>
      <c r="I509" s="16">
        <f t="shared" si="117"/>
        <v>0.10155273333333333</v>
      </c>
      <c r="J509" s="15">
        <f>J507+($J$185-$J$155)/15</f>
        <v>923206.66666666663</v>
      </c>
      <c r="K509" s="16">
        <f t="shared" si="119"/>
        <v>0</v>
      </c>
      <c r="L509" s="15">
        <f t="shared" ref="L509:L538" si="120">L507+(L$19-L$4)/15</f>
        <v>1053849.2666666666</v>
      </c>
      <c r="M509">
        <v>0</v>
      </c>
      <c r="N509" s="83">
        <v>0.11</v>
      </c>
    </row>
    <row r="510" spans="1:16" x14ac:dyDescent="0.15">
      <c r="B510" s="10">
        <v>2016.5</v>
      </c>
      <c r="C510" s="20" t="e">
        <f t="shared" si="113"/>
        <v>#VALUE!</v>
      </c>
      <c r="D510" s="100">
        <f t="shared" si="118"/>
        <v>8.5474251634361731E-2</v>
      </c>
      <c r="E510" s="18" t="e">
        <f t="shared" si="114"/>
        <v>#VALUE!</v>
      </c>
      <c r="F510" s="19" t="e">
        <f t="shared" si="115"/>
        <v>#VALUE!</v>
      </c>
      <c r="G510" s="15">
        <f t="shared" si="116"/>
        <v>848649.33333333337</v>
      </c>
      <c r="H510" s="15">
        <f>6*60*60*24*365/1000</f>
        <v>189216</v>
      </c>
      <c r="I510" s="16">
        <f t="shared" si="117"/>
        <v>7.2537666666666667E-2</v>
      </c>
      <c r="J510" s="15">
        <f>J508+($J$186-$J$156)/15</f>
        <v>659433.33333333337</v>
      </c>
      <c r="K510" s="16">
        <f t="shared" si="119"/>
        <v>0</v>
      </c>
      <c r="L510" s="15">
        <f t="shared" si="120"/>
        <v>1053849.2666666666</v>
      </c>
      <c r="M510">
        <v>0</v>
      </c>
      <c r="N510" s="83">
        <v>0.11</v>
      </c>
    </row>
    <row r="511" spans="1:16" x14ac:dyDescent="0.15">
      <c r="A511">
        <f>A509+1</f>
        <v>2</v>
      </c>
      <c r="B511" s="10">
        <f>B509+1</f>
        <v>2017</v>
      </c>
      <c r="C511" s="20" t="e">
        <f t="shared" si="113"/>
        <v>#VALUE!</v>
      </c>
      <c r="D511" s="100">
        <f t="shared" si="118"/>
        <v>9.1808495366308834E-2</v>
      </c>
      <c r="E511" s="18" t="e">
        <f t="shared" si="114"/>
        <v>#VALUE!</v>
      </c>
      <c r="F511" s="19" t="e">
        <f t="shared" si="115"/>
        <v>#VALUE!</v>
      </c>
      <c r="G511" s="15">
        <f t="shared" si="116"/>
        <v>1220423.7333333334</v>
      </c>
      <c r="H511" s="15">
        <f>H509+(H$19-H$4)/15</f>
        <v>201830.40000000002</v>
      </c>
      <c r="I511" s="16">
        <f t="shared" si="117"/>
        <v>0.11204526666666666</v>
      </c>
      <c r="J511" s="15">
        <f>J509+($J$185-$J$155)/15</f>
        <v>1018593.3333333333</v>
      </c>
      <c r="K511" s="16">
        <f t="shared" si="119"/>
        <v>0</v>
      </c>
      <c r="L511" s="15">
        <f t="shared" si="120"/>
        <v>1059220.5333333332</v>
      </c>
      <c r="M511">
        <v>0</v>
      </c>
      <c r="N511" s="83">
        <v>0.11</v>
      </c>
    </row>
    <row r="512" spans="1:16" x14ac:dyDescent="0.15">
      <c r="B512" s="10">
        <f>B511+0.5</f>
        <v>2017.5</v>
      </c>
      <c r="C512" s="20" t="e">
        <f t="shared" si="113"/>
        <v>#VALUE!</v>
      </c>
      <c r="D512" s="100">
        <f t="shared" si="118"/>
        <v>8.7296952967406319E-2</v>
      </c>
      <c r="E512" s="18" t="e">
        <f t="shared" si="114"/>
        <v>#VALUE!</v>
      </c>
      <c r="F512" s="19" t="e">
        <f t="shared" si="115"/>
        <v>#VALUE!</v>
      </c>
      <c r="G512" s="15">
        <f t="shared" si="116"/>
        <v>916782.66666666674</v>
      </c>
      <c r="H512" s="15">
        <f>6*60*60*24*365/1000</f>
        <v>189216</v>
      </c>
      <c r="I512" s="16">
        <f t="shared" si="117"/>
        <v>8.0032333333333344E-2</v>
      </c>
      <c r="J512" s="15">
        <f>J510+($J$186-$J$156)/15</f>
        <v>727566.66666666674</v>
      </c>
      <c r="K512" s="16">
        <f t="shared" si="119"/>
        <v>0</v>
      </c>
      <c r="L512" s="15">
        <f t="shared" si="120"/>
        <v>1059220.5333333332</v>
      </c>
      <c r="M512">
        <v>0</v>
      </c>
      <c r="N512" s="83">
        <v>0.11</v>
      </c>
    </row>
    <row r="513" spans="1:16" x14ac:dyDescent="0.15">
      <c r="A513">
        <f>A511+1</f>
        <v>3</v>
      </c>
      <c r="B513" s="10">
        <f>B511+1</f>
        <v>2018</v>
      </c>
      <c r="C513" s="20" t="e">
        <f t="shared" si="113"/>
        <v>#VALUE!</v>
      </c>
      <c r="D513" s="100">
        <f t="shared" si="118"/>
        <v>9.2682980697027254E-2</v>
      </c>
      <c r="E513" s="18" t="e">
        <f t="shared" si="114"/>
        <v>#VALUE!</v>
      </c>
      <c r="F513" s="19" t="e">
        <f t="shared" si="115"/>
        <v>#VALUE!</v>
      </c>
      <c r="G513" s="15">
        <f t="shared" si="116"/>
        <v>1322117.6000000001</v>
      </c>
      <c r="H513" s="15">
        <f>H511+(H$19-H$4)/15</f>
        <v>208137.60000000003</v>
      </c>
      <c r="I513" s="16">
        <f t="shared" si="117"/>
        <v>0.1225378</v>
      </c>
      <c r="J513" s="15">
        <f>J511+($J$185-$J$155)/15</f>
        <v>1113980</v>
      </c>
      <c r="K513" s="16">
        <f t="shared" si="119"/>
        <v>0</v>
      </c>
      <c r="L513" s="15">
        <f t="shared" si="120"/>
        <v>1064591.7999999998</v>
      </c>
      <c r="M513">
        <v>0</v>
      </c>
      <c r="N513" s="83">
        <v>0.11</v>
      </c>
    </row>
    <row r="514" spans="1:16" x14ac:dyDescent="0.15">
      <c r="B514" s="10">
        <f>B513+0.5</f>
        <v>2018.5</v>
      </c>
      <c r="C514" s="20" t="e">
        <f t="shared" si="113"/>
        <v>#VALUE!</v>
      </c>
      <c r="D514" s="100">
        <f t="shared" si="118"/>
        <v>8.8867477023421307E-2</v>
      </c>
      <c r="E514" s="18" t="e">
        <f t="shared" si="114"/>
        <v>#VALUE!</v>
      </c>
      <c r="F514" s="19" t="e">
        <f t="shared" si="115"/>
        <v>#VALUE!</v>
      </c>
      <c r="G514" s="15">
        <f t="shared" si="116"/>
        <v>984916.00000000012</v>
      </c>
      <c r="H514" s="15">
        <f>6*60*60*24*365/1000</f>
        <v>189216</v>
      </c>
      <c r="I514" s="16">
        <f t="shared" si="117"/>
        <v>8.7527000000000021E-2</v>
      </c>
      <c r="J514" s="15">
        <f>J512+($J$186-$J$156)/15</f>
        <v>795700.00000000012</v>
      </c>
      <c r="K514" s="16">
        <f t="shared" si="119"/>
        <v>0</v>
      </c>
      <c r="L514" s="15">
        <f t="shared" si="120"/>
        <v>1064591.7999999998</v>
      </c>
      <c r="M514">
        <v>0</v>
      </c>
      <c r="N514" s="83">
        <v>0.11</v>
      </c>
    </row>
    <row r="515" spans="1:16" x14ac:dyDescent="0.15">
      <c r="A515">
        <f>A513+1</f>
        <v>4</v>
      </c>
      <c r="B515" s="10">
        <f>B513+1</f>
        <v>2019</v>
      </c>
      <c r="C515" s="20" t="e">
        <f t="shared" si="113"/>
        <v>#VALUE!</v>
      </c>
      <c r="D515" s="100">
        <f t="shared" si="118"/>
        <v>9.3432548092041406E-2</v>
      </c>
      <c r="E515" s="18" t="e">
        <f t="shared" si="114"/>
        <v>#VALUE!</v>
      </c>
      <c r="F515" s="19" t="e">
        <f t="shared" si="115"/>
        <v>#VALUE!</v>
      </c>
      <c r="G515" s="15">
        <f t="shared" si="116"/>
        <v>1423811.4666666668</v>
      </c>
      <c r="H515" s="15">
        <f>H513+(H$19-H$4)/15</f>
        <v>214444.80000000005</v>
      </c>
      <c r="I515" s="16">
        <f t="shared" si="117"/>
        <v>0.13303033333333333</v>
      </c>
      <c r="J515" s="15">
        <f>J513+($J$185-$J$155)/15</f>
        <v>1209366.6666666667</v>
      </c>
      <c r="K515" s="16">
        <f t="shared" si="119"/>
        <v>0</v>
      </c>
      <c r="L515" s="15">
        <f t="shared" si="120"/>
        <v>1069963.0666666664</v>
      </c>
      <c r="M515">
        <v>0</v>
      </c>
      <c r="N515" s="83">
        <v>0.11</v>
      </c>
    </row>
    <row r="516" spans="1:16" x14ac:dyDescent="0.15">
      <c r="B516" s="10">
        <f>B515+0.5</f>
        <v>2019.5</v>
      </c>
      <c r="C516" s="20" t="e">
        <f t="shared" si="113"/>
        <v>#VALUE!</v>
      </c>
      <c r="D516" s="100">
        <f t="shared" si="118"/>
        <v>9.0234772160088739E-2</v>
      </c>
      <c r="E516" s="18" t="e">
        <f t="shared" si="114"/>
        <v>#VALUE!</v>
      </c>
      <c r="F516" s="19" t="e">
        <f t="shared" si="115"/>
        <v>#VALUE!</v>
      </c>
      <c r="G516" s="15">
        <f t="shared" si="116"/>
        <v>1053049.3333333335</v>
      </c>
      <c r="H516" s="15">
        <f>6*60*60*24*365/1000</f>
        <v>189216</v>
      </c>
      <c r="I516" s="16">
        <f t="shared" si="117"/>
        <v>9.5021666666666685E-2</v>
      </c>
      <c r="J516" s="15">
        <f>J514+($J$186-$J$156)/15</f>
        <v>863833.33333333349</v>
      </c>
      <c r="K516" s="16">
        <f t="shared" si="119"/>
        <v>0</v>
      </c>
      <c r="L516" s="15">
        <f t="shared" si="120"/>
        <v>1069963.0666666664</v>
      </c>
      <c r="M516">
        <v>0</v>
      </c>
      <c r="N516" s="83">
        <v>0.11</v>
      </c>
    </row>
    <row r="517" spans="1:16" x14ac:dyDescent="0.15">
      <c r="A517">
        <f>A515+1</f>
        <v>5</v>
      </c>
      <c r="B517" s="10">
        <f>B515+1</f>
        <v>2020</v>
      </c>
      <c r="C517" s="20" t="e">
        <f t="shared" si="113"/>
        <v>#VALUE!</v>
      </c>
      <c r="D517" s="100">
        <f t="shared" si="118"/>
        <v>9.4082179544439482E-2</v>
      </c>
      <c r="E517" s="18" t="e">
        <f t="shared" si="114"/>
        <v>#VALUE!</v>
      </c>
      <c r="F517" s="19" t="e">
        <f t="shared" si="115"/>
        <v>#VALUE!</v>
      </c>
      <c r="G517" s="15">
        <f t="shared" si="116"/>
        <v>1525505.3333333335</v>
      </c>
      <c r="H517" s="15">
        <f>H515+(H$19-H$4)/15</f>
        <v>220752.00000000006</v>
      </c>
      <c r="I517" s="16">
        <f t="shared" si="117"/>
        <v>0.14352286666666669</v>
      </c>
      <c r="J517" s="15">
        <f>J515+($J$185-$J$155)/15</f>
        <v>1304753.3333333335</v>
      </c>
      <c r="K517" s="16">
        <f t="shared" si="119"/>
        <v>0</v>
      </c>
      <c r="L517" s="15">
        <f t="shared" si="120"/>
        <v>1075334.333333333</v>
      </c>
      <c r="M517">
        <v>0</v>
      </c>
      <c r="N517" s="83">
        <v>0.11</v>
      </c>
    </row>
    <row r="518" spans="1:16" x14ac:dyDescent="0.15">
      <c r="B518" s="10">
        <f>B517+0.5</f>
        <v>2020.5</v>
      </c>
      <c r="C518" s="20" t="e">
        <f t="shared" si="113"/>
        <v>#VALUE!</v>
      </c>
      <c r="D518" s="100">
        <f t="shared" si="118"/>
        <v>9.1435888531990625E-2</v>
      </c>
      <c r="E518" s="18" t="e">
        <f t="shared" si="114"/>
        <v>#VALUE!</v>
      </c>
      <c r="F518" s="19" t="e">
        <f t="shared" si="115"/>
        <v>#VALUE!</v>
      </c>
      <c r="G518" s="15">
        <f t="shared" si="116"/>
        <v>1121182.666666667</v>
      </c>
      <c r="H518" s="15">
        <f>6*60*60*24*365/1000</f>
        <v>189216</v>
      </c>
      <c r="I518" s="16">
        <f t="shared" si="117"/>
        <v>0.10251633333333336</v>
      </c>
      <c r="J518" s="15">
        <f>J516+($J$186-$J$156)/15</f>
        <v>931966.66666666686</v>
      </c>
      <c r="K518" s="16">
        <f t="shared" si="119"/>
        <v>0</v>
      </c>
      <c r="L518" s="15">
        <f t="shared" si="120"/>
        <v>1075334.333333333</v>
      </c>
      <c r="M518">
        <v>0</v>
      </c>
      <c r="N518" s="83">
        <v>0.11</v>
      </c>
    </row>
    <row r="519" spans="1:16" x14ac:dyDescent="0.15">
      <c r="A519">
        <f>A517+1</f>
        <v>6</v>
      </c>
      <c r="B519" s="10">
        <f>B517+1</f>
        <v>2021</v>
      </c>
      <c r="C519" s="20" t="e">
        <f t="shared" si="113"/>
        <v>#VALUE!</v>
      </c>
      <c r="D519" s="100">
        <f t="shared" si="118"/>
        <v>9.4650611922621392E-2</v>
      </c>
      <c r="E519" s="18" t="e">
        <f t="shared" si="114"/>
        <v>#VALUE!</v>
      </c>
      <c r="F519" s="19" t="e">
        <f t="shared" si="115"/>
        <v>#VALUE!</v>
      </c>
      <c r="G519" s="15">
        <f t="shared" si="116"/>
        <v>1627199.2000000002</v>
      </c>
      <c r="H519" s="15">
        <f>H517+(H$19-H$4)/15</f>
        <v>227059.20000000007</v>
      </c>
      <c r="I519" s="16">
        <f t="shared" si="117"/>
        <v>0.15401540000000002</v>
      </c>
      <c r="J519" s="15">
        <f>J517+($J$185-$J$155)/15</f>
        <v>1400140.0000000002</v>
      </c>
      <c r="K519" s="16">
        <f t="shared" si="119"/>
        <v>0</v>
      </c>
      <c r="L519" s="15">
        <f t="shared" si="120"/>
        <v>1080705.5999999996</v>
      </c>
      <c r="M519">
        <v>0</v>
      </c>
      <c r="N519" s="83">
        <v>0.11</v>
      </c>
    </row>
    <row r="520" spans="1:16" x14ac:dyDescent="0.15">
      <c r="B520" s="10">
        <f>B519+0.5</f>
        <v>2021.5</v>
      </c>
      <c r="C520" s="20" t="e">
        <f t="shared" si="113"/>
        <v>#VALUE!</v>
      </c>
      <c r="D520" s="100">
        <f t="shared" si="118"/>
        <v>9.2499386201816844E-2</v>
      </c>
      <c r="E520" s="18" t="e">
        <f t="shared" si="114"/>
        <v>#VALUE!</v>
      </c>
      <c r="F520" s="19" t="e">
        <f t="shared" si="115"/>
        <v>#VALUE!</v>
      </c>
      <c r="G520" s="15">
        <f t="shared" si="116"/>
        <v>1189316.0000000002</v>
      </c>
      <c r="H520" s="15">
        <f>6*60*60*24*365/1000</f>
        <v>189216</v>
      </c>
      <c r="I520" s="16">
        <f t="shared" si="117"/>
        <v>0.11001100000000003</v>
      </c>
      <c r="J520" s="15">
        <f>J518+($J$186-$J$156)/15</f>
        <v>1000100.0000000002</v>
      </c>
      <c r="K520" s="16">
        <f t="shared" si="119"/>
        <v>0</v>
      </c>
      <c r="L520" s="15">
        <f t="shared" si="120"/>
        <v>1080705.5999999996</v>
      </c>
      <c r="M520">
        <v>0</v>
      </c>
      <c r="N520" s="83">
        <v>0.11</v>
      </c>
    </row>
    <row r="521" spans="1:16" x14ac:dyDescent="0.15">
      <c r="A521">
        <f>A519+1</f>
        <v>7</v>
      </c>
      <c r="B521" s="10">
        <f>B519+1</f>
        <v>2022</v>
      </c>
      <c r="C521" s="20" t="e">
        <f t="shared" si="113"/>
        <v>#VALUE!</v>
      </c>
      <c r="D521" s="100">
        <f t="shared" si="118"/>
        <v>9.515217366826928E-2</v>
      </c>
      <c r="E521" s="18" t="e">
        <f t="shared" si="114"/>
        <v>#VALUE!</v>
      </c>
      <c r="F521" s="19" t="e">
        <f t="shared" si="115"/>
        <v>#VALUE!</v>
      </c>
      <c r="G521" s="15">
        <f t="shared" si="116"/>
        <v>1728893.0666666671</v>
      </c>
      <c r="H521" s="15">
        <f>H519+(H$19-H$4)/15</f>
        <v>233366.40000000008</v>
      </c>
      <c r="I521" s="16">
        <f t="shared" si="117"/>
        <v>0.16450793333333338</v>
      </c>
      <c r="J521" s="15">
        <f>J519+($J$185-$J$155)/15</f>
        <v>1495526.666666667</v>
      </c>
      <c r="K521" s="16">
        <f t="shared" si="119"/>
        <v>0</v>
      </c>
      <c r="L521" s="15">
        <f t="shared" si="120"/>
        <v>1086076.8666666662</v>
      </c>
      <c r="M521">
        <v>0</v>
      </c>
      <c r="N521" s="83">
        <v>0.11</v>
      </c>
    </row>
    <row r="522" spans="1:16" x14ac:dyDescent="0.15">
      <c r="B522" s="10">
        <f>B521+0.5</f>
        <v>2022.5</v>
      </c>
      <c r="C522" s="20" t="e">
        <f t="shared" si="113"/>
        <v>#VALUE!</v>
      </c>
      <c r="D522" s="100">
        <f t="shared" si="118"/>
        <v>9.3447635265887452E-2</v>
      </c>
      <c r="E522" s="18" t="e">
        <f t="shared" si="114"/>
        <v>#VALUE!</v>
      </c>
      <c r="F522" s="19" t="e">
        <f t="shared" si="115"/>
        <v>#VALUE!</v>
      </c>
      <c r="G522" s="15">
        <f t="shared" si="116"/>
        <v>1257449.3333333335</v>
      </c>
      <c r="H522" s="15">
        <f>6*60*60*24*365/1000</f>
        <v>189216</v>
      </c>
      <c r="I522" s="16">
        <f t="shared" si="117"/>
        <v>0.11750566666666669</v>
      </c>
      <c r="J522" s="15">
        <f>J520+($J$186-$J$156)/15</f>
        <v>1068233.3333333335</v>
      </c>
      <c r="K522" s="16">
        <f t="shared" si="119"/>
        <v>0</v>
      </c>
      <c r="L522" s="15">
        <f t="shared" si="120"/>
        <v>1086076.8666666662</v>
      </c>
      <c r="M522">
        <v>0</v>
      </c>
      <c r="N522" s="83">
        <v>0.11</v>
      </c>
      <c r="O522" s="15">
        <v>3871920</v>
      </c>
      <c r="P522" t="s">
        <v>911</v>
      </c>
    </row>
    <row r="523" spans="1:16" x14ac:dyDescent="0.15">
      <c r="A523">
        <f>A521+1</f>
        <v>8</v>
      </c>
      <c r="B523" s="10">
        <f>B521+1</f>
        <v>2023</v>
      </c>
      <c r="C523" s="20" t="e">
        <f t="shared" si="113"/>
        <v>#VALUE!</v>
      </c>
      <c r="D523" s="100">
        <f t="shared" si="118"/>
        <v>9.5598009294213984E-2</v>
      </c>
      <c r="E523" s="18" t="e">
        <f t="shared" si="114"/>
        <v>#VALUE!</v>
      </c>
      <c r="F523" s="19" t="e">
        <f t="shared" si="115"/>
        <v>#VALUE!</v>
      </c>
      <c r="G523" s="15">
        <f t="shared" si="116"/>
        <v>1830586.9333333338</v>
      </c>
      <c r="H523" s="15">
        <f>H521+(H$19-H$4)/15</f>
        <v>239673.60000000009</v>
      </c>
      <c r="I523" s="16">
        <f t="shared" si="117"/>
        <v>0.17500046666666672</v>
      </c>
      <c r="J523" s="15">
        <f>J521+($J$185-$J$155)/15</f>
        <v>1590913.3333333337</v>
      </c>
      <c r="K523" s="16">
        <f t="shared" si="119"/>
        <v>0</v>
      </c>
      <c r="L523" s="15">
        <f t="shared" si="120"/>
        <v>1091448.1333333328</v>
      </c>
      <c r="M523">
        <v>0</v>
      </c>
      <c r="N523" s="83">
        <v>0.11</v>
      </c>
      <c r="O523" s="16">
        <v>118000000</v>
      </c>
      <c r="P523" t="s">
        <v>755</v>
      </c>
    </row>
    <row r="524" spans="1:16" x14ac:dyDescent="0.15">
      <c r="B524" s="10">
        <f>B523+0.5</f>
        <v>2023.5</v>
      </c>
      <c r="C524" s="20" t="e">
        <f t="shared" si="113"/>
        <v>#VALUE!</v>
      </c>
      <c r="D524" s="100">
        <f t="shared" si="118"/>
        <v>9.4298406637785451E-2</v>
      </c>
      <c r="E524" s="18" t="e">
        <f t="shared" si="114"/>
        <v>#VALUE!</v>
      </c>
      <c r="F524" s="19" t="e">
        <f t="shared" si="115"/>
        <v>#VALUE!</v>
      </c>
      <c r="G524" s="15">
        <f t="shared" si="116"/>
        <v>1325582.6666666667</v>
      </c>
      <c r="H524" s="15">
        <f>6*60*60*24*365/1000</f>
        <v>189216</v>
      </c>
      <c r="I524" s="16">
        <f t="shared" si="117"/>
        <v>0.12500033333333335</v>
      </c>
      <c r="J524" s="15">
        <f>J522+($J$186-$J$156)/15</f>
        <v>1136366.6666666667</v>
      </c>
      <c r="K524" s="16">
        <f t="shared" si="119"/>
        <v>0</v>
      </c>
      <c r="L524" s="15">
        <f t="shared" si="120"/>
        <v>1091448.1333333328</v>
      </c>
      <c r="M524">
        <v>0</v>
      </c>
      <c r="N524" s="83">
        <v>0.11</v>
      </c>
      <c r="O524" s="15">
        <v>2932848</v>
      </c>
      <c r="P524" t="s">
        <v>966</v>
      </c>
    </row>
    <row r="525" spans="1:16" x14ac:dyDescent="0.15">
      <c r="A525">
        <f>A523+1</f>
        <v>9</v>
      </c>
      <c r="B525" s="10">
        <f>B523+1</f>
        <v>2024</v>
      </c>
      <c r="C525" s="20" t="e">
        <f t="shared" si="113"/>
        <v>#VALUE!</v>
      </c>
      <c r="D525" s="100">
        <f t="shared" si="118"/>
        <v>9.5996917218242814E-2</v>
      </c>
      <c r="E525" s="18" t="e">
        <f t="shared" si="114"/>
        <v>#VALUE!</v>
      </c>
      <c r="F525" s="19" t="e">
        <f t="shared" si="115"/>
        <v>#VALUE!</v>
      </c>
      <c r="G525" s="15">
        <f t="shared" si="116"/>
        <v>1932280.8000000005</v>
      </c>
      <c r="H525" s="15">
        <f>H523+(H$19-H$4)/15</f>
        <v>245980.8000000001</v>
      </c>
      <c r="I525" s="16">
        <f t="shared" si="117"/>
        <v>0.18549300000000005</v>
      </c>
      <c r="J525" s="15">
        <f>J523+($J$185-$J$155)/15</f>
        <v>1686300.0000000005</v>
      </c>
      <c r="K525" s="16">
        <f t="shared" si="119"/>
        <v>0</v>
      </c>
      <c r="L525" s="15">
        <f t="shared" si="120"/>
        <v>1096819.3999999994</v>
      </c>
      <c r="M525">
        <v>0</v>
      </c>
      <c r="N525" s="83">
        <v>0.11</v>
      </c>
      <c r="O525" s="15">
        <v>283824</v>
      </c>
      <c r="P525" t="s">
        <v>965</v>
      </c>
    </row>
    <row r="526" spans="1:16" x14ac:dyDescent="0.15">
      <c r="B526" s="10">
        <f>B525+0.5</f>
        <v>2024.5</v>
      </c>
      <c r="C526" s="20" t="e">
        <f t="shared" si="113"/>
        <v>#VALUE!</v>
      </c>
      <c r="D526" s="100">
        <f t="shared" si="118"/>
        <v>9.5065996228786934E-2</v>
      </c>
      <c r="E526" s="18" t="e">
        <f t="shared" si="114"/>
        <v>#VALUE!</v>
      </c>
      <c r="F526" s="19" t="e">
        <f t="shared" si="115"/>
        <v>#VALUE!</v>
      </c>
      <c r="G526" s="15">
        <f t="shared" si="116"/>
        <v>1393716</v>
      </c>
      <c r="H526" s="15">
        <f>6*60*60*24*365/1000</f>
        <v>189216</v>
      </c>
      <c r="I526" s="16">
        <f t="shared" si="117"/>
        <v>0.132495</v>
      </c>
      <c r="J526" s="15">
        <f>J524+($J$186-$J$156)/15</f>
        <v>1204500</v>
      </c>
      <c r="K526" s="16">
        <f t="shared" si="119"/>
        <v>0</v>
      </c>
      <c r="L526" s="15">
        <f t="shared" si="120"/>
        <v>1096819.3999999994</v>
      </c>
      <c r="M526">
        <v>0</v>
      </c>
      <c r="N526" s="83">
        <v>0.11</v>
      </c>
      <c r="O526" s="15">
        <f>6*60*60*24*365/1000</f>
        <v>189216</v>
      </c>
      <c r="P526" t="s">
        <v>1105</v>
      </c>
    </row>
    <row r="527" spans="1:16" x14ac:dyDescent="0.15">
      <c r="A527">
        <f>A525+1</f>
        <v>10</v>
      </c>
      <c r="B527" s="10">
        <f>B525+1</f>
        <v>2025</v>
      </c>
      <c r="C527" s="20" t="e">
        <f t="shared" si="113"/>
        <v>#VALUE!</v>
      </c>
      <c r="D527" s="100">
        <f t="shared" si="118"/>
        <v>9.6355936258793115E-2</v>
      </c>
      <c r="E527" s="18" t="e">
        <f t="shared" si="114"/>
        <v>#VALUE!</v>
      </c>
      <c r="F527" s="19" t="e">
        <f t="shared" si="115"/>
        <v>#VALUE!</v>
      </c>
      <c r="G527" s="15">
        <f t="shared" si="116"/>
        <v>2033974.6666666674</v>
      </c>
      <c r="H527" s="15">
        <f>H525+(H$19-H$4)/15</f>
        <v>252288.00000000012</v>
      </c>
      <c r="I527" s="16">
        <f t="shared" si="117"/>
        <v>0.19598553333333341</v>
      </c>
      <c r="J527" s="15">
        <f>J525+($J$185-$J$155)/15</f>
        <v>1781686.6666666672</v>
      </c>
      <c r="K527" s="16">
        <f t="shared" si="119"/>
        <v>0</v>
      </c>
      <c r="L527" s="15">
        <f t="shared" si="120"/>
        <v>1102190.666666666</v>
      </c>
      <c r="M527">
        <v>0</v>
      </c>
      <c r="N527" s="83">
        <v>0.11</v>
      </c>
      <c r="O527" s="15">
        <f>36*60*60*24*365/1000</f>
        <v>1135296</v>
      </c>
      <c r="P527" t="s">
        <v>1106</v>
      </c>
    </row>
    <row r="528" spans="1:16" x14ac:dyDescent="0.15">
      <c r="B528" s="10">
        <f>B527+0.5</f>
        <v>2025.5</v>
      </c>
      <c r="C528" s="20" t="e">
        <f t="shared" si="113"/>
        <v>#VALUE!</v>
      </c>
      <c r="D528" s="100">
        <f t="shared" si="118"/>
        <v>9.576203475597575E-2</v>
      </c>
      <c r="E528" s="18" t="e">
        <f t="shared" si="114"/>
        <v>#VALUE!</v>
      </c>
      <c r="F528" s="19" t="e">
        <f t="shared" si="115"/>
        <v>#VALUE!</v>
      </c>
      <c r="G528" s="15">
        <f t="shared" si="116"/>
        <v>1461849.3333333333</v>
      </c>
      <c r="H528" s="15">
        <f>6*60*60*24*365/1000</f>
        <v>189216</v>
      </c>
      <c r="I528" s="16">
        <f t="shared" si="117"/>
        <v>0.13998966666666665</v>
      </c>
      <c r="J528" s="15">
        <f>J526+($J$186-$J$156)/15</f>
        <v>1272633.3333333333</v>
      </c>
      <c r="K528" s="16">
        <f t="shared" si="119"/>
        <v>0</v>
      </c>
      <c r="L528" s="15">
        <f t="shared" si="120"/>
        <v>1102190.666666666</v>
      </c>
      <c r="M528">
        <v>0</v>
      </c>
      <c r="N528" s="83">
        <v>0.11</v>
      </c>
      <c r="O528" s="15">
        <f>18*60*60*24*365/1000</f>
        <v>567648</v>
      </c>
      <c r="P528" t="s">
        <v>964</v>
      </c>
    </row>
    <row r="529" spans="1:16" x14ac:dyDescent="0.15">
      <c r="A529">
        <f>A527+1</f>
        <v>11</v>
      </c>
      <c r="B529" s="10">
        <f>B527+1</f>
        <v>2026</v>
      </c>
      <c r="C529" s="20" t="e">
        <f t="shared" si="113"/>
        <v>#VALUE!</v>
      </c>
      <c r="D529" s="100">
        <f t="shared" si="118"/>
        <v>9.6680764568084651E-2</v>
      </c>
      <c r="E529" s="18" t="e">
        <f t="shared" si="114"/>
        <v>#VALUE!</v>
      </c>
      <c r="F529" s="19" t="e">
        <f t="shared" si="115"/>
        <v>#VALUE!</v>
      </c>
      <c r="G529" s="15">
        <f t="shared" si="116"/>
        <v>2135668.5333333341</v>
      </c>
      <c r="H529" s="15">
        <f>H527+(H$19-H$4)/15</f>
        <v>258595.20000000013</v>
      </c>
      <c r="I529" s="16">
        <f t="shared" si="117"/>
        <v>0.20647806666666674</v>
      </c>
      <c r="J529" s="15">
        <f>J527+($J$185-$J$155)/15</f>
        <v>1877073.333333334</v>
      </c>
      <c r="K529" s="16">
        <f t="shared" si="119"/>
        <v>0</v>
      </c>
      <c r="L529" s="15">
        <f t="shared" si="120"/>
        <v>1107561.9333333327</v>
      </c>
      <c r="M529">
        <v>0</v>
      </c>
      <c r="N529" s="83">
        <v>0.11</v>
      </c>
      <c r="O529" s="15">
        <v>1129047</v>
      </c>
      <c r="P529" t="s">
        <v>1150</v>
      </c>
    </row>
    <row r="530" spans="1:16" x14ac:dyDescent="0.15">
      <c r="B530" s="10">
        <f>B529+0.5</f>
        <v>2026.5</v>
      </c>
      <c r="C530" s="20" t="e">
        <f t="shared" si="113"/>
        <v>#VALUE!</v>
      </c>
      <c r="D530" s="100">
        <f t="shared" si="118"/>
        <v>9.6396081175647297E-2</v>
      </c>
      <c r="E530" s="18" t="e">
        <f t="shared" si="114"/>
        <v>#VALUE!</v>
      </c>
      <c r="F530" s="19" t="e">
        <f t="shared" si="115"/>
        <v>#VALUE!</v>
      </c>
      <c r="G530" s="15">
        <f t="shared" si="116"/>
        <v>1529982.6666666665</v>
      </c>
      <c r="H530" s="15">
        <f>6*60*60*24*365/1000</f>
        <v>189216</v>
      </c>
      <c r="I530" s="16">
        <f t="shared" si="117"/>
        <v>0.1474843333333333</v>
      </c>
      <c r="J530" s="15">
        <f>J528+($J$186-$J$156)/15</f>
        <v>1340766.6666666665</v>
      </c>
      <c r="K530" s="16">
        <f t="shared" si="119"/>
        <v>0</v>
      </c>
      <c r="L530" s="15">
        <f t="shared" si="120"/>
        <v>1107561.9333333327</v>
      </c>
      <c r="M530">
        <v>0</v>
      </c>
      <c r="N530" s="83">
        <v>0.11</v>
      </c>
      <c r="O530" s="15">
        <v>1048478</v>
      </c>
      <c r="P530" t="s">
        <v>1149</v>
      </c>
    </row>
    <row r="531" spans="1:16" x14ac:dyDescent="0.15">
      <c r="A531">
        <f>A529+1</f>
        <v>12</v>
      </c>
      <c r="B531" s="10">
        <f>B529+1</f>
        <v>2027</v>
      </c>
      <c r="C531" s="20" t="e">
        <f t="shared" si="113"/>
        <v>#VALUE!</v>
      </c>
      <c r="D531" s="100">
        <f t="shared" si="118"/>
        <v>9.6976064315731789E-2</v>
      </c>
      <c r="E531" s="18" t="e">
        <f t="shared" si="114"/>
        <v>#VALUE!</v>
      </c>
      <c r="F531" s="19" t="e">
        <f t="shared" si="115"/>
        <v>#VALUE!</v>
      </c>
      <c r="G531" s="15">
        <f t="shared" si="116"/>
        <v>2237362.4000000008</v>
      </c>
      <c r="H531" s="15">
        <f>H529+(H$19-H$4)/15</f>
        <v>264902.40000000014</v>
      </c>
      <c r="I531" s="16">
        <f t="shared" si="117"/>
        <v>0.2169706000000001</v>
      </c>
      <c r="J531" s="15">
        <f>J529+($J$185-$J$155)/15</f>
        <v>1972460.0000000007</v>
      </c>
      <c r="K531" s="16">
        <f t="shared" si="119"/>
        <v>0</v>
      </c>
      <c r="L531" s="15">
        <f t="shared" si="120"/>
        <v>1112933.1999999993</v>
      </c>
      <c r="M531">
        <v>0</v>
      </c>
      <c r="N531" s="83">
        <v>0.11</v>
      </c>
      <c r="O531" s="10">
        <f>7/12</f>
        <v>0.58333333333333337</v>
      </c>
      <c r="P531" s="10" t="s">
        <v>1086</v>
      </c>
    </row>
    <row r="532" spans="1:16" x14ac:dyDescent="0.15">
      <c r="B532" s="10">
        <f>B531+0.5</f>
        <v>2027.5</v>
      </c>
      <c r="C532" s="20" t="e">
        <f t="shared" si="113"/>
        <v>#VALUE!</v>
      </c>
      <c r="D532" s="100">
        <f t="shared" si="118"/>
        <v>9.6976064315731775E-2</v>
      </c>
      <c r="E532" s="18" t="e">
        <f t="shared" si="114"/>
        <v>#VALUE!</v>
      </c>
      <c r="F532" s="19" t="e">
        <f t="shared" si="115"/>
        <v>#VALUE!</v>
      </c>
      <c r="G532" s="15">
        <f t="shared" si="116"/>
        <v>1598115.9999999998</v>
      </c>
      <c r="H532" s="15">
        <f>6*60*60*24*365/1000</f>
        <v>189216</v>
      </c>
      <c r="I532" s="16">
        <f t="shared" si="117"/>
        <v>0.15497899999999998</v>
      </c>
      <c r="J532" s="15">
        <f>J530+($J$186-$J$156)/15</f>
        <v>1408899.9999999998</v>
      </c>
      <c r="K532" s="16">
        <f t="shared" si="119"/>
        <v>0</v>
      </c>
      <c r="L532" s="15">
        <f t="shared" si="120"/>
        <v>1112933.1999999993</v>
      </c>
      <c r="M532">
        <v>0</v>
      </c>
      <c r="N532" s="83">
        <v>0.11</v>
      </c>
      <c r="O532">
        <f>5/12</f>
        <v>0.41666666666666669</v>
      </c>
      <c r="P532" s="10" t="s">
        <v>1087</v>
      </c>
    </row>
    <row r="533" spans="1:16" x14ac:dyDescent="0.15">
      <c r="A533">
        <f>A531+1</f>
        <v>13</v>
      </c>
      <c r="B533" s="10">
        <f>B531+1</f>
        <v>2028</v>
      </c>
      <c r="C533" s="20" t="e">
        <f t="shared" si="113"/>
        <v>#VALUE!</v>
      </c>
      <c r="D533" s="100">
        <f t="shared" si="118"/>
        <v>9.7245686892981686E-2</v>
      </c>
      <c r="E533" s="18" t="e">
        <f t="shared" si="114"/>
        <v>#VALUE!</v>
      </c>
      <c r="F533" s="19" t="e">
        <f t="shared" si="115"/>
        <v>#VALUE!</v>
      </c>
      <c r="G533" s="15">
        <f t="shared" si="116"/>
        <v>2339056.2666666675</v>
      </c>
      <c r="H533" s="15">
        <f>H531+(H$19-H$4)/15</f>
        <v>271209.60000000015</v>
      </c>
      <c r="I533" s="16">
        <f t="shared" si="117"/>
        <v>0.22746313333333343</v>
      </c>
      <c r="J533" s="15">
        <f>J531+($J$185-$J$155)/15</f>
        <v>2067846.6666666674</v>
      </c>
      <c r="K533" s="16">
        <f t="shared" si="119"/>
        <v>0</v>
      </c>
      <c r="L533" s="15">
        <f t="shared" si="120"/>
        <v>1118304.4666666659</v>
      </c>
      <c r="M533">
        <v>0</v>
      </c>
      <c r="N533" s="83">
        <v>0.11</v>
      </c>
      <c r="O533" s="15" t="s">
        <v>935</v>
      </c>
      <c r="P533" s="15" t="s">
        <v>1119</v>
      </c>
    </row>
    <row r="534" spans="1:16" x14ac:dyDescent="0.15">
      <c r="B534" s="10">
        <f>B533+0.5</f>
        <v>2028.5</v>
      </c>
      <c r="C534" s="20" t="e">
        <f t="shared" si="113"/>
        <v>#VALUE!</v>
      </c>
      <c r="D534" s="100">
        <f t="shared" si="118"/>
        <v>9.7508616157485836E-2</v>
      </c>
      <c r="E534" s="18" t="e">
        <f t="shared" si="114"/>
        <v>#VALUE!</v>
      </c>
      <c r="F534" s="19" t="e">
        <f t="shared" si="115"/>
        <v>#VALUE!</v>
      </c>
      <c r="G534" s="15">
        <f t="shared" si="116"/>
        <v>1666249.333333333</v>
      </c>
      <c r="H534" s="15">
        <f>6*60*60*24*365/1000</f>
        <v>189216</v>
      </c>
      <c r="I534" s="16">
        <f t="shared" si="117"/>
        <v>0.16247366666666663</v>
      </c>
      <c r="J534" s="15">
        <f>J532+($J$186-$J$156)/15</f>
        <v>1477033.333333333</v>
      </c>
      <c r="K534" s="16">
        <f t="shared" si="119"/>
        <v>0</v>
      </c>
      <c r="L534" s="15">
        <f t="shared" si="120"/>
        <v>1118304.4666666659</v>
      </c>
      <c r="M534">
        <v>0</v>
      </c>
      <c r="N534" s="83">
        <v>0.11</v>
      </c>
    </row>
    <row r="535" spans="1:16" x14ac:dyDescent="0.15">
      <c r="A535">
        <f>A533+1</f>
        <v>14</v>
      </c>
      <c r="B535" s="10">
        <f>B533+1</f>
        <v>2029</v>
      </c>
      <c r="C535" s="20" t="e">
        <f t="shared" si="113"/>
        <v>#VALUE!</v>
      </c>
      <c r="D535" s="100">
        <f t="shared" si="118"/>
        <v>9.7492841818138318E-2</v>
      </c>
      <c r="E535" s="18" t="e">
        <f t="shared" si="114"/>
        <v>#VALUE!</v>
      </c>
      <c r="F535" s="19" t="e">
        <f t="shared" si="115"/>
        <v>#VALUE!</v>
      </c>
      <c r="G535" s="15">
        <f t="shared" si="116"/>
        <v>2440750.1333333342</v>
      </c>
      <c r="H535" s="15">
        <f>H533+(H$19-H$4)/15</f>
        <v>277516.80000000016</v>
      </c>
      <c r="I535" s="16">
        <f t="shared" si="117"/>
        <v>0.23795566666666676</v>
      </c>
      <c r="J535" s="15">
        <f>J533+($J$185-$J$155)/15</f>
        <v>2163233.333333334</v>
      </c>
      <c r="K535" s="16">
        <f t="shared" si="119"/>
        <v>0</v>
      </c>
      <c r="L535" s="15">
        <f t="shared" si="120"/>
        <v>1123675.7333333325</v>
      </c>
      <c r="M535">
        <v>0</v>
      </c>
      <c r="N535" s="83">
        <v>0.11</v>
      </c>
    </row>
    <row r="536" spans="1:16" x14ac:dyDescent="0.15">
      <c r="B536" s="10">
        <f>B535+0.5</f>
        <v>2029.5</v>
      </c>
      <c r="C536" s="20" t="e">
        <f t="shared" si="113"/>
        <v>#VALUE!</v>
      </c>
      <c r="D536" s="100">
        <f t="shared" si="118"/>
        <v>9.7999326561535427E-2</v>
      </c>
      <c r="E536" s="18" t="e">
        <f t="shared" si="114"/>
        <v>#VALUE!</v>
      </c>
      <c r="F536" s="19" t="e">
        <f t="shared" si="115"/>
        <v>#VALUE!</v>
      </c>
      <c r="G536" s="15">
        <f t="shared" si="116"/>
        <v>1734382.6666666663</v>
      </c>
      <c r="H536" s="15">
        <f>6*60*60*24*365/1000</f>
        <v>189216</v>
      </c>
      <c r="I536" s="16">
        <f t="shared" si="117"/>
        <v>0.16996833333333328</v>
      </c>
      <c r="J536" s="15">
        <f>J534+($J$186-$J$156)/15</f>
        <v>1545166.6666666663</v>
      </c>
      <c r="K536" s="16">
        <f t="shared" si="119"/>
        <v>0</v>
      </c>
      <c r="L536" s="15">
        <f t="shared" si="120"/>
        <v>1123675.7333333325</v>
      </c>
      <c r="M536">
        <v>0</v>
      </c>
      <c r="N536" s="83">
        <v>0.11</v>
      </c>
    </row>
    <row r="537" spans="1:16" x14ac:dyDescent="0.15">
      <c r="A537">
        <f>A535+1</f>
        <v>15</v>
      </c>
      <c r="B537" s="10">
        <f>B535+1</f>
        <v>2030</v>
      </c>
      <c r="C537" s="20" t="e">
        <f>(D537*G537+D538*F538)/F537</f>
        <v>#VALUE!</v>
      </c>
      <c r="D537" s="100">
        <f t="shared" si="118"/>
        <v>9.7720225106236375E-2</v>
      </c>
      <c r="E537" s="18" t="e">
        <f t="shared" si="114"/>
        <v>#VALUE!</v>
      </c>
      <c r="F537" s="19" t="e">
        <f>F538+H537+J537</f>
        <v>#VALUE!</v>
      </c>
      <c r="G537" s="15">
        <f t="shared" si="116"/>
        <v>2542444</v>
      </c>
      <c r="H537" s="15">
        <v>283824</v>
      </c>
      <c r="I537" s="16">
        <f t="shared" si="117"/>
        <v>0.24844820000000001</v>
      </c>
      <c r="J537" s="15">
        <f>O522*O531</f>
        <v>2258620</v>
      </c>
      <c r="K537" s="16">
        <f t="shared" si="119"/>
        <v>0</v>
      </c>
      <c r="L537" s="15">
        <f t="shared" si="120"/>
        <v>1129046.9999999991</v>
      </c>
      <c r="M537">
        <v>0</v>
      </c>
      <c r="N537" s="83">
        <v>0.11</v>
      </c>
    </row>
    <row r="538" spans="1:16" x14ac:dyDescent="0.15">
      <c r="B538" s="10">
        <f>B537+0.5</f>
        <v>2030.5</v>
      </c>
      <c r="C538" s="20" t="e">
        <f>(D538*G538)/F538</f>
        <v>#VALUE!</v>
      </c>
      <c r="D538" s="100">
        <f t="shared" si="118"/>
        <v>9.8452940223554192E-2</v>
      </c>
      <c r="E538" s="18" t="e">
        <f t="shared" si="114"/>
        <v>#VALUE!</v>
      </c>
      <c r="F538" s="19" t="e">
        <f>F545+H538+J538</f>
        <v>#VALUE!</v>
      </c>
      <c r="G538" s="15">
        <f t="shared" si="116"/>
        <v>1802516</v>
      </c>
      <c r="H538" s="15">
        <f>6*60*60*24*365/1000</f>
        <v>189216</v>
      </c>
      <c r="I538" s="16">
        <f t="shared" si="117"/>
        <v>0.17746300000000001</v>
      </c>
      <c r="J538" s="15">
        <f>O522*O532</f>
        <v>1613300</v>
      </c>
      <c r="K538" s="16">
        <f t="shared" si="119"/>
        <v>0</v>
      </c>
      <c r="L538" s="15">
        <f t="shared" si="120"/>
        <v>1129046.9999999991</v>
      </c>
      <c r="M538">
        <v>0</v>
      </c>
      <c r="N538" s="83">
        <v>0.11</v>
      </c>
    </row>
    <row r="545" spans="1:16" ht="56" x14ac:dyDescent="0.15">
      <c r="A545" s="119" t="s">
        <v>4</v>
      </c>
      <c r="B545" s="12"/>
      <c r="C545" s="12" t="s">
        <v>1172</v>
      </c>
      <c r="D545" s="13" t="s">
        <v>1166</v>
      </c>
      <c r="E545" s="13" t="s">
        <v>751</v>
      </c>
      <c r="F545" s="13" t="s">
        <v>751</v>
      </c>
      <c r="G545" s="13" t="s">
        <v>1088</v>
      </c>
      <c r="H545" s="13" t="s">
        <v>883</v>
      </c>
      <c r="I545" s="12" t="s">
        <v>1102</v>
      </c>
      <c r="J545" s="13" t="s">
        <v>897</v>
      </c>
      <c r="K545" s="13" t="s">
        <v>745</v>
      </c>
      <c r="L545" s="13" t="s">
        <v>898</v>
      </c>
      <c r="M545" s="12" t="s">
        <v>750</v>
      </c>
      <c r="N545" s="13" t="s">
        <v>1101</v>
      </c>
      <c r="O545" s="12"/>
      <c r="P545" s="12"/>
    </row>
    <row r="546" spans="1:16" x14ac:dyDescent="0.15">
      <c r="A546" s="1" t="s">
        <v>746</v>
      </c>
      <c r="B546" s="1" t="s">
        <v>747</v>
      </c>
      <c r="C546" s="1"/>
      <c r="D546" s="14" t="s">
        <v>748</v>
      </c>
      <c r="E546" s="14" t="s">
        <v>1104</v>
      </c>
      <c r="F546" s="14" t="s">
        <v>718</v>
      </c>
      <c r="G546" s="14" t="s">
        <v>749</v>
      </c>
      <c r="H546" s="14" t="s">
        <v>749</v>
      </c>
      <c r="I546" s="14" t="s">
        <v>884</v>
      </c>
      <c r="J546" s="14" t="s">
        <v>749</v>
      </c>
      <c r="K546" s="14" t="s">
        <v>884</v>
      </c>
      <c r="L546" s="14" t="s">
        <v>1144</v>
      </c>
      <c r="M546" s="1" t="s">
        <v>885</v>
      </c>
      <c r="N546" s="14" t="s">
        <v>748</v>
      </c>
      <c r="O546" s="1"/>
      <c r="P546" s="1"/>
    </row>
    <row r="547" spans="1:16" x14ac:dyDescent="0.15">
      <c r="A547">
        <v>0</v>
      </c>
      <c r="B547" s="10">
        <v>2015</v>
      </c>
      <c r="C547" s="20">
        <f t="shared" ref="C547:C576" si="121">(D547*G547+D549*F549)/F547</f>
        <v>8.1188669004337421E-3</v>
      </c>
      <c r="D547" s="100">
        <f>(K547*1000/G547)+(I547/G547)*1000000000/1000</f>
        <v>8.1395348837209284E-3</v>
      </c>
      <c r="E547" s="18">
        <f t="shared" ref="E547:E578" si="122">F547/1000000</f>
        <v>49.140096000000007</v>
      </c>
      <c r="F547" s="19">
        <f t="shared" ref="F547:F576" si="123">F548+H547+J547</f>
        <v>49140096.000000007</v>
      </c>
      <c r="G547" s="15">
        <f t="shared" ref="G547:G578" si="124">H547+J547</f>
        <v>1017036</v>
      </c>
      <c r="H547" s="15">
        <f>6*60*60*24*365/1000</f>
        <v>189216</v>
      </c>
      <c r="I547" s="174">
        <f>J547*1000*$N547/1000000000</f>
        <v>8.2781999999999994E-3</v>
      </c>
      <c r="J547" s="15">
        <f>45*60*60*24*365/1000*O$179</f>
        <v>827820</v>
      </c>
      <c r="K547" s="16">
        <f>L547*M547/1000000</f>
        <v>0</v>
      </c>
      <c r="L547" s="15">
        <v>1048478</v>
      </c>
      <c r="M547">
        <v>0</v>
      </c>
      <c r="N547" s="83">
        <v>0.01</v>
      </c>
    </row>
    <row r="548" spans="1:16" x14ac:dyDescent="0.15">
      <c r="B548" s="10">
        <v>2015.5</v>
      </c>
      <c r="C548" s="20">
        <f t="shared" si="121"/>
        <v>7.5865895037591684E-3</v>
      </c>
      <c r="D548" s="100">
        <f t="shared" ref="D548:D578" si="125">(K548*1000/G548)+(I548/G548)*1000000000/1000</f>
        <v>7.575757575757576E-3</v>
      </c>
      <c r="E548" s="18">
        <f t="shared" si="122"/>
        <v>48.123060000000009</v>
      </c>
      <c r="F548" s="19">
        <f t="shared" si="123"/>
        <v>48123060.000000007</v>
      </c>
      <c r="G548" s="15">
        <f t="shared" si="124"/>
        <v>780516</v>
      </c>
      <c r="H548" s="15">
        <f>6*60*60*24*365/1000</f>
        <v>189216</v>
      </c>
      <c r="I548" s="174">
        <f t="shared" ref="I548:I578" si="126">J548*1000*$N548/1000000000</f>
        <v>5.9129999999999999E-3</v>
      </c>
      <c r="J548" s="15">
        <f>45*60*60*24*365/1000*O$180</f>
        <v>591300</v>
      </c>
      <c r="K548" s="16">
        <f t="shared" ref="K548:K578" si="127">L548*M548/1000000</f>
        <v>0</v>
      </c>
      <c r="L548" s="15">
        <v>1048478</v>
      </c>
      <c r="M548">
        <v>0</v>
      </c>
      <c r="N548" s="83">
        <v>0.01</v>
      </c>
    </row>
    <row r="549" spans="1:16" x14ac:dyDescent="0.15">
      <c r="A549">
        <f>A547+1</f>
        <v>1</v>
      </c>
      <c r="B549" s="10">
        <f>B547+1</f>
        <v>2016</v>
      </c>
      <c r="C549" s="20">
        <f t="shared" si="121"/>
        <v>8.1943945705764271E-3</v>
      </c>
      <c r="D549" s="100">
        <f t="shared" si="125"/>
        <v>8.2522751396405004E-3</v>
      </c>
      <c r="E549" s="18">
        <f t="shared" si="122"/>
        <v>47.342544000000011</v>
      </c>
      <c r="F549" s="19">
        <f t="shared" si="123"/>
        <v>47342544.000000007</v>
      </c>
      <c r="G549" s="15">
        <f t="shared" si="124"/>
        <v>1118729.8666666667</v>
      </c>
      <c r="H549" s="15">
        <f>H547+(H$19-H$4)/15</f>
        <v>195523.20000000001</v>
      </c>
      <c r="I549" s="174">
        <f t="shared" si="126"/>
        <v>9.2320666666666669E-3</v>
      </c>
      <c r="J549" s="15">
        <f>J547+($J$185-$J$155)/15</f>
        <v>923206.66666666663</v>
      </c>
      <c r="K549" s="16">
        <f t="shared" si="127"/>
        <v>0</v>
      </c>
      <c r="L549" s="15">
        <f t="shared" ref="L549:L578" si="128">L547+(L$19-L$4)/15</f>
        <v>1053849.2666666666</v>
      </c>
      <c r="M549">
        <v>0</v>
      </c>
      <c r="N549" s="83">
        <v>0.01</v>
      </c>
    </row>
    <row r="550" spans="1:16" x14ac:dyDescent="0.15">
      <c r="B550" s="10">
        <v>2016.5</v>
      </c>
      <c r="C550" s="20">
        <f t="shared" si="121"/>
        <v>7.7235120123140075E-3</v>
      </c>
      <c r="D550" s="100">
        <f t="shared" si="125"/>
        <v>7.7703865122147036E-3</v>
      </c>
      <c r="E550" s="18">
        <f t="shared" si="122"/>
        <v>46.223814133333342</v>
      </c>
      <c r="F550" s="19">
        <f t="shared" si="123"/>
        <v>46223814.13333334</v>
      </c>
      <c r="G550" s="15">
        <f t="shared" si="124"/>
        <v>848649.33333333337</v>
      </c>
      <c r="H550" s="15">
        <f>6*60*60*24*365/1000</f>
        <v>189216</v>
      </c>
      <c r="I550" s="174">
        <f t="shared" si="126"/>
        <v>6.594333333333334E-3</v>
      </c>
      <c r="J550" s="15">
        <f>J548+($J$186-$J$156)/15</f>
        <v>659433.33333333337</v>
      </c>
      <c r="K550" s="16">
        <f t="shared" si="127"/>
        <v>0</v>
      </c>
      <c r="L550" s="15">
        <f t="shared" si="128"/>
        <v>1053849.2666666666</v>
      </c>
      <c r="M550">
        <v>0</v>
      </c>
      <c r="N550" s="83">
        <v>0.01</v>
      </c>
    </row>
    <row r="551" spans="1:16" x14ac:dyDescent="0.15">
      <c r="A551">
        <f>A549+1</f>
        <v>2</v>
      </c>
      <c r="B551" s="10">
        <f>B549+1</f>
        <v>2017</v>
      </c>
      <c r="C551" s="20">
        <f t="shared" si="121"/>
        <v>8.2533496994949152E-3</v>
      </c>
      <c r="D551" s="100">
        <f t="shared" si="125"/>
        <v>8.3462268514826205E-3</v>
      </c>
      <c r="E551" s="18">
        <f t="shared" si="122"/>
        <v>45.375164800000007</v>
      </c>
      <c r="F551" s="19">
        <f t="shared" si="123"/>
        <v>45375164.800000004</v>
      </c>
      <c r="G551" s="15">
        <f t="shared" si="124"/>
        <v>1220423.7333333334</v>
      </c>
      <c r="H551" s="15">
        <f>H549+(H$19-H$4)/15</f>
        <v>201830.40000000002</v>
      </c>
      <c r="I551" s="174">
        <f t="shared" si="126"/>
        <v>1.0185933333333333E-2</v>
      </c>
      <c r="J551" s="15">
        <f>J549+($J$185-$J$155)/15</f>
        <v>1018593.3333333333</v>
      </c>
      <c r="K551" s="16">
        <f t="shared" si="127"/>
        <v>0</v>
      </c>
      <c r="L551" s="15">
        <f t="shared" si="128"/>
        <v>1059220.5333333332</v>
      </c>
      <c r="M551">
        <v>0</v>
      </c>
      <c r="N551" s="83">
        <v>0.01</v>
      </c>
    </row>
    <row r="552" spans="1:16" x14ac:dyDescent="0.15">
      <c r="B552" s="10">
        <f>B551+0.5</f>
        <v>2017.5</v>
      </c>
      <c r="C552" s="20">
        <f t="shared" si="121"/>
        <v>7.8339931972007861E-3</v>
      </c>
      <c r="D552" s="100">
        <f t="shared" si="125"/>
        <v>7.9360866334005735E-3</v>
      </c>
      <c r="E552" s="18">
        <f t="shared" si="122"/>
        <v>44.154741066666674</v>
      </c>
      <c r="F552" s="19">
        <f t="shared" si="123"/>
        <v>44154741.06666667</v>
      </c>
      <c r="G552" s="15">
        <f t="shared" si="124"/>
        <v>916782.66666666674</v>
      </c>
      <c r="H552" s="15">
        <f>6*60*60*24*365/1000</f>
        <v>189216</v>
      </c>
      <c r="I552" s="174">
        <f t="shared" si="126"/>
        <v>7.2756666666666681E-3</v>
      </c>
      <c r="J552" s="15">
        <f>J550+($J$186-$J$156)/15</f>
        <v>727566.66666666674</v>
      </c>
      <c r="K552" s="16">
        <f t="shared" si="127"/>
        <v>0</v>
      </c>
      <c r="L552" s="15">
        <f t="shared" si="128"/>
        <v>1059220.5333333332</v>
      </c>
      <c r="M552">
        <v>0</v>
      </c>
      <c r="N552" s="83">
        <v>0.01</v>
      </c>
    </row>
    <row r="553" spans="1:16" x14ac:dyDescent="0.15">
      <c r="A553">
        <f>A551+1</f>
        <v>3</v>
      </c>
      <c r="B553" s="10">
        <f>B551+1</f>
        <v>2018</v>
      </c>
      <c r="C553" s="20">
        <f t="shared" si="121"/>
        <v>8.2983028336419268E-3</v>
      </c>
      <c r="D553" s="100">
        <f t="shared" si="125"/>
        <v>8.425725517911568E-3</v>
      </c>
      <c r="E553" s="18">
        <f t="shared" si="122"/>
        <v>43.237958400000004</v>
      </c>
      <c r="F553" s="19">
        <f t="shared" si="123"/>
        <v>43237958.400000006</v>
      </c>
      <c r="G553" s="15">
        <f t="shared" si="124"/>
        <v>1322117.6000000001</v>
      </c>
      <c r="H553" s="15">
        <f>H551+(H$19-H$4)/15</f>
        <v>208137.60000000003</v>
      </c>
      <c r="I553" s="174">
        <f t="shared" si="126"/>
        <v>1.11398E-2</v>
      </c>
      <c r="J553" s="15">
        <f>J551+($J$185-$J$155)/15</f>
        <v>1113980</v>
      </c>
      <c r="K553" s="16">
        <f t="shared" si="127"/>
        <v>0</v>
      </c>
      <c r="L553" s="15">
        <f t="shared" si="128"/>
        <v>1064591.7999999998</v>
      </c>
      <c r="M553">
        <v>0</v>
      </c>
      <c r="N553" s="83">
        <v>0.01</v>
      </c>
    </row>
    <row r="554" spans="1:16" x14ac:dyDescent="0.15">
      <c r="B554" s="10">
        <f>B553+0.5</f>
        <v>2018.5</v>
      </c>
      <c r="C554" s="20">
        <f t="shared" si="121"/>
        <v>7.9215926281765887E-3</v>
      </c>
      <c r="D554" s="100">
        <f t="shared" si="125"/>
        <v>8.0788615475837523E-3</v>
      </c>
      <c r="E554" s="18">
        <f t="shared" si="122"/>
        <v>41.915840800000005</v>
      </c>
      <c r="F554" s="19">
        <f t="shared" si="123"/>
        <v>41915840.800000004</v>
      </c>
      <c r="G554" s="15">
        <f t="shared" si="124"/>
        <v>984916.00000000012</v>
      </c>
      <c r="H554" s="15">
        <f>6*60*60*24*365/1000</f>
        <v>189216</v>
      </c>
      <c r="I554" s="174">
        <f t="shared" si="126"/>
        <v>7.9570000000000005E-3</v>
      </c>
      <c r="J554" s="15">
        <f>J552+($J$186-$J$156)/15</f>
        <v>795700.00000000012</v>
      </c>
      <c r="K554" s="16">
        <f t="shared" si="127"/>
        <v>0</v>
      </c>
      <c r="L554" s="15">
        <f t="shared" si="128"/>
        <v>1064591.7999999998</v>
      </c>
      <c r="M554">
        <v>0</v>
      </c>
      <c r="N554" s="83">
        <v>0.01</v>
      </c>
    </row>
    <row r="555" spans="1:16" x14ac:dyDescent="0.15">
      <c r="A555">
        <f>A553+1</f>
        <v>4</v>
      </c>
      <c r="B555" s="10">
        <f>B553+1</f>
        <v>2019</v>
      </c>
      <c r="C555" s="20">
        <f t="shared" si="121"/>
        <v>8.3308258867003989E-3</v>
      </c>
      <c r="D555" s="100">
        <f t="shared" si="125"/>
        <v>8.4938680083673987E-3</v>
      </c>
      <c r="E555" s="18">
        <f t="shared" si="122"/>
        <v>40.930924800000007</v>
      </c>
      <c r="F555" s="19">
        <f t="shared" si="123"/>
        <v>40930924.800000004</v>
      </c>
      <c r="G555" s="15">
        <f t="shared" si="124"/>
        <v>1423811.4666666668</v>
      </c>
      <c r="H555" s="15">
        <f>H553+(H$19-H$4)/15</f>
        <v>214444.80000000005</v>
      </c>
      <c r="I555" s="174">
        <f t="shared" si="126"/>
        <v>1.2093666666666667E-2</v>
      </c>
      <c r="J555" s="15">
        <f>J553+($J$185-$J$155)/15</f>
        <v>1209366.6666666667</v>
      </c>
      <c r="K555" s="16">
        <f t="shared" si="127"/>
        <v>0</v>
      </c>
      <c r="L555" s="15">
        <f t="shared" si="128"/>
        <v>1069963.0666666664</v>
      </c>
      <c r="M555">
        <v>0</v>
      </c>
      <c r="N555" s="83">
        <v>0.01</v>
      </c>
    </row>
    <row r="556" spans="1:16" x14ac:dyDescent="0.15">
      <c r="B556" s="10">
        <f>B555+0.5</f>
        <v>2019.5</v>
      </c>
      <c r="C556" s="20">
        <f t="shared" si="121"/>
        <v>7.9884744972564189E-3</v>
      </c>
      <c r="D556" s="100">
        <f t="shared" si="125"/>
        <v>8.2031611054626148E-3</v>
      </c>
      <c r="E556" s="18">
        <f t="shared" si="122"/>
        <v>39.507113333333344</v>
      </c>
      <c r="F556" s="19">
        <f t="shared" si="123"/>
        <v>39507113.333333343</v>
      </c>
      <c r="G556" s="15">
        <f t="shared" si="124"/>
        <v>1053049.3333333335</v>
      </c>
      <c r="H556" s="15">
        <f>6*60*60*24*365/1000</f>
        <v>189216</v>
      </c>
      <c r="I556" s="174">
        <f t="shared" si="126"/>
        <v>8.6383333333333364E-3</v>
      </c>
      <c r="J556" s="15">
        <f>J554+($J$186-$J$156)/15</f>
        <v>863833.33333333349</v>
      </c>
      <c r="K556" s="16">
        <f t="shared" si="127"/>
        <v>0</v>
      </c>
      <c r="L556" s="15">
        <f t="shared" si="128"/>
        <v>1069963.0666666664</v>
      </c>
      <c r="M556">
        <v>0</v>
      </c>
      <c r="N556" s="83">
        <v>0.01</v>
      </c>
    </row>
    <row r="557" spans="1:16" x14ac:dyDescent="0.15">
      <c r="A557">
        <f>A555+1</f>
        <v>5</v>
      </c>
      <c r="B557" s="10">
        <f>B555+1</f>
        <v>2020</v>
      </c>
      <c r="C557" s="20">
        <f t="shared" si="121"/>
        <v>8.3516717419943251E-3</v>
      </c>
      <c r="D557" s="100">
        <f t="shared" si="125"/>
        <v>8.5529254131308623E-3</v>
      </c>
      <c r="E557" s="18">
        <f t="shared" si="122"/>
        <v>38.45406400000001</v>
      </c>
      <c r="F557" s="19">
        <f t="shared" si="123"/>
        <v>38454064.000000007</v>
      </c>
      <c r="G557" s="15">
        <f t="shared" si="124"/>
        <v>1525505.3333333335</v>
      </c>
      <c r="H557" s="15">
        <f>H555+(H$19-H$4)/15</f>
        <v>220752.00000000006</v>
      </c>
      <c r="I557" s="174">
        <f t="shared" si="126"/>
        <v>1.3047533333333337E-2</v>
      </c>
      <c r="J557" s="15">
        <f>J555+($J$185-$J$155)/15</f>
        <v>1304753.3333333335</v>
      </c>
      <c r="K557" s="16">
        <f t="shared" si="127"/>
        <v>0</v>
      </c>
      <c r="L557" s="15">
        <f t="shared" si="128"/>
        <v>1075334.333333333</v>
      </c>
      <c r="M557">
        <v>0</v>
      </c>
      <c r="N557" s="83">
        <v>0.01</v>
      </c>
    </row>
    <row r="558" spans="1:16" x14ac:dyDescent="0.15">
      <c r="B558" s="10">
        <f>B557+0.5</f>
        <v>2020.5</v>
      </c>
      <c r="C558" s="20">
        <f t="shared" si="121"/>
        <v>8.0355687882911857E-3</v>
      </c>
      <c r="D558" s="100">
        <f t="shared" si="125"/>
        <v>8.3123535029082391E-3</v>
      </c>
      <c r="E558" s="18">
        <f t="shared" si="122"/>
        <v>36.928558666666675</v>
      </c>
      <c r="F558" s="19">
        <f t="shared" si="123"/>
        <v>36928558.666666672</v>
      </c>
      <c r="G558" s="15">
        <f t="shared" si="124"/>
        <v>1121182.666666667</v>
      </c>
      <c r="H558" s="15">
        <f>6*60*60*24*365/1000</f>
        <v>189216</v>
      </c>
      <c r="I558" s="174">
        <f t="shared" si="126"/>
        <v>9.3196666666666705E-3</v>
      </c>
      <c r="J558" s="15">
        <f>J556+($J$186-$J$156)/15</f>
        <v>931966.66666666686</v>
      </c>
      <c r="K558" s="16">
        <f t="shared" si="127"/>
        <v>0</v>
      </c>
      <c r="L558" s="15">
        <f t="shared" si="128"/>
        <v>1075334.333333333</v>
      </c>
      <c r="M558">
        <v>0</v>
      </c>
      <c r="N558" s="83">
        <v>0.01</v>
      </c>
    </row>
    <row r="559" spans="1:16" x14ac:dyDescent="0.15">
      <c r="A559">
        <f>A557+1</f>
        <v>6</v>
      </c>
      <c r="B559" s="10">
        <f>B557+1</f>
        <v>2021</v>
      </c>
      <c r="C559" s="20">
        <f t="shared" si="121"/>
        <v>8.3608155235626643E-3</v>
      </c>
      <c r="D559" s="100">
        <f t="shared" si="125"/>
        <v>8.6046010838746727E-3</v>
      </c>
      <c r="E559" s="18">
        <f t="shared" si="122"/>
        <v>35.807376000000005</v>
      </c>
      <c r="F559" s="19">
        <f t="shared" si="123"/>
        <v>35807376.000000007</v>
      </c>
      <c r="G559" s="15">
        <f t="shared" si="124"/>
        <v>1627199.2000000002</v>
      </c>
      <c r="H559" s="15">
        <f>H557+(H$19-H$4)/15</f>
        <v>227059.20000000007</v>
      </c>
      <c r="I559" s="174">
        <f t="shared" si="126"/>
        <v>1.4001400000000002E-2</v>
      </c>
      <c r="J559" s="15">
        <f>J557+($J$185-$J$155)/15</f>
        <v>1400140.0000000002</v>
      </c>
      <c r="K559" s="16">
        <f t="shared" si="127"/>
        <v>0</v>
      </c>
      <c r="L559" s="15">
        <f t="shared" si="128"/>
        <v>1080705.5999999996</v>
      </c>
      <c r="M559">
        <v>0</v>
      </c>
      <c r="N559" s="83">
        <v>0.01</v>
      </c>
    </row>
    <row r="560" spans="1:16" x14ac:dyDescent="0.15">
      <c r="B560" s="10">
        <f>B559+0.5</f>
        <v>2021.5</v>
      </c>
      <c r="C560" s="20">
        <f t="shared" si="121"/>
        <v>8.0625359817503538E-3</v>
      </c>
      <c r="D560" s="100">
        <f t="shared" si="125"/>
        <v>8.4090351092560751E-3</v>
      </c>
      <c r="E560" s="18">
        <f t="shared" si="122"/>
        <v>34.180176800000005</v>
      </c>
      <c r="F560" s="19">
        <f t="shared" si="123"/>
        <v>34180176.800000004</v>
      </c>
      <c r="G560" s="15">
        <f t="shared" si="124"/>
        <v>1189316.0000000002</v>
      </c>
      <c r="H560" s="15">
        <f>6*60*60*24*365/1000</f>
        <v>189216</v>
      </c>
      <c r="I560" s="174">
        <f t="shared" si="126"/>
        <v>1.0001000000000001E-2</v>
      </c>
      <c r="J560" s="15">
        <f>J558+($J$186-$J$156)/15</f>
        <v>1000100.0000000002</v>
      </c>
      <c r="K560" s="16">
        <f t="shared" si="127"/>
        <v>0</v>
      </c>
      <c r="L560" s="15">
        <f t="shared" si="128"/>
        <v>1080705.5999999996</v>
      </c>
      <c r="M560">
        <v>0</v>
      </c>
      <c r="N560" s="83">
        <v>0.01</v>
      </c>
    </row>
    <row r="561" spans="1:16" x14ac:dyDescent="0.15">
      <c r="A561">
        <f>A559+1</f>
        <v>7</v>
      </c>
      <c r="B561" s="10">
        <f>B559+1</f>
        <v>2022</v>
      </c>
      <c r="C561" s="20">
        <f t="shared" si="121"/>
        <v>8.3573563009992149E-3</v>
      </c>
      <c r="D561" s="100">
        <f t="shared" si="125"/>
        <v>8.6501976062062988E-3</v>
      </c>
      <c r="E561" s="18">
        <f t="shared" si="122"/>
        <v>32.9908608</v>
      </c>
      <c r="F561" s="19">
        <f t="shared" si="123"/>
        <v>32990860.800000001</v>
      </c>
      <c r="G561" s="15">
        <f t="shared" si="124"/>
        <v>1728893.0666666671</v>
      </c>
      <c r="H561" s="15">
        <f>H559+(H$19-H$4)/15</f>
        <v>233366.40000000008</v>
      </c>
      <c r="I561" s="174">
        <f t="shared" si="126"/>
        <v>1.495526666666667E-2</v>
      </c>
      <c r="J561" s="15">
        <f>J559+($J$185-$J$155)/15</f>
        <v>1495526.666666667</v>
      </c>
      <c r="K561" s="16">
        <f t="shared" si="127"/>
        <v>0</v>
      </c>
      <c r="L561" s="15">
        <f t="shared" si="128"/>
        <v>1086076.8666666662</v>
      </c>
      <c r="M561">
        <v>0</v>
      </c>
      <c r="N561" s="83">
        <v>0.01</v>
      </c>
    </row>
    <row r="562" spans="1:16" x14ac:dyDescent="0.15">
      <c r="B562" s="10">
        <f>B561+0.5</f>
        <v>2022.5</v>
      </c>
      <c r="C562" s="20">
        <f t="shared" si="121"/>
        <v>8.0674922680379364E-3</v>
      </c>
      <c r="D562" s="100">
        <f t="shared" si="125"/>
        <v>8.4952395696261326E-3</v>
      </c>
      <c r="E562" s="18">
        <f t="shared" si="122"/>
        <v>31.261967733333336</v>
      </c>
      <c r="F562" s="19">
        <f t="shared" si="123"/>
        <v>31261967.733333334</v>
      </c>
      <c r="G562" s="15">
        <f t="shared" si="124"/>
        <v>1257449.3333333335</v>
      </c>
      <c r="H562" s="15">
        <f>6*60*60*24*365/1000</f>
        <v>189216</v>
      </c>
      <c r="I562" s="174">
        <f t="shared" si="126"/>
        <v>1.0682333333333335E-2</v>
      </c>
      <c r="J562" s="15">
        <f>J560+($J$186-$J$156)/15</f>
        <v>1068233.3333333335</v>
      </c>
      <c r="K562" s="16">
        <f t="shared" si="127"/>
        <v>0</v>
      </c>
      <c r="L562" s="15">
        <f t="shared" si="128"/>
        <v>1086076.8666666662</v>
      </c>
      <c r="M562">
        <v>0</v>
      </c>
      <c r="N562" s="83">
        <v>0.01</v>
      </c>
      <c r="O562" s="15">
        <v>3871920</v>
      </c>
      <c r="P562" t="s">
        <v>911</v>
      </c>
    </row>
    <row r="563" spans="1:16" x14ac:dyDescent="0.15">
      <c r="A563">
        <f>A561+1</f>
        <v>8</v>
      </c>
      <c r="B563" s="10">
        <f>B561+1</f>
        <v>2023</v>
      </c>
      <c r="C563" s="20">
        <f t="shared" si="121"/>
        <v>8.3392263766718516E-3</v>
      </c>
      <c r="D563" s="100">
        <f t="shared" si="125"/>
        <v>8.6907281176558174E-3</v>
      </c>
      <c r="E563" s="18">
        <f t="shared" si="122"/>
        <v>30.004518400000002</v>
      </c>
      <c r="F563" s="19">
        <f t="shared" si="123"/>
        <v>30004518.400000002</v>
      </c>
      <c r="G563" s="15">
        <f t="shared" si="124"/>
        <v>1830586.9333333338</v>
      </c>
      <c r="H563" s="15">
        <f>H561+(H$19-H$4)/15</f>
        <v>239673.60000000009</v>
      </c>
      <c r="I563" s="174">
        <f t="shared" si="126"/>
        <v>1.5909133333333339E-2</v>
      </c>
      <c r="J563" s="15">
        <f>J561+($J$185-$J$155)/15</f>
        <v>1590913.3333333337</v>
      </c>
      <c r="K563" s="16">
        <f t="shared" si="127"/>
        <v>0</v>
      </c>
      <c r="L563" s="15">
        <f t="shared" si="128"/>
        <v>1091448.1333333328</v>
      </c>
      <c r="M563">
        <v>0</v>
      </c>
      <c r="N563" s="83">
        <v>0.01</v>
      </c>
      <c r="O563" s="16">
        <v>118000000</v>
      </c>
      <c r="P563" t="s">
        <v>755</v>
      </c>
    </row>
    <row r="564" spans="1:16" x14ac:dyDescent="0.15">
      <c r="B564" s="10">
        <f>B563+0.5</f>
        <v>2023.5</v>
      </c>
      <c r="C564" s="20">
        <f t="shared" si="121"/>
        <v>8.0463522968769307E-3</v>
      </c>
      <c r="D564" s="100">
        <f t="shared" si="125"/>
        <v>8.5725824216168599E-3</v>
      </c>
      <c r="E564" s="18">
        <f t="shared" si="122"/>
        <v>28.173931466666669</v>
      </c>
      <c r="F564" s="19">
        <f t="shared" si="123"/>
        <v>28173931.466666669</v>
      </c>
      <c r="G564" s="15">
        <f t="shared" si="124"/>
        <v>1325582.6666666667</v>
      </c>
      <c r="H564" s="15">
        <f>6*60*60*24*365/1000</f>
        <v>189216</v>
      </c>
      <c r="I564" s="174">
        <f t="shared" si="126"/>
        <v>1.1363666666666668E-2</v>
      </c>
      <c r="J564" s="15">
        <f>J562+($J$186-$J$156)/15</f>
        <v>1136366.6666666667</v>
      </c>
      <c r="K564" s="16">
        <f t="shared" si="127"/>
        <v>0</v>
      </c>
      <c r="L564" s="15">
        <f t="shared" si="128"/>
        <v>1091448.1333333328</v>
      </c>
      <c r="M564">
        <v>0</v>
      </c>
      <c r="N564" s="83">
        <v>0.01</v>
      </c>
      <c r="O564" s="15">
        <v>2932848</v>
      </c>
      <c r="P564" t="s">
        <v>966</v>
      </c>
    </row>
    <row r="565" spans="1:16" x14ac:dyDescent="0.15">
      <c r="A565">
        <f>A563+1</f>
        <v>9</v>
      </c>
      <c r="B565" s="10">
        <f>B563+1</f>
        <v>2024</v>
      </c>
      <c r="C565" s="20">
        <f t="shared" si="121"/>
        <v>8.3025632337410584E-3</v>
      </c>
      <c r="D565" s="100">
        <f t="shared" si="125"/>
        <v>8.7269924743857089E-3</v>
      </c>
      <c r="E565" s="18">
        <f t="shared" si="122"/>
        <v>26.8483488</v>
      </c>
      <c r="F565" s="19">
        <f t="shared" si="123"/>
        <v>26848348.800000001</v>
      </c>
      <c r="G565" s="15">
        <f t="shared" si="124"/>
        <v>1932280.8000000005</v>
      </c>
      <c r="H565" s="15">
        <f>H563+(H$19-H$4)/15</f>
        <v>245980.8000000001</v>
      </c>
      <c r="I565" s="174">
        <f t="shared" si="126"/>
        <v>1.6863000000000003E-2</v>
      </c>
      <c r="J565" s="15">
        <f>J563+($J$185-$J$155)/15</f>
        <v>1686300.0000000005</v>
      </c>
      <c r="K565" s="16">
        <f t="shared" si="127"/>
        <v>0</v>
      </c>
      <c r="L565" s="15">
        <f t="shared" si="128"/>
        <v>1096819.3999999994</v>
      </c>
      <c r="M565">
        <v>0</v>
      </c>
      <c r="N565" s="83">
        <v>0.01</v>
      </c>
      <c r="O565" s="15">
        <v>283824</v>
      </c>
      <c r="P565" t="s">
        <v>965</v>
      </c>
    </row>
    <row r="566" spans="1:16" x14ac:dyDescent="0.15">
      <c r="B566" s="10">
        <f>B565+0.5</f>
        <v>2024.5</v>
      </c>
      <c r="C566" s="20">
        <f t="shared" si="121"/>
        <v>7.9914321555077279E-3</v>
      </c>
      <c r="D566" s="100">
        <f t="shared" si="125"/>
        <v>8.6423632935260855E-3</v>
      </c>
      <c r="E566" s="18">
        <f t="shared" si="122"/>
        <v>24.916067999999999</v>
      </c>
      <c r="F566" s="19">
        <f t="shared" si="123"/>
        <v>24916068</v>
      </c>
      <c r="G566" s="15">
        <f t="shared" si="124"/>
        <v>1393716</v>
      </c>
      <c r="H566" s="15">
        <f>6*60*60*24*365/1000</f>
        <v>189216</v>
      </c>
      <c r="I566" s="174">
        <f t="shared" si="126"/>
        <v>1.2045E-2</v>
      </c>
      <c r="J566" s="15">
        <f>J564+($J$186-$J$156)/15</f>
        <v>1204500</v>
      </c>
      <c r="K566" s="16">
        <f t="shared" si="127"/>
        <v>0</v>
      </c>
      <c r="L566" s="15">
        <f t="shared" si="128"/>
        <v>1096819.3999999994</v>
      </c>
      <c r="M566">
        <v>0</v>
      </c>
      <c r="N566" s="83">
        <v>0.01</v>
      </c>
      <c r="O566" s="15">
        <f>6*60*60*24*365/1000</f>
        <v>189216</v>
      </c>
      <c r="P566" t="s">
        <v>1105</v>
      </c>
    </row>
    <row r="567" spans="1:16" x14ac:dyDescent="0.15">
      <c r="A567">
        <f>A565+1</f>
        <v>10</v>
      </c>
      <c r="B567" s="10">
        <f>B565+1</f>
        <v>2025</v>
      </c>
      <c r="C567" s="20">
        <f t="shared" si="121"/>
        <v>8.2403848824204179E-3</v>
      </c>
      <c r="D567" s="100">
        <f t="shared" si="125"/>
        <v>8.7596305689811929E-3</v>
      </c>
      <c r="E567" s="18">
        <f t="shared" si="122"/>
        <v>23.522352000000001</v>
      </c>
      <c r="F567" s="19">
        <f t="shared" si="123"/>
        <v>23522352</v>
      </c>
      <c r="G567" s="15">
        <f t="shared" si="124"/>
        <v>2033974.6666666674</v>
      </c>
      <c r="H567" s="15">
        <f>H565+(H$19-H$4)/15</f>
        <v>252288.00000000012</v>
      </c>
      <c r="I567" s="174">
        <f t="shared" si="126"/>
        <v>1.781686666666667E-2</v>
      </c>
      <c r="J567" s="15">
        <f>J565+($J$185-$J$155)/15</f>
        <v>1781686.6666666672</v>
      </c>
      <c r="K567" s="16">
        <f t="shared" si="127"/>
        <v>0</v>
      </c>
      <c r="L567" s="15">
        <f t="shared" si="128"/>
        <v>1102190.666666666</v>
      </c>
      <c r="M567">
        <v>0</v>
      </c>
      <c r="N567" s="83">
        <v>0.01</v>
      </c>
      <c r="O567" s="15">
        <f>36*60*60*24*365/1000</f>
        <v>1135296</v>
      </c>
      <c r="P567" t="s">
        <v>1106</v>
      </c>
    </row>
    <row r="568" spans="1:16" x14ac:dyDescent="0.15">
      <c r="B568" s="10">
        <f>B567+0.5</f>
        <v>2025.5</v>
      </c>
      <c r="C568" s="20">
        <f t="shared" si="121"/>
        <v>7.8884014164047299E-3</v>
      </c>
      <c r="D568" s="100">
        <f t="shared" si="125"/>
        <v>8.7056395232705235E-3</v>
      </c>
      <c r="E568" s="18">
        <f t="shared" si="122"/>
        <v>21.488377333333332</v>
      </c>
      <c r="F568" s="19">
        <f t="shared" si="123"/>
        <v>21488377.333333332</v>
      </c>
      <c r="G568" s="15">
        <f t="shared" si="124"/>
        <v>1461849.3333333333</v>
      </c>
      <c r="H568" s="15">
        <f>6*60*60*24*365/1000</f>
        <v>189216</v>
      </c>
      <c r="I568" s="174">
        <f t="shared" si="126"/>
        <v>1.2726333333333333E-2</v>
      </c>
      <c r="J568" s="15">
        <f>J566+($J$186-$J$156)/15</f>
        <v>1272633.3333333333</v>
      </c>
      <c r="K568" s="16">
        <f t="shared" si="127"/>
        <v>0</v>
      </c>
      <c r="L568" s="15">
        <f t="shared" si="128"/>
        <v>1102190.666666666</v>
      </c>
      <c r="M568">
        <v>0</v>
      </c>
      <c r="N568" s="83">
        <v>0.01</v>
      </c>
      <c r="O568" s="15">
        <f>18*60*60*24*365/1000</f>
        <v>567648</v>
      </c>
      <c r="P568" t="s">
        <v>964</v>
      </c>
    </row>
    <row r="569" spans="1:16" x14ac:dyDescent="0.15">
      <c r="A569">
        <f>A567+1</f>
        <v>11</v>
      </c>
      <c r="B569" s="10">
        <f>B567+1</f>
        <v>2026</v>
      </c>
      <c r="C569" s="20">
        <f t="shared" si="121"/>
        <v>8.1396195517412558E-3</v>
      </c>
      <c r="D569" s="100">
        <f t="shared" si="125"/>
        <v>8.7891604152804219E-3</v>
      </c>
      <c r="E569" s="18">
        <f t="shared" si="122"/>
        <v>20.026527999999999</v>
      </c>
      <c r="F569" s="19">
        <f t="shared" si="123"/>
        <v>20026528</v>
      </c>
      <c r="G569" s="15">
        <f t="shared" si="124"/>
        <v>2135668.5333333341</v>
      </c>
      <c r="H569" s="15">
        <f>H567+(H$19-H$4)/15</f>
        <v>258595.20000000013</v>
      </c>
      <c r="I569" s="174">
        <f t="shared" si="126"/>
        <v>1.8770733333333338E-2</v>
      </c>
      <c r="J569" s="15">
        <f>J567+($J$185-$J$155)/15</f>
        <v>1877073.333333334</v>
      </c>
      <c r="K569" s="16">
        <f t="shared" si="127"/>
        <v>0</v>
      </c>
      <c r="L569" s="15">
        <f t="shared" si="128"/>
        <v>1107561.9333333327</v>
      </c>
      <c r="M569">
        <v>0</v>
      </c>
      <c r="N569" s="83">
        <v>0.01</v>
      </c>
      <c r="O569" s="15">
        <v>1129047</v>
      </c>
      <c r="P569" t="s">
        <v>1150</v>
      </c>
    </row>
    <row r="570" spans="1:16" x14ac:dyDescent="0.15">
      <c r="B570" s="10">
        <f>B569+0.5</f>
        <v>2026.5</v>
      </c>
      <c r="C570" s="20">
        <f t="shared" si="121"/>
        <v>7.7090009260088188E-3</v>
      </c>
      <c r="D570" s="100">
        <f t="shared" si="125"/>
        <v>8.7632801068770298E-3</v>
      </c>
      <c r="E570" s="18">
        <f t="shared" si="122"/>
        <v>17.890859466666669</v>
      </c>
      <c r="F570" s="19">
        <f t="shared" si="123"/>
        <v>17890859.466666669</v>
      </c>
      <c r="G570" s="15">
        <f t="shared" si="124"/>
        <v>1529982.6666666665</v>
      </c>
      <c r="H570" s="15">
        <f>6*60*60*24*365/1000</f>
        <v>189216</v>
      </c>
      <c r="I570" s="174">
        <f t="shared" si="126"/>
        <v>1.3407666666666667E-2</v>
      </c>
      <c r="J570" s="15">
        <f>J568+($J$186-$J$156)/15</f>
        <v>1340766.6666666665</v>
      </c>
      <c r="K570" s="16">
        <f t="shared" si="127"/>
        <v>0</v>
      </c>
      <c r="L570" s="15">
        <f t="shared" si="128"/>
        <v>1107561.9333333327</v>
      </c>
      <c r="M570">
        <v>0</v>
      </c>
      <c r="N570" s="83">
        <v>0.01</v>
      </c>
      <c r="O570" s="15">
        <v>1048478</v>
      </c>
      <c r="P570" t="s">
        <v>1149</v>
      </c>
    </row>
    <row r="571" spans="1:16" x14ac:dyDescent="0.15">
      <c r="A571">
        <f>A569+1</f>
        <v>12</v>
      </c>
      <c r="B571" s="10">
        <f>B569+1</f>
        <v>2027</v>
      </c>
      <c r="C571" s="20">
        <f t="shared" si="121"/>
        <v>7.9736311788078489E-3</v>
      </c>
      <c r="D571" s="100">
        <f t="shared" si="125"/>
        <v>8.8160058468847065E-3</v>
      </c>
      <c r="E571" s="18">
        <f t="shared" si="122"/>
        <v>16.3608768</v>
      </c>
      <c r="F571" s="19">
        <f t="shared" si="123"/>
        <v>16360876.800000001</v>
      </c>
      <c r="G571" s="15">
        <f t="shared" si="124"/>
        <v>2237362.4000000008</v>
      </c>
      <c r="H571" s="15">
        <f>H569+(H$19-H$4)/15</f>
        <v>264902.40000000014</v>
      </c>
      <c r="I571" s="174">
        <f t="shared" si="126"/>
        <v>1.9724600000000009E-2</v>
      </c>
      <c r="J571" s="15">
        <f>J569+($J$185-$J$155)/15</f>
        <v>1972460.0000000007</v>
      </c>
      <c r="K571" s="16">
        <f t="shared" si="127"/>
        <v>0</v>
      </c>
      <c r="L571" s="15">
        <f t="shared" si="128"/>
        <v>1112933.1999999993</v>
      </c>
      <c r="M571">
        <v>0</v>
      </c>
      <c r="N571" s="83">
        <v>0.01</v>
      </c>
      <c r="O571" s="10">
        <f>7/12</f>
        <v>0.58333333333333337</v>
      </c>
      <c r="P571" s="10" t="s">
        <v>1086</v>
      </c>
    </row>
    <row r="572" spans="1:16" x14ac:dyDescent="0.15">
      <c r="B572" s="10">
        <f>B571+0.5</f>
        <v>2027.5</v>
      </c>
      <c r="C572" s="20">
        <f t="shared" si="121"/>
        <v>7.3908666369381145E-3</v>
      </c>
      <c r="D572" s="100">
        <f t="shared" si="125"/>
        <v>8.8160058468847047E-3</v>
      </c>
      <c r="E572" s="18">
        <f t="shared" si="122"/>
        <v>14.123514400000001</v>
      </c>
      <c r="F572" s="19">
        <f t="shared" si="123"/>
        <v>14123514.4</v>
      </c>
      <c r="G572" s="15">
        <f t="shared" si="124"/>
        <v>1598115.9999999998</v>
      </c>
      <c r="H572" s="15">
        <f>6*60*60*24*365/1000</f>
        <v>189216</v>
      </c>
      <c r="I572" s="174">
        <f t="shared" si="126"/>
        <v>1.4088999999999997E-2</v>
      </c>
      <c r="J572" s="15">
        <f>J570+($J$186-$J$156)/15</f>
        <v>1408899.9999999998</v>
      </c>
      <c r="K572" s="16">
        <f t="shared" si="127"/>
        <v>0</v>
      </c>
      <c r="L572" s="15">
        <f t="shared" si="128"/>
        <v>1112933.1999999993</v>
      </c>
      <c r="M572">
        <v>0</v>
      </c>
      <c r="N572" s="83">
        <v>0.01</v>
      </c>
      <c r="O572">
        <f>5/12</f>
        <v>0.41666666666666669</v>
      </c>
      <c r="P572" s="10" t="s">
        <v>1087</v>
      </c>
    </row>
    <row r="573" spans="1:16" x14ac:dyDescent="0.15">
      <c r="A573">
        <f>A571+1</f>
        <v>13</v>
      </c>
      <c r="B573" s="10">
        <f>B571+1</f>
        <v>2028</v>
      </c>
      <c r="C573" s="20">
        <f t="shared" si="121"/>
        <v>7.6797498619038127E-3</v>
      </c>
      <c r="D573" s="100">
        <f t="shared" si="125"/>
        <v>8.8405169902710627E-3</v>
      </c>
      <c r="E573" s="18">
        <f t="shared" si="122"/>
        <v>12.5253984</v>
      </c>
      <c r="F573" s="19">
        <f t="shared" si="123"/>
        <v>12525398.4</v>
      </c>
      <c r="G573" s="15">
        <f t="shared" si="124"/>
        <v>2339056.2666666675</v>
      </c>
      <c r="H573" s="15">
        <f>H571+(H$19-H$4)/15</f>
        <v>271209.60000000015</v>
      </c>
      <c r="I573" s="174">
        <f t="shared" si="126"/>
        <v>2.0678466666666676E-2</v>
      </c>
      <c r="J573" s="15">
        <f>J571+($J$185-$J$155)/15</f>
        <v>2067846.6666666674</v>
      </c>
      <c r="K573" s="16">
        <f t="shared" si="127"/>
        <v>0</v>
      </c>
      <c r="L573" s="15">
        <f t="shared" si="128"/>
        <v>1118304.4666666659</v>
      </c>
      <c r="M573">
        <v>0</v>
      </c>
      <c r="N573" s="83">
        <v>0.01</v>
      </c>
      <c r="O573" s="15" t="s">
        <v>935</v>
      </c>
      <c r="P573" s="15" t="s">
        <v>1119</v>
      </c>
    </row>
    <row r="574" spans="1:16" x14ac:dyDescent="0.15">
      <c r="B574" s="10">
        <f>B573+0.5</f>
        <v>2028.5</v>
      </c>
      <c r="C574" s="20">
        <f t="shared" si="121"/>
        <v>6.767039308943984E-3</v>
      </c>
      <c r="D574" s="100">
        <f t="shared" si="125"/>
        <v>8.8644196506805304E-3</v>
      </c>
      <c r="E574" s="18">
        <f t="shared" si="122"/>
        <v>10.186342133333333</v>
      </c>
      <c r="F574" s="19">
        <f t="shared" si="123"/>
        <v>10186342.133333333</v>
      </c>
      <c r="G574" s="15">
        <f t="shared" si="124"/>
        <v>1666249.333333333</v>
      </c>
      <c r="H574" s="15">
        <f>6*60*60*24*365/1000</f>
        <v>189216</v>
      </c>
      <c r="I574" s="174">
        <f t="shared" si="126"/>
        <v>1.477033333333333E-2</v>
      </c>
      <c r="J574" s="15">
        <f>J572+($J$186-$J$156)/15</f>
        <v>1477033.333333333</v>
      </c>
      <c r="K574" s="16">
        <f t="shared" si="127"/>
        <v>0</v>
      </c>
      <c r="L574" s="15">
        <f t="shared" si="128"/>
        <v>1118304.4666666659</v>
      </c>
      <c r="M574">
        <v>0</v>
      </c>
      <c r="N574" s="83">
        <v>0.01</v>
      </c>
    </row>
    <row r="575" spans="1:16" x14ac:dyDescent="0.15">
      <c r="A575">
        <f>A573+1</f>
        <v>14</v>
      </c>
      <c r="B575" s="10">
        <f>B573+1</f>
        <v>2029</v>
      </c>
      <c r="C575" s="20">
        <f t="shared" si="121"/>
        <v>7.0693439986972435E-3</v>
      </c>
      <c r="D575" s="100">
        <f t="shared" si="125"/>
        <v>8.8629856198307565E-3</v>
      </c>
      <c r="E575" s="18">
        <f t="shared" si="122"/>
        <v>8.5200928000000005</v>
      </c>
      <c r="F575" s="19">
        <f t="shared" si="123"/>
        <v>8520092.8000000007</v>
      </c>
      <c r="G575" s="15">
        <f t="shared" si="124"/>
        <v>2440750.1333333342</v>
      </c>
      <c r="H575" s="15">
        <f>H573+(H$19-H$4)/15</f>
        <v>277516.80000000016</v>
      </c>
      <c r="I575" s="174">
        <f t="shared" si="126"/>
        <v>2.163233333333334E-2</v>
      </c>
      <c r="J575" s="15">
        <f>J573+($J$185-$J$155)/15</f>
        <v>2163233.333333334</v>
      </c>
      <c r="K575" s="16">
        <f t="shared" si="127"/>
        <v>0</v>
      </c>
      <c r="L575" s="15">
        <f t="shared" si="128"/>
        <v>1123675.7333333325</v>
      </c>
      <c r="M575">
        <v>0</v>
      </c>
      <c r="N575" s="83">
        <v>0.01</v>
      </c>
    </row>
    <row r="576" spans="1:16" x14ac:dyDescent="0.15">
      <c r="B576" s="10">
        <f>B575+0.5</f>
        <v>2029.5</v>
      </c>
      <c r="C576" s="20">
        <f t="shared" si="121"/>
        <v>5.1954081877711765E-3</v>
      </c>
      <c r="D576" s="100">
        <f t="shared" si="125"/>
        <v>8.90902968741231E-3</v>
      </c>
      <c r="E576" s="18">
        <f t="shared" si="122"/>
        <v>6.0793426666666663</v>
      </c>
      <c r="F576" s="19">
        <f t="shared" si="123"/>
        <v>6079342.666666666</v>
      </c>
      <c r="G576" s="15">
        <f t="shared" si="124"/>
        <v>1734382.6666666663</v>
      </c>
      <c r="H576" s="15">
        <f>6*60*60*24*365/1000</f>
        <v>189216</v>
      </c>
      <c r="I576" s="174">
        <f t="shared" si="126"/>
        <v>1.5451666666666662E-2</v>
      </c>
      <c r="J576" s="15">
        <f>J574+($J$186-$J$156)/15</f>
        <v>1545166.6666666663</v>
      </c>
      <c r="K576" s="16">
        <f t="shared" si="127"/>
        <v>0</v>
      </c>
      <c r="L576" s="15">
        <f t="shared" si="128"/>
        <v>1123675.7333333325</v>
      </c>
      <c r="M576">
        <v>0</v>
      </c>
      <c r="N576" s="83">
        <v>0.01</v>
      </c>
    </row>
    <row r="577" spans="1:14" x14ac:dyDescent="0.15">
      <c r="A577">
        <f>A575+1</f>
        <v>15</v>
      </c>
      <c r="B577" s="10">
        <f>B575+1</f>
        <v>2030</v>
      </c>
      <c r="C577" s="20">
        <f>(D577*G577+D578*F578)/F577</f>
        <v>8.9112903225806468E-3</v>
      </c>
      <c r="D577" s="100">
        <f t="shared" si="125"/>
        <v>8.8836568278396703E-3</v>
      </c>
      <c r="E577" s="18">
        <f t="shared" si="122"/>
        <v>4.3449600000000004</v>
      </c>
      <c r="F577" s="19">
        <f>F578+H577+J577</f>
        <v>4344960</v>
      </c>
      <c r="G577" s="15">
        <f t="shared" si="124"/>
        <v>2542444</v>
      </c>
      <c r="H577" s="15">
        <v>283824</v>
      </c>
      <c r="I577" s="174">
        <f t="shared" si="126"/>
        <v>2.2586200000000001E-2</v>
      </c>
      <c r="J577" s="15">
        <f>O562*O571</f>
        <v>2258620</v>
      </c>
      <c r="K577" s="16">
        <f t="shared" si="127"/>
        <v>0</v>
      </c>
      <c r="L577" s="15">
        <f t="shared" si="128"/>
        <v>1129046.9999999991</v>
      </c>
      <c r="M577">
        <v>0</v>
      </c>
      <c r="N577" s="83">
        <v>0.01</v>
      </c>
    </row>
    <row r="578" spans="1:14" x14ac:dyDescent="0.15">
      <c r="B578" s="10">
        <f>B577+0.5</f>
        <v>2030.5</v>
      </c>
      <c r="C578" s="20">
        <f>(D578*G578)/F578</f>
        <v>8.9502672930503804E-3</v>
      </c>
      <c r="D578" s="100">
        <f t="shared" si="125"/>
        <v>8.9502672930503804E-3</v>
      </c>
      <c r="E578" s="18">
        <f t="shared" si="122"/>
        <v>1.802516</v>
      </c>
      <c r="F578" s="19">
        <f>F585+H578+J578</f>
        <v>1802516</v>
      </c>
      <c r="G578" s="15">
        <f t="shared" si="124"/>
        <v>1802516</v>
      </c>
      <c r="H578" s="15">
        <f>6*60*60*24*365/1000</f>
        <v>189216</v>
      </c>
      <c r="I578" s="174">
        <f t="shared" si="126"/>
        <v>1.6133000000000002E-2</v>
      </c>
      <c r="J578" s="15">
        <f>O562*O572</f>
        <v>1613300</v>
      </c>
      <c r="K578" s="16">
        <f t="shared" si="127"/>
        <v>0</v>
      </c>
      <c r="L578" s="15">
        <f t="shared" si="128"/>
        <v>1129046.9999999991</v>
      </c>
      <c r="M578">
        <v>0</v>
      </c>
      <c r="N578" s="83">
        <v>0.01</v>
      </c>
    </row>
  </sheetData>
  <phoneticPr fontId="8" type="noConversion"/>
  <pageMargins left="0.78740157499999996" right="0.78740157499999996" top="1" bottom="1" header="0" footer="0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42"/>
  <sheetViews>
    <sheetView topLeftCell="M172" workbookViewId="0">
      <selection activeCell="J67" sqref="J67"/>
    </sheetView>
  </sheetViews>
  <sheetFormatPr baseColWidth="10" defaultRowHeight="13" x14ac:dyDescent="0.15"/>
  <cols>
    <col min="4" max="4" width="13" customWidth="1"/>
    <col min="5" max="5" width="11.6640625" customWidth="1"/>
    <col min="6" max="6" width="14" customWidth="1"/>
    <col min="7" max="7" width="12.5" customWidth="1"/>
    <col min="9" max="9" width="12.6640625" customWidth="1"/>
    <col min="10" max="10" width="10.33203125" customWidth="1"/>
    <col min="11" max="11" width="12.33203125" customWidth="1"/>
    <col min="12" max="12" width="9.33203125" customWidth="1"/>
    <col min="14" max="14" width="10.33203125" customWidth="1"/>
    <col min="15" max="15" width="9.5" customWidth="1"/>
    <col min="16" max="16" width="11.6640625" customWidth="1"/>
    <col min="17" max="17" width="7.5" customWidth="1"/>
    <col min="18" max="18" width="12.1640625" customWidth="1"/>
    <col min="19" max="19" width="6.5" customWidth="1"/>
    <col min="20" max="20" width="8" customWidth="1"/>
    <col min="21" max="21" width="6.5" customWidth="1"/>
    <col min="22" max="22" width="7.33203125" customWidth="1"/>
  </cols>
  <sheetData>
    <row r="1" spans="1:32" ht="16" x14ac:dyDescent="0.2">
      <c r="A1" s="8" t="s">
        <v>1151</v>
      </c>
    </row>
    <row r="2" spans="1:32" ht="70" x14ac:dyDescent="0.15">
      <c r="A2" s="12"/>
      <c r="B2" s="12"/>
      <c r="C2" s="12" t="s">
        <v>1223</v>
      </c>
      <c r="D2" s="13" t="s">
        <v>1146</v>
      </c>
      <c r="E2" s="13" t="s">
        <v>751</v>
      </c>
      <c r="F2" s="13" t="s">
        <v>751</v>
      </c>
      <c r="G2" s="13" t="s">
        <v>1147</v>
      </c>
      <c r="H2" s="13" t="s">
        <v>883</v>
      </c>
      <c r="I2" s="12" t="s">
        <v>1031</v>
      </c>
      <c r="J2" s="13" t="s">
        <v>1103</v>
      </c>
      <c r="K2" s="13" t="s">
        <v>745</v>
      </c>
      <c r="L2" s="13" t="s">
        <v>1083</v>
      </c>
      <c r="N2" s="13" t="s">
        <v>1082</v>
      </c>
      <c r="O2" s="13" t="s">
        <v>1081</v>
      </c>
      <c r="P2" s="12" t="s">
        <v>750</v>
      </c>
      <c r="Q2" s="13" t="s">
        <v>1101</v>
      </c>
      <c r="R2" s="12"/>
      <c r="S2" s="12"/>
      <c r="T2" s="12"/>
    </row>
    <row r="3" spans="1:32" x14ac:dyDescent="0.15">
      <c r="A3" s="1" t="s">
        <v>746</v>
      </c>
      <c r="B3" s="1" t="s">
        <v>747</v>
      </c>
      <c r="C3" s="1"/>
      <c r="D3" s="14" t="s">
        <v>748</v>
      </c>
      <c r="E3" s="14" t="s">
        <v>1104</v>
      </c>
      <c r="F3" s="14" t="s">
        <v>718</v>
      </c>
      <c r="G3" s="14" t="s">
        <v>749</v>
      </c>
      <c r="H3" s="14" t="s">
        <v>749</v>
      </c>
      <c r="I3" s="14" t="s">
        <v>884</v>
      </c>
      <c r="J3" s="14" t="s">
        <v>749</v>
      </c>
      <c r="K3" s="14" t="s">
        <v>884</v>
      </c>
      <c r="L3" s="14"/>
      <c r="N3" s="14" t="s">
        <v>1144</v>
      </c>
      <c r="O3" s="14" t="s">
        <v>1144</v>
      </c>
      <c r="P3" s="1" t="s">
        <v>885</v>
      </c>
      <c r="Q3" s="14" t="s">
        <v>748</v>
      </c>
      <c r="R3" s="1"/>
      <c r="S3" s="1"/>
      <c r="T3" s="1"/>
    </row>
    <row r="4" spans="1:32" x14ac:dyDescent="0.15">
      <c r="A4">
        <v>0</v>
      </c>
      <c r="B4">
        <v>2029</v>
      </c>
      <c r="C4" s="21">
        <f>(D4*G4)/F4</f>
        <v>5.7424185630161926</v>
      </c>
      <c r="D4" s="17">
        <f>(M4+I4)*1000/G4*1000</f>
        <v>5.7424185630161926</v>
      </c>
      <c r="E4" s="22">
        <f>F4/1000000</f>
        <v>3.8473920000000001</v>
      </c>
      <c r="F4" s="23">
        <f>H4+J4</f>
        <v>3847392</v>
      </c>
      <c r="G4" s="15">
        <f>H4+J4</f>
        <v>3847392</v>
      </c>
      <c r="H4" s="15">
        <v>283824</v>
      </c>
      <c r="I4" s="16">
        <f>J4*1000*$Q$4/1000000000</f>
        <v>0.64144224000000005</v>
      </c>
      <c r="J4" s="19">
        <v>3563568</v>
      </c>
      <c r="K4" s="16">
        <f>N4*$P$4/1000000</f>
        <v>21.451892999999998</v>
      </c>
      <c r="M4" s="16">
        <f>P4*$N$4/1000000</f>
        <v>21.451892999999998</v>
      </c>
      <c r="N4" s="15">
        <v>1129047</v>
      </c>
      <c r="O4" s="15">
        <v>1129047</v>
      </c>
      <c r="P4">
        <v>19</v>
      </c>
      <c r="Q4" s="83">
        <v>0.18</v>
      </c>
      <c r="X4" t="s">
        <v>1237</v>
      </c>
    </row>
    <row r="5" spans="1:32" x14ac:dyDescent="0.15">
      <c r="A5">
        <f>A4+1</f>
        <v>1</v>
      </c>
      <c r="B5">
        <f>B4+1</f>
        <v>2030</v>
      </c>
      <c r="C5" s="21">
        <f>(D5*G5+D4*F4)/F5</f>
        <v>10.976658492137148</v>
      </c>
      <c r="D5" s="17">
        <f>(K5+I5)*1000/G5*1000</f>
        <v>5.7015827799353263</v>
      </c>
      <c r="E5" s="22">
        <f>F5/1000000</f>
        <v>3.8473920000000001</v>
      </c>
      <c r="F5" s="23">
        <f>H4+J4</f>
        <v>3847392</v>
      </c>
      <c r="G5" s="15">
        <f t="shared" ref="G5:G18" si="0">H5+J5</f>
        <v>3532032</v>
      </c>
      <c r="H5" s="15">
        <f t="shared" ref="H5:H68" si="1">$P$21</f>
        <v>283824</v>
      </c>
      <c r="I5" s="16">
        <f>J5*1000*$Q$4/1000000000</f>
        <v>0.58467743999999999</v>
      </c>
      <c r="J5" s="19">
        <v>3248208</v>
      </c>
      <c r="K5" s="16">
        <f>N5*$P$4/1000000</f>
        <v>19.553495389380533</v>
      </c>
      <c r="L5" s="64">
        <f>J5/J4</f>
        <v>0.91150442477876104</v>
      </c>
      <c r="M5" s="16">
        <f>N5*$P$4/1000000</f>
        <v>19.553495389380533</v>
      </c>
      <c r="N5" s="15">
        <f t="shared" ref="N5:N36" si="2">O4*L5</f>
        <v>1029131.3362831859</v>
      </c>
      <c r="O5" s="15">
        <f>O4+(O$154-O$4)/150</f>
        <v>1122453.3533333333</v>
      </c>
      <c r="U5">
        <v>2014</v>
      </c>
    </row>
    <row r="6" spans="1:32" x14ac:dyDescent="0.15">
      <c r="A6">
        <f t="shared" ref="A6:B21" si="3">A5+1</f>
        <v>2</v>
      </c>
      <c r="B6">
        <f t="shared" si="3"/>
        <v>2031</v>
      </c>
      <c r="C6" s="21">
        <f t="shared" ref="C6:C36" si="4">(D6*G6+D5*F5)/F6</f>
        <v>5.826551123761079</v>
      </c>
      <c r="D6" s="17">
        <f t="shared" ref="D6:D36" si="5">(K6+I6)*1000/G6*1000</f>
        <v>6.1835172574813209</v>
      </c>
      <c r="E6" s="22">
        <f t="shared" ref="E6:E36" si="6">F6/1000000</f>
        <v>7.3794240000000002</v>
      </c>
      <c r="F6" s="23">
        <f>F5+H5+J5</f>
        <v>7379424</v>
      </c>
      <c r="G6" s="15">
        <f>H6+J6</f>
        <v>3405888</v>
      </c>
      <c r="H6" s="15">
        <f t="shared" si="1"/>
        <v>283824</v>
      </c>
      <c r="I6" s="16">
        <f>J6*1000*$Q$4/1000000000</f>
        <v>0.56197151999999995</v>
      </c>
      <c r="J6" s="19">
        <v>3122064</v>
      </c>
      <c r="K6" s="16">
        <f t="shared" ref="K6:K69" si="7">N6*$P$4/1000000</f>
        <v>20.498395705048541</v>
      </c>
      <c r="L6" s="64">
        <f t="shared" ref="L6:L69" si="8">J6/J5</f>
        <v>0.96116504854368934</v>
      </c>
      <c r="M6" s="16">
        <f t="shared" ref="M6:M69" si="9">N6*$P$4/1000000</f>
        <v>20.498395705048541</v>
      </c>
      <c r="N6" s="15">
        <f t="shared" si="2"/>
        <v>1078862.9318446601</v>
      </c>
      <c r="O6" s="15">
        <f t="shared" ref="O6:O35" si="10">O5+(O$154-O$4)/150</f>
        <v>1115859.7066666665</v>
      </c>
      <c r="P6" t="s">
        <v>1012</v>
      </c>
      <c r="Q6" t="s">
        <v>1013</v>
      </c>
      <c r="S6" t="s">
        <v>1191</v>
      </c>
      <c r="T6" t="s">
        <v>1192</v>
      </c>
      <c r="U6" t="s">
        <v>1193</v>
      </c>
      <c r="X6" s="145" t="s">
        <v>1225</v>
      </c>
      <c r="Y6" s="146" t="s">
        <v>1226</v>
      </c>
      <c r="Z6" s="147"/>
      <c r="AA6" s="148" t="s">
        <v>1227</v>
      </c>
      <c r="AB6" s="146" t="s">
        <v>1228</v>
      </c>
      <c r="AC6" s="146" t="s">
        <v>1229</v>
      </c>
      <c r="AD6" s="149"/>
      <c r="AE6" s="146" t="s">
        <v>1230</v>
      </c>
      <c r="AF6" s="150"/>
    </row>
    <row r="7" spans="1:32" x14ac:dyDescent="0.15">
      <c r="A7">
        <f t="shared" si="3"/>
        <v>3</v>
      </c>
      <c r="B7">
        <f t="shared" si="3"/>
        <v>2032</v>
      </c>
      <c r="C7" s="21">
        <f t="shared" si="4"/>
        <v>6.0652505223910653</v>
      </c>
      <c r="D7" s="17">
        <f t="shared" si="5"/>
        <v>6.3370973778496493</v>
      </c>
      <c r="E7" s="22">
        <f t="shared" si="6"/>
        <v>10.785311999999999</v>
      </c>
      <c r="F7" s="23">
        <f t="shared" ref="F7:F70" si="11">F6+H6+J6</f>
        <v>10785312</v>
      </c>
      <c r="G7" s="15">
        <f t="shared" si="0"/>
        <v>3122064</v>
      </c>
      <c r="H7" s="15">
        <f t="shared" si="1"/>
        <v>283824</v>
      </c>
      <c r="I7" s="16">
        <f t="shared" ref="I7:I18" si="12">J7*1000*$Q$4/1000000000</f>
        <v>0.51088319999999998</v>
      </c>
      <c r="J7" s="19">
        <v>2838240</v>
      </c>
      <c r="K7" s="16">
        <f t="shared" si="7"/>
        <v>19.273940387878788</v>
      </c>
      <c r="L7" s="64">
        <f t="shared" si="8"/>
        <v>0.90909090909090906</v>
      </c>
      <c r="M7" s="16">
        <f t="shared" si="9"/>
        <v>19.273940387878788</v>
      </c>
      <c r="N7" s="15">
        <f t="shared" si="2"/>
        <v>1014417.915151515</v>
      </c>
      <c r="O7" s="15">
        <f t="shared" si="10"/>
        <v>1109266.0599999998</v>
      </c>
      <c r="P7">
        <v>340</v>
      </c>
      <c r="Q7">
        <v>5</v>
      </c>
      <c r="R7" s="15">
        <f>Q7*60*60*24*365/1000</f>
        <v>157680</v>
      </c>
      <c r="S7" s="7">
        <f t="shared" ref="S7:S19" si="13">Q7*60*60*24*365/1000000000</f>
        <v>0.15767999999999999</v>
      </c>
      <c r="T7">
        <v>116805</v>
      </c>
      <c r="U7">
        <v>150</v>
      </c>
      <c r="V7">
        <f t="shared" ref="V7:V18" si="14">2029+U7</f>
        <v>2179</v>
      </c>
      <c r="X7" s="151"/>
      <c r="Y7" s="152" t="s">
        <v>1231</v>
      </c>
      <c r="Z7" s="152" t="s">
        <v>1232</v>
      </c>
      <c r="AA7" s="152" t="s">
        <v>1232</v>
      </c>
      <c r="AB7" s="153" t="s">
        <v>1232</v>
      </c>
      <c r="AC7" s="154" t="s">
        <v>1233</v>
      </c>
      <c r="AD7" s="155" t="s">
        <v>1234</v>
      </c>
      <c r="AE7" s="152" t="s">
        <v>1235</v>
      </c>
      <c r="AF7" s="152" t="s">
        <v>1236</v>
      </c>
    </row>
    <row r="8" spans="1:32" x14ac:dyDescent="0.15">
      <c r="A8">
        <f t="shared" si="3"/>
        <v>4</v>
      </c>
      <c r="B8">
        <f t="shared" si="3"/>
        <v>2033</v>
      </c>
      <c r="C8" s="21">
        <f t="shared" si="4"/>
        <v>6.4091885126047892</v>
      </c>
      <c r="D8" s="17">
        <f t="shared" si="5"/>
        <v>6.8902247125519009</v>
      </c>
      <c r="E8" s="22">
        <f t="shared" si="6"/>
        <v>13.907375999999999</v>
      </c>
      <c r="F8" s="23">
        <f t="shared" si="11"/>
        <v>13907376</v>
      </c>
      <c r="G8" s="15">
        <f t="shared" si="0"/>
        <v>3016944</v>
      </c>
      <c r="H8" s="15">
        <f t="shared" si="1"/>
        <v>283824</v>
      </c>
      <c r="I8" s="16">
        <f t="shared" si="12"/>
        <v>0.4919616</v>
      </c>
      <c r="J8" s="23">
        <f>J7+(J$10-J$7)/3</f>
        <v>2733120</v>
      </c>
      <c r="K8" s="16">
        <f t="shared" si="7"/>
        <v>20.295460505185183</v>
      </c>
      <c r="L8" s="64">
        <f t="shared" si="8"/>
        <v>0.96296296296296291</v>
      </c>
      <c r="M8" s="16">
        <f t="shared" si="9"/>
        <v>20.295460505185183</v>
      </c>
      <c r="N8" s="15">
        <f t="shared" si="2"/>
        <v>1068182.1318518517</v>
      </c>
      <c r="O8" s="15">
        <f t="shared" si="10"/>
        <v>1102672.4133333331</v>
      </c>
      <c r="P8">
        <v>310</v>
      </c>
      <c r="Q8">
        <v>17</v>
      </c>
      <c r="R8" s="15">
        <f t="shared" ref="R8:R19" si="15">Q8*60*60*24*365/1000</f>
        <v>536112</v>
      </c>
      <c r="S8" s="81">
        <f t="shared" si="13"/>
        <v>0.53611200000000003</v>
      </c>
      <c r="T8">
        <v>93047</v>
      </c>
      <c r="U8">
        <v>75</v>
      </c>
      <c r="V8">
        <f t="shared" si="14"/>
        <v>2104</v>
      </c>
      <c r="X8" s="156">
        <v>340</v>
      </c>
      <c r="Y8" s="157">
        <v>0</v>
      </c>
      <c r="Z8" s="158">
        <f t="shared" ref="Z8:Z19" si="16">Y8*3600*24*365/1000</f>
        <v>0</v>
      </c>
      <c r="AA8" s="158">
        <f t="shared" ref="AA8:AA19" si="17">9*3600*24*365/1000</f>
        <v>283824</v>
      </c>
      <c r="AB8" s="159">
        <f t="shared" ref="AB8:AB19" si="18">Z8+AA8</f>
        <v>283824</v>
      </c>
      <c r="AC8" s="160">
        <v>116805000</v>
      </c>
      <c r="AD8" s="160">
        <v>23758000</v>
      </c>
      <c r="AE8" s="161">
        <f t="shared" ref="AE8:AE20" si="19">AD8/AB8</f>
        <v>83.706804216697677</v>
      </c>
      <c r="AF8" s="161">
        <f t="shared" ref="AF8:AF18" si="20">AE8+AF9</f>
        <v>146.49230099483188</v>
      </c>
    </row>
    <row r="9" spans="1:32" x14ac:dyDescent="0.15">
      <c r="A9">
        <f t="shared" si="3"/>
        <v>5</v>
      </c>
      <c r="B9">
        <f t="shared" si="3"/>
        <v>2034</v>
      </c>
      <c r="C9" s="21">
        <f t="shared" si="4"/>
        <v>6.880215133252177</v>
      </c>
      <c r="D9" s="17">
        <f t="shared" si="5"/>
        <v>7.0807908658116974</v>
      </c>
      <c r="E9" s="22">
        <f t="shared" si="6"/>
        <v>16.924320000000002</v>
      </c>
      <c r="F9" s="23">
        <f t="shared" si="11"/>
        <v>16924320</v>
      </c>
      <c r="G9" s="15">
        <f t="shared" si="0"/>
        <v>2911824</v>
      </c>
      <c r="H9" s="15">
        <f t="shared" si="1"/>
        <v>283824</v>
      </c>
      <c r="I9" s="16">
        <f t="shared" si="12"/>
        <v>0.47304000000000002</v>
      </c>
      <c r="J9" s="23">
        <f>J8+(J$10-J$7)/3</f>
        <v>2628000</v>
      </c>
      <c r="K9" s="16">
        <f t="shared" si="7"/>
        <v>20.14497678205128</v>
      </c>
      <c r="L9" s="64">
        <f t="shared" si="8"/>
        <v>0.96153846153846156</v>
      </c>
      <c r="M9" s="16">
        <f t="shared" si="9"/>
        <v>20.14497678205128</v>
      </c>
      <c r="N9" s="15">
        <f t="shared" si="2"/>
        <v>1060261.9358974358</v>
      </c>
      <c r="O9" s="15">
        <f t="shared" si="10"/>
        <v>1096078.7666666664</v>
      </c>
      <c r="P9">
        <v>280</v>
      </c>
      <c r="Q9">
        <v>32</v>
      </c>
      <c r="R9" s="15">
        <f t="shared" si="15"/>
        <v>1009152</v>
      </c>
      <c r="S9" s="81">
        <f t="shared" si="13"/>
        <v>1.009152</v>
      </c>
      <c r="T9">
        <v>72479</v>
      </c>
      <c r="U9">
        <v>48</v>
      </c>
      <c r="V9">
        <f t="shared" si="14"/>
        <v>2077</v>
      </c>
      <c r="X9" s="157">
        <v>310</v>
      </c>
      <c r="Y9" s="157">
        <v>17</v>
      </c>
      <c r="Z9" s="158">
        <f>Y9*3600*24*365/1000</f>
        <v>536112</v>
      </c>
      <c r="AA9" s="158">
        <f t="shared" si="17"/>
        <v>283824</v>
      </c>
      <c r="AB9" s="159">
        <f>Z9+AA9</f>
        <v>819936</v>
      </c>
      <c r="AC9" s="162">
        <v>93047000</v>
      </c>
      <c r="AD9" s="162">
        <v>20568000</v>
      </c>
      <c r="AE9" s="161">
        <f t="shared" si="19"/>
        <v>25.084884673925771</v>
      </c>
      <c r="AF9" s="161">
        <f t="shared" si="20"/>
        <v>62.785496778134203</v>
      </c>
    </row>
    <row r="10" spans="1:32" x14ac:dyDescent="0.15">
      <c r="A10">
        <f t="shared" si="3"/>
        <v>6</v>
      </c>
      <c r="B10">
        <f t="shared" si="3"/>
        <v>2035</v>
      </c>
      <c r="C10" s="21">
        <f t="shared" si="4"/>
        <v>7.0721489806725657</v>
      </c>
      <c r="D10" s="17">
        <f t="shared" si="5"/>
        <v>7.2849132306078559</v>
      </c>
      <c r="E10" s="22">
        <f t="shared" si="6"/>
        <v>19.836144000000001</v>
      </c>
      <c r="F10" s="23">
        <f t="shared" si="11"/>
        <v>19836144</v>
      </c>
      <c r="G10" s="15">
        <f t="shared" si="0"/>
        <v>2806704</v>
      </c>
      <c r="H10" s="15">
        <f>$P$21</f>
        <v>283824</v>
      </c>
      <c r="I10" s="16">
        <f t="shared" si="12"/>
        <v>0.45411839999999998</v>
      </c>
      <c r="J10" s="19">
        <v>2522880</v>
      </c>
      <c r="K10" s="16">
        <f t="shared" si="7"/>
        <v>19.992476703999994</v>
      </c>
      <c r="L10" s="64">
        <f t="shared" si="8"/>
        <v>0.96</v>
      </c>
      <c r="M10" s="16">
        <f t="shared" si="9"/>
        <v>19.992476703999994</v>
      </c>
      <c r="N10" s="15">
        <f t="shared" si="2"/>
        <v>1052235.6159999997</v>
      </c>
      <c r="O10" s="15">
        <f t="shared" si="10"/>
        <v>1089485.1199999996</v>
      </c>
      <c r="P10">
        <v>250</v>
      </c>
      <c r="Q10">
        <v>46</v>
      </c>
      <c r="R10" s="15">
        <f t="shared" si="15"/>
        <v>1450656</v>
      </c>
      <c r="S10" s="81">
        <f t="shared" si="13"/>
        <v>1.4506559999999999</v>
      </c>
      <c r="T10">
        <v>54889</v>
      </c>
      <c r="U10">
        <v>33</v>
      </c>
      <c r="V10">
        <f t="shared" si="14"/>
        <v>2062</v>
      </c>
      <c r="X10" s="157">
        <v>280</v>
      </c>
      <c r="Y10" s="157">
        <v>32</v>
      </c>
      <c r="Z10" s="158">
        <f t="shared" si="16"/>
        <v>1009152</v>
      </c>
      <c r="AA10" s="158">
        <f t="shared" si="17"/>
        <v>283824</v>
      </c>
      <c r="AB10" s="159">
        <f t="shared" si="18"/>
        <v>1292976</v>
      </c>
      <c r="AC10" s="162">
        <v>72479000</v>
      </c>
      <c r="AD10" s="162">
        <v>17589000</v>
      </c>
      <c r="AE10" s="161">
        <f t="shared" si="19"/>
        <v>13.603500761035008</v>
      </c>
      <c r="AF10" s="161">
        <f t="shared" si="20"/>
        <v>37.700612104208432</v>
      </c>
    </row>
    <row r="11" spans="1:32" x14ac:dyDescent="0.15">
      <c r="A11">
        <f t="shared" si="3"/>
        <v>7</v>
      </c>
      <c r="B11">
        <f t="shared" si="3"/>
        <v>2036</v>
      </c>
      <c r="C11" s="21">
        <f t="shared" si="4"/>
        <v>7.2869742604747714</v>
      </c>
      <c r="D11" s="17">
        <f t="shared" si="5"/>
        <v>6.7322580156633931</v>
      </c>
      <c r="E11" s="22">
        <f t="shared" si="6"/>
        <v>22.642848000000001</v>
      </c>
      <c r="F11" s="23">
        <f t="shared" si="11"/>
        <v>22642848</v>
      </c>
      <c r="G11" s="15">
        <f t="shared" si="0"/>
        <v>3044040</v>
      </c>
      <c r="H11" s="19">
        <v>600000</v>
      </c>
      <c r="I11" s="16">
        <f t="shared" si="12"/>
        <v>0.43992720000000002</v>
      </c>
      <c r="J11" s="23">
        <f>J10+(J$14-J$10)/4</f>
        <v>2444040</v>
      </c>
      <c r="K11" s="16">
        <f t="shared" si="7"/>
        <v>20.053335489999995</v>
      </c>
      <c r="L11" s="64">
        <f t="shared" si="8"/>
        <v>0.96875</v>
      </c>
      <c r="M11" s="16">
        <f t="shared" si="9"/>
        <v>20.053335489999995</v>
      </c>
      <c r="N11" s="15">
        <f t="shared" si="2"/>
        <v>1055438.7099999997</v>
      </c>
      <c r="O11" s="15">
        <f t="shared" si="10"/>
        <v>1082891.4733333329</v>
      </c>
      <c r="P11">
        <v>220</v>
      </c>
      <c r="Q11">
        <v>58</v>
      </c>
      <c r="R11" s="15">
        <f t="shared" si="15"/>
        <v>1829088</v>
      </c>
      <c r="S11" s="81">
        <f t="shared" si="13"/>
        <v>1.829088</v>
      </c>
      <c r="T11">
        <v>40096</v>
      </c>
      <c r="U11">
        <v>23</v>
      </c>
      <c r="V11">
        <f t="shared" si="14"/>
        <v>2052</v>
      </c>
      <c r="X11" s="157">
        <v>250</v>
      </c>
      <c r="Y11" s="157">
        <v>46</v>
      </c>
      <c r="Z11" s="158">
        <f t="shared" si="16"/>
        <v>1450656</v>
      </c>
      <c r="AA11" s="158">
        <f t="shared" si="17"/>
        <v>283824</v>
      </c>
      <c r="AB11" s="159">
        <f t="shared" si="18"/>
        <v>1734480</v>
      </c>
      <c r="AC11" s="162">
        <v>54889000</v>
      </c>
      <c r="AD11" s="162">
        <v>14793000</v>
      </c>
      <c r="AE11" s="161">
        <f t="shared" si="19"/>
        <v>8.5287809602878095</v>
      </c>
      <c r="AF11" s="161">
        <f t="shared" si="20"/>
        <v>24.097111343173424</v>
      </c>
    </row>
    <row r="12" spans="1:32" x14ac:dyDescent="0.15">
      <c r="A12">
        <f t="shared" si="3"/>
        <v>8</v>
      </c>
      <c r="B12">
        <f t="shared" si="3"/>
        <v>2037</v>
      </c>
      <c r="C12" s="21">
        <f t="shared" si="4"/>
        <v>6.7261733403274411</v>
      </c>
      <c r="D12" s="17">
        <f t="shared" si="5"/>
        <v>6.8585479280079005</v>
      </c>
      <c r="E12" s="22">
        <f t="shared" si="6"/>
        <v>25.686888</v>
      </c>
      <c r="F12" s="23">
        <f t="shared" si="11"/>
        <v>25686888</v>
      </c>
      <c r="G12" s="15">
        <f t="shared" si="0"/>
        <v>2965200</v>
      </c>
      <c r="H12" s="19">
        <v>600000</v>
      </c>
      <c r="I12" s="16">
        <f t="shared" si="12"/>
        <v>0.425736</v>
      </c>
      <c r="J12" s="23">
        <f>J11+(J$14-J$10)/4</f>
        <v>2365200</v>
      </c>
      <c r="K12" s="16">
        <f t="shared" si="7"/>
        <v>19.911230316129025</v>
      </c>
      <c r="L12" s="64">
        <f t="shared" si="8"/>
        <v>0.967741935483871</v>
      </c>
      <c r="M12" s="16">
        <f t="shared" si="9"/>
        <v>19.911230316129025</v>
      </c>
      <c r="N12" s="15">
        <f t="shared" si="2"/>
        <v>1047959.4903225803</v>
      </c>
      <c r="O12" s="15">
        <f t="shared" si="10"/>
        <v>1076297.8266666662</v>
      </c>
      <c r="P12">
        <v>190</v>
      </c>
      <c r="Q12">
        <v>70</v>
      </c>
      <c r="R12" s="15">
        <f t="shared" si="15"/>
        <v>2207520</v>
      </c>
      <c r="S12" s="81">
        <f t="shared" si="13"/>
        <v>2.2075200000000001</v>
      </c>
      <c r="T12">
        <v>27965</v>
      </c>
      <c r="U12">
        <v>16</v>
      </c>
      <c r="V12">
        <f t="shared" si="14"/>
        <v>2045</v>
      </c>
      <c r="X12" s="157">
        <v>220</v>
      </c>
      <c r="Y12" s="157">
        <v>58</v>
      </c>
      <c r="Z12" s="158">
        <f t="shared" si="16"/>
        <v>1829088</v>
      </c>
      <c r="AA12" s="158">
        <f t="shared" si="17"/>
        <v>283824</v>
      </c>
      <c r="AB12" s="159">
        <f t="shared" si="18"/>
        <v>2112912</v>
      </c>
      <c r="AC12" s="162">
        <v>40096000</v>
      </c>
      <c r="AD12" s="162">
        <v>12131000</v>
      </c>
      <c r="AE12" s="161">
        <f t="shared" si="19"/>
        <v>5.7413654709708686</v>
      </c>
      <c r="AF12" s="161">
        <f t="shared" si="20"/>
        <v>15.568330382885616</v>
      </c>
    </row>
    <row r="13" spans="1:32" x14ac:dyDescent="0.15">
      <c r="A13">
        <f t="shared" si="3"/>
        <v>9</v>
      </c>
      <c r="B13">
        <f t="shared" si="3"/>
        <v>2038</v>
      </c>
      <c r="C13" s="21">
        <f t="shared" si="4"/>
        <v>6.8530538048680931</v>
      </c>
      <c r="D13" s="17">
        <f t="shared" si="5"/>
        <v>7.8514021628196415</v>
      </c>
      <c r="E13" s="22">
        <f t="shared" si="6"/>
        <v>28.652087999999999</v>
      </c>
      <c r="F13" s="23">
        <f t="shared" si="11"/>
        <v>28652088</v>
      </c>
      <c r="G13" s="15">
        <f t="shared" si="0"/>
        <v>2570184</v>
      </c>
      <c r="H13" s="15">
        <f t="shared" si="1"/>
        <v>283824</v>
      </c>
      <c r="I13" s="16">
        <f t="shared" si="12"/>
        <v>0.41154479999999999</v>
      </c>
      <c r="J13" s="23">
        <f>J12+(J$14-J$10)/4</f>
        <v>2286360</v>
      </c>
      <c r="K13" s="16">
        <f t="shared" si="7"/>
        <v>19.768003416444436</v>
      </c>
      <c r="L13" s="64">
        <f t="shared" si="8"/>
        <v>0.96666666666666667</v>
      </c>
      <c r="M13" s="16">
        <f t="shared" si="9"/>
        <v>19.768003416444436</v>
      </c>
      <c r="N13" s="15">
        <f t="shared" si="2"/>
        <v>1040421.232444444</v>
      </c>
      <c r="O13" s="15">
        <f t="shared" si="10"/>
        <v>1069704.1799999995</v>
      </c>
      <c r="P13">
        <v>160</v>
      </c>
      <c r="Q13">
        <v>80</v>
      </c>
      <c r="R13" s="15">
        <f t="shared" si="15"/>
        <v>2522880</v>
      </c>
      <c r="S13" s="81">
        <f t="shared" si="13"/>
        <v>2.5228799999999998</v>
      </c>
      <c r="T13">
        <v>18194</v>
      </c>
      <c r="U13">
        <v>10</v>
      </c>
      <c r="V13">
        <f t="shared" si="14"/>
        <v>2039</v>
      </c>
      <c r="X13" s="157">
        <v>190</v>
      </c>
      <c r="Y13" s="157">
        <v>70</v>
      </c>
      <c r="Z13" s="158">
        <f t="shared" si="16"/>
        <v>2207520</v>
      </c>
      <c r="AA13" s="158">
        <f t="shared" si="17"/>
        <v>283824</v>
      </c>
      <c r="AB13" s="159">
        <f t="shared" si="18"/>
        <v>2491344</v>
      </c>
      <c r="AC13" s="162">
        <v>27965000</v>
      </c>
      <c r="AD13" s="162">
        <v>9771000</v>
      </c>
      <c r="AE13" s="161">
        <f t="shared" si="19"/>
        <v>3.9219794616881489</v>
      </c>
      <c r="AF13" s="161">
        <f t="shared" si="20"/>
        <v>9.8269649119147466</v>
      </c>
    </row>
    <row r="14" spans="1:32" x14ac:dyDescent="0.15">
      <c r="A14">
        <f t="shared" si="3"/>
        <v>10</v>
      </c>
      <c r="B14">
        <f t="shared" si="3"/>
        <v>2039</v>
      </c>
      <c r="C14" s="21">
        <f t="shared" si="4"/>
        <v>7.8463206663129288</v>
      </c>
      <c r="D14" s="17">
        <f t="shared" si="5"/>
        <v>8.0361814146680732</v>
      </c>
      <c r="E14" s="22">
        <f t="shared" si="6"/>
        <v>31.222272</v>
      </c>
      <c r="F14" s="23">
        <f t="shared" si="11"/>
        <v>31222272</v>
      </c>
      <c r="G14" s="15">
        <f t="shared" si="0"/>
        <v>2491344</v>
      </c>
      <c r="H14" s="15">
        <f t="shared" si="1"/>
        <v>283824</v>
      </c>
      <c r="I14" s="16">
        <f t="shared" si="12"/>
        <v>0.39735359999999997</v>
      </c>
      <c r="J14" s="19">
        <v>2207520</v>
      </c>
      <c r="K14" s="16">
        <f t="shared" si="7"/>
        <v>19.623538750344821</v>
      </c>
      <c r="L14" s="64">
        <f t="shared" si="8"/>
        <v>0.96551724137931039</v>
      </c>
      <c r="M14" s="16">
        <f t="shared" si="9"/>
        <v>19.623538750344821</v>
      </c>
      <c r="N14" s="15">
        <f t="shared" si="2"/>
        <v>1032817.8289655168</v>
      </c>
      <c r="O14" s="15">
        <f t="shared" si="10"/>
        <v>1063110.5333333327</v>
      </c>
      <c r="P14">
        <v>130</v>
      </c>
      <c r="Q14">
        <v>90</v>
      </c>
      <c r="R14" s="15">
        <f t="shared" si="15"/>
        <v>2838240</v>
      </c>
      <c r="S14" s="81">
        <f t="shared" si="13"/>
        <v>2.8382399999999999</v>
      </c>
      <c r="T14">
        <v>10671</v>
      </c>
      <c r="U14">
        <v>5</v>
      </c>
      <c r="V14">
        <f t="shared" si="14"/>
        <v>2034</v>
      </c>
      <c r="X14" s="157">
        <v>160</v>
      </c>
      <c r="Y14" s="157">
        <v>80</v>
      </c>
      <c r="Z14" s="158">
        <f t="shared" si="16"/>
        <v>2522880</v>
      </c>
      <c r="AA14" s="158">
        <f t="shared" si="17"/>
        <v>283824</v>
      </c>
      <c r="AB14" s="159">
        <f t="shared" si="18"/>
        <v>2806704</v>
      </c>
      <c r="AC14" s="162">
        <v>18194000</v>
      </c>
      <c r="AD14" s="162">
        <v>7523000</v>
      </c>
      <c r="AE14" s="161">
        <f t="shared" si="19"/>
        <v>2.6803681471220338</v>
      </c>
      <c r="AF14" s="161">
        <f t="shared" si="20"/>
        <v>5.9049854502265973</v>
      </c>
    </row>
    <row r="15" spans="1:32" x14ac:dyDescent="0.15">
      <c r="A15">
        <f t="shared" si="3"/>
        <v>11</v>
      </c>
      <c r="B15">
        <f t="shared" si="3"/>
        <v>2040</v>
      </c>
      <c r="C15" s="21">
        <f t="shared" si="4"/>
        <v>8.035798521190312</v>
      </c>
      <c r="D15" s="17">
        <f t="shared" si="5"/>
        <v>8.239597387222954</v>
      </c>
      <c r="E15" s="22">
        <f t="shared" si="6"/>
        <v>33.713616000000002</v>
      </c>
      <c r="F15" s="23">
        <f t="shared" si="11"/>
        <v>33713616</v>
      </c>
      <c r="G15" s="15">
        <f t="shared" si="0"/>
        <v>2428272</v>
      </c>
      <c r="H15" s="15">
        <f t="shared" si="1"/>
        <v>283824</v>
      </c>
      <c r="I15" s="16">
        <f t="shared" si="12"/>
        <v>0.38600064000000001</v>
      </c>
      <c r="J15" s="23">
        <f>J14+(J$20-J$14)/6</f>
        <v>2144448</v>
      </c>
      <c r="K15" s="16">
        <f t="shared" si="7"/>
        <v>19.621982986666659</v>
      </c>
      <c r="L15" s="64">
        <f t="shared" si="8"/>
        <v>0.97142857142857142</v>
      </c>
      <c r="M15" s="16">
        <f t="shared" si="9"/>
        <v>19.621982986666659</v>
      </c>
      <c r="N15" s="15">
        <f t="shared" si="2"/>
        <v>1032735.9466666661</v>
      </c>
      <c r="O15" s="15">
        <f t="shared" si="10"/>
        <v>1056516.886666666</v>
      </c>
      <c r="P15">
        <v>100</v>
      </c>
      <c r="Q15">
        <v>99</v>
      </c>
      <c r="R15" s="15">
        <f t="shared" si="15"/>
        <v>3122064</v>
      </c>
      <c r="S15" s="81">
        <f t="shared" si="13"/>
        <v>3.122064</v>
      </c>
      <c r="T15">
        <v>5226</v>
      </c>
      <c r="U15">
        <v>3</v>
      </c>
      <c r="V15">
        <f t="shared" si="14"/>
        <v>2032</v>
      </c>
      <c r="X15" s="157">
        <v>130</v>
      </c>
      <c r="Y15" s="157">
        <v>90</v>
      </c>
      <c r="Z15" s="158">
        <f t="shared" si="16"/>
        <v>2838240</v>
      </c>
      <c r="AA15" s="158">
        <f t="shared" si="17"/>
        <v>283824</v>
      </c>
      <c r="AB15" s="159">
        <f t="shared" si="18"/>
        <v>3122064</v>
      </c>
      <c r="AC15" s="162">
        <v>10671000</v>
      </c>
      <c r="AD15" s="162">
        <v>5445000</v>
      </c>
      <c r="AE15" s="161">
        <f t="shared" si="19"/>
        <v>1.7440385591070522</v>
      </c>
      <c r="AF15" s="161">
        <f t="shared" si="20"/>
        <v>3.2246173031045631</v>
      </c>
    </row>
    <row r="16" spans="1:32" x14ac:dyDescent="0.15">
      <c r="A16">
        <f t="shared" si="3"/>
        <v>12</v>
      </c>
      <c r="B16">
        <f t="shared" si="3"/>
        <v>2041</v>
      </c>
      <c r="C16" s="21">
        <f t="shared" si="4"/>
        <v>8.2354492476600676</v>
      </c>
      <c r="D16" s="17">
        <f t="shared" si="5"/>
        <v>8.3959335494573217</v>
      </c>
      <c r="E16" s="22">
        <f t="shared" si="6"/>
        <v>36.141888000000002</v>
      </c>
      <c r="F16" s="23">
        <f t="shared" si="11"/>
        <v>36141888</v>
      </c>
      <c r="G16" s="15">
        <f t="shared" si="0"/>
        <v>2365200</v>
      </c>
      <c r="H16" s="15">
        <f t="shared" si="1"/>
        <v>283824</v>
      </c>
      <c r="I16" s="16">
        <f t="shared" si="12"/>
        <v>0.37464767999999998</v>
      </c>
      <c r="J16" s="23">
        <f>J15+(J$20-J$14)/6</f>
        <v>2081376</v>
      </c>
      <c r="K16" s="16">
        <f t="shared" si="7"/>
        <v>19.48341435117646</v>
      </c>
      <c r="L16" s="64">
        <f t="shared" si="8"/>
        <v>0.97058823529411764</v>
      </c>
      <c r="M16" s="16">
        <f t="shared" si="9"/>
        <v>19.48341435117646</v>
      </c>
      <c r="N16" s="15">
        <f t="shared" si="2"/>
        <v>1025442.8605882346</v>
      </c>
      <c r="O16" s="15">
        <f t="shared" si="10"/>
        <v>1049923.2399999993</v>
      </c>
      <c r="P16">
        <v>85</v>
      </c>
      <c r="Q16">
        <v>103</v>
      </c>
      <c r="R16" s="15">
        <f t="shared" si="15"/>
        <v>3248208</v>
      </c>
      <c r="S16" s="81">
        <f t="shared" si="13"/>
        <v>3.248208</v>
      </c>
      <c r="T16">
        <v>3312</v>
      </c>
      <c r="U16">
        <v>2</v>
      </c>
      <c r="V16">
        <f t="shared" si="14"/>
        <v>2031</v>
      </c>
      <c r="X16" s="157">
        <v>100</v>
      </c>
      <c r="Y16" s="157">
        <v>99</v>
      </c>
      <c r="Z16" s="158">
        <f t="shared" si="16"/>
        <v>3122064</v>
      </c>
      <c r="AA16" s="158">
        <f t="shared" si="17"/>
        <v>283824</v>
      </c>
      <c r="AB16" s="159">
        <f t="shared" si="18"/>
        <v>3405888</v>
      </c>
      <c r="AC16" s="162">
        <v>5226000</v>
      </c>
      <c r="AD16" s="162">
        <v>1914000</v>
      </c>
      <c r="AE16" s="161">
        <f t="shared" si="19"/>
        <v>0.56196798015671678</v>
      </c>
      <c r="AF16" s="161">
        <f t="shared" si="20"/>
        <v>1.4805787439975107</v>
      </c>
    </row>
    <row r="17" spans="1:32" x14ac:dyDescent="0.15">
      <c r="A17">
        <f t="shared" si="3"/>
        <v>13</v>
      </c>
      <c r="B17">
        <f t="shared" si="3"/>
        <v>2042</v>
      </c>
      <c r="C17" s="21">
        <f t="shared" si="4"/>
        <v>8.3920192828015203</v>
      </c>
      <c r="D17" s="17">
        <f t="shared" si="5"/>
        <v>9.088824731498006</v>
      </c>
      <c r="E17" s="22">
        <f t="shared" si="6"/>
        <v>38.507088000000003</v>
      </c>
      <c r="F17" s="23">
        <f t="shared" si="11"/>
        <v>38507088</v>
      </c>
      <c r="G17" s="15">
        <f t="shared" si="0"/>
        <v>2168304</v>
      </c>
      <c r="H17" s="19">
        <v>150000</v>
      </c>
      <c r="I17" s="16">
        <f t="shared" si="12"/>
        <v>0.36329472000000002</v>
      </c>
      <c r="J17" s="23">
        <f>J16+(J$20-J$14)/6</f>
        <v>2018304</v>
      </c>
      <c r="K17" s="16">
        <f t="shared" si="7"/>
        <v>19.34404030060605</v>
      </c>
      <c r="L17" s="64">
        <f t="shared" si="8"/>
        <v>0.96969696969696972</v>
      </c>
      <c r="M17" s="16">
        <f t="shared" si="9"/>
        <v>19.34404030060605</v>
      </c>
      <c r="N17" s="15">
        <f t="shared" si="2"/>
        <v>1018107.3842424236</v>
      </c>
      <c r="O17" s="15">
        <f t="shared" si="10"/>
        <v>1043329.5933333327</v>
      </c>
      <c r="P17">
        <v>75</v>
      </c>
      <c r="Q17">
        <v>105</v>
      </c>
      <c r="R17" s="15">
        <f t="shared" si="15"/>
        <v>3311280</v>
      </c>
      <c r="S17" s="81">
        <f t="shared" si="13"/>
        <v>3.31128</v>
      </c>
      <c r="T17">
        <v>2190</v>
      </c>
      <c r="U17">
        <v>1.5</v>
      </c>
      <c r="V17">
        <f t="shared" si="14"/>
        <v>2030.5</v>
      </c>
      <c r="X17" s="157">
        <v>85</v>
      </c>
      <c r="Y17" s="157">
        <v>103</v>
      </c>
      <c r="Z17" s="158">
        <f t="shared" si="16"/>
        <v>3248208</v>
      </c>
      <c r="AA17" s="158">
        <f t="shared" si="17"/>
        <v>283824</v>
      </c>
      <c r="AB17" s="159">
        <f t="shared" si="18"/>
        <v>3532032</v>
      </c>
      <c r="AC17" s="162">
        <v>3312000</v>
      </c>
      <c r="AD17" s="162">
        <v>1122000</v>
      </c>
      <c r="AE17" s="161">
        <f t="shared" si="19"/>
        <v>0.31766416612307025</v>
      </c>
      <c r="AF17" s="161">
        <f t="shared" si="20"/>
        <v>0.91861076384079399</v>
      </c>
    </row>
    <row r="18" spans="1:32" x14ac:dyDescent="0.15">
      <c r="A18">
        <f t="shared" si="3"/>
        <v>14</v>
      </c>
      <c r="B18">
        <f t="shared" si="3"/>
        <v>2043</v>
      </c>
      <c r="C18" s="21">
        <f t="shared" si="4"/>
        <v>9.0850974672760803</v>
      </c>
      <c r="D18" s="17">
        <f t="shared" si="5"/>
        <v>9.2891078452596432</v>
      </c>
      <c r="E18" s="22">
        <f t="shared" si="6"/>
        <v>40.675392000000002</v>
      </c>
      <c r="F18" s="23">
        <f t="shared" si="11"/>
        <v>40675392</v>
      </c>
      <c r="G18" s="15">
        <f t="shared" si="0"/>
        <v>2105232</v>
      </c>
      <c r="H18" s="19">
        <v>150000</v>
      </c>
      <c r="I18" s="16">
        <f t="shared" si="12"/>
        <v>0.35194175999999999</v>
      </c>
      <c r="J18" s="23">
        <f>J17+(J$20-J$14)/6</f>
        <v>1955232</v>
      </c>
      <c r="K18" s="16">
        <f t="shared" si="7"/>
        <v>19.203785327291651</v>
      </c>
      <c r="L18" s="64">
        <f t="shared" si="8"/>
        <v>0.96875</v>
      </c>
      <c r="M18" s="16">
        <f t="shared" si="9"/>
        <v>19.203785327291651</v>
      </c>
      <c r="N18" s="15">
        <f t="shared" si="2"/>
        <v>1010725.543541666</v>
      </c>
      <c r="O18" s="15">
        <f t="shared" si="10"/>
        <v>1036735.9466666661</v>
      </c>
      <c r="P18">
        <v>70</v>
      </c>
      <c r="Q18">
        <v>107</v>
      </c>
      <c r="R18" s="15">
        <f t="shared" si="15"/>
        <v>3374352</v>
      </c>
      <c r="S18" s="81">
        <f t="shared" si="13"/>
        <v>3.374352</v>
      </c>
      <c r="T18">
        <v>1713</v>
      </c>
      <c r="U18">
        <v>1</v>
      </c>
      <c r="V18">
        <f t="shared" si="14"/>
        <v>2030</v>
      </c>
      <c r="X18" s="157">
        <v>75</v>
      </c>
      <c r="Y18" s="157">
        <v>105</v>
      </c>
      <c r="Z18" s="158">
        <f t="shared" si="16"/>
        <v>3311280</v>
      </c>
      <c r="AA18" s="158">
        <f t="shared" si="17"/>
        <v>283824</v>
      </c>
      <c r="AB18" s="159">
        <f t="shared" si="18"/>
        <v>3595104</v>
      </c>
      <c r="AC18" s="162">
        <v>2190000</v>
      </c>
      <c r="AD18" s="162">
        <v>477000</v>
      </c>
      <c r="AE18" s="161">
        <f t="shared" si="19"/>
        <v>0.13268044540575183</v>
      </c>
      <c r="AF18" s="161">
        <f t="shared" si="20"/>
        <v>0.60094659771772374</v>
      </c>
    </row>
    <row r="19" spans="1:32" x14ac:dyDescent="0.15">
      <c r="A19">
        <f t="shared" si="3"/>
        <v>15</v>
      </c>
      <c r="B19">
        <f t="shared" si="3"/>
        <v>2044</v>
      </c>
      <c r="C19" s="21">
        <f t="shared" si="4"/>
        <v>9.2855414151242055</v>
      </c>
      <c r="D19" s="17">
        <f t="shared" si="5"/>
        <v>8.9169557223973861</v>
      </c>
      <c r="E19" s="22">
        <f t="shared" si="6"/>
        <v>42.780624000000003</v>
      </c>
      <c r="F19" s="23">
        <f t="shared" si="11"/>
        <v>42780624</v>
      </c>
      <c r="G19" s="15">
        <f>H19+J19</f>
        <v>2175984</v>
      </c>
      <c r="H19" s="15">
        <f t="shared" si="1"/>
        <v>283824</v>
      </c>
      <c r="I19" s="16">
        <f>J19*1000*$Q$4/1000000000</f>
        <v>0.34058880000000002</v>
      </c>
      <c r="J19" s="23">
        <f>J18+(J$20-J$14)/6</f>
        <v>1892160</v>
      </c>
      <c r="K19" s="16">
        <f t="shared" si="7"/>
        <v>19.062564180645154</v>
      </c>
      <c r="L19" s="64">
        <f t="shared" si="8"/>
        <v>0.967741935483871</v>
      </c>
      <c r="M19" s="16">
        <f t="shared" si="9"/>
        <v>19.062564180645154</v>
      </c>
      <c r="N19" s="15">
        <f t="shared" si="2"/>
        <v>1003292.8516129027</v>
      </c>
      <c r="O19" s="15">
        <f t="shared" si="10"/>
        <v>1030142.2999999995</v>
      </c>
      <c r="P19">
        <v>40</v>
      </c>
      <c r="Q19">
        <v>113</v>
      </c>
      <c r="R19" s="15">
        <f t="shared" si="15"/>
        <v>3563568</v>
      </c>
      <c r="S19" s="81">
        <f t="shared" si="13"/>
        <v>3.5635680000000001</v>
      </c>
      <c r="T19">
        <v>0</v>
      </c>
      <c r="U19">
        <v>0</v>
      </c>
      <c r="V19">
        <f>2029+U19</f>
        <v>2029</v>
      </c>
      <c r="X19" s="157">
        <v>70</v>
      </c>
      <c r="Y19" s="157">
        <v>107</v>
      </c>
      <c r="Z19" s="158">
        <f t="shared" si="16"/>
        <v>3374352</v>
      </c>
      <c r="AA19" s="158">
        <f t="shared" si="17"/>
        <v>283824</v>
      </c>
      <c r="AB19" s="159">
        <f t="shared" si="18"/>
        <v>3658176</v>
      </c>
      <c r="AC19" s="162">
        <v>1713000</v>
      </c>
      <c r="AD19" s="162">
        <v>1713000</v>
      </c>
      <c r="AE19" s="161">
        <f t="shared" si="19"/>
        <v>0.46826615231197188</v>
      </c>
      <c r="AF19" s="161">
        <f>AE19+AF20</f>
        <v>0.46826615231197188</v>
      </c>
    </row>
    <row r="20" spans="1:32" x14ac:dyDescent="0.15">
      <c r="A20">
        <f t="shared" si="3"/>
        <v>16</v>
      </c>
      <c r="B20">
        <f t="shared" si="3"/>
        <v>2045</v>
      </c>
      <c r="C20" s="21">
        <f t="shared" si="4"/>
        <v>8.9135382737920139</v>
      </c>
      <c r="D20" s="17">
        <f t="shared" si="5"/>
        <v>9.1104201610541846</v>
      </c>
      <c r="E20" s="22">
        <f t="shared" si="6"/>
        <v>44.956608000000003</v>
      </c>
      <c r="F20" s="23">
        <f t="shared" si="11"/>
        <v>44956608</v>
      </c>
      <c r="G20" s="15">
        <f t="shared" ref="G20:G36" si="21">H20+J20</f>
        <v>2112912</v>
      </c>
      <c r="H20" s="15">
        <f t="shared" si="1"/>
        <v>283824</v>
      </c>
      <c r="I20" s="16">
        <f t="shared" ref="I20:I35" si="22">J20*1000*$Q$4/1000000000</f>
        <v>0.32923584</v>
      </c>
      <c r="J20" s="19">
        <v>1829088</v>
      </c>
      <c r="K20" s="16">
        <f t="shared" si="7"/>
        <v>18.920280243333323</v>
      </c>
      <c r="L20" s="64">
        <f t="shared" si="8"/>
        <v>0.96666666666666667</v>
      </c>
      <c r="M20" s="16">
        <f t="shared" si="9"/>
        <v>18.920280243333323</v>
      </c>
      <c r="N20" s="15">
        <f t="shared" si="2"/>
        <v>995804.2233333328</v>
      </c>
      <c r="O20" s="15">
        <f t="shared" si="10"/>
        <v>1023548.6533333329</v>
      </c>
      <c r="X20" s="163">
        <v>40</v>
      </c>
      <c r="Y20" s="163">
        <v>113</v>
      </c>
      <c r="Z20" s="164">
        <f>Y20*3600*24*365/1000</f>
        <v>3563568</v>
      </c>
      <c r="AA20" s="164">
        <f>9*3600*24*365/1000</f>
        <v>283824</v>
      </c>
      <c r="AB20" s="165">
        <f>Z20+AA20</f>
        <v>3847392</v>
      </c>
      <c r="AC20" s="166">
        <v>0</v>
      </c>
      <c r="AD20" s="166">
        <v>0</v>
      </c>
      <c r="AE20" s="167">
        <f t="shared" si="19"/>
        <v>0</v>
      </c>
      <c r="AF20" s="167">
        <f>AE20</f>
        <v>0</v>
      </c>
    </row>
    <row r="21" spans="1:32" x14ac:dyDescent="0.15">
      <c r="A21">
        <f t="shared" si="3"/>
        <v>17</v>
      </c>
      <c r="B21">
        <f t="shared" si="3"/>
        <v>2046</v>
      </c>
      <c r="C21" s="21">
        <f t="shared" si="4"/>
        <v>9.1107532602364287</v>
      </c>
      <c r="D21" s="17">
        <f t="shared" si="5"/>
        <v>9.3266461506510492</v>
      </c>
      <c r="E21" s="22">
        <f t="shared" si="6"/>
        <v>47.069519999999997</v>
      </c>
      <c r="F21" s="23">
        <f t="shared" si="11"/>
        <v>47069520</v>
      </c>
      <c r="G21" s="15">
        <f t="shared" si="21"/>
        <v>2065608</v>
      </c>
      <c r="H21" s="15">
        <f t="shared" si="1"/>
        <v>283824</v>
      </c>
      <c r="I21" s="16">
        <f t="shared" si="22"/>
        <v>0.32072112000000003</v>
      </c>
      <c r="J21" s="23">
        <f t="shared" ref="J21:J27" si="23">J20+(J$28-J$20)/8</f>
        <v>1781784</v>
      </c>
      <c r="K21" s="16">
        <f t="shared" si="7"/>
        <v>18.944473781954013</v>
      </c>
      <c r="L21" s="64">
        <f t="shared" si="8"/>
        <v>0.97413793103448276</v>
      </c>
      <c r="M21" s="16">
        <f t="shared" si="9"/>
        <v>18.944473781954013</v>
      </c>
      <c r="N21" s="15">
        <f t="shared" si="2"/>
        <v>997077.56747126393</v>
      </c>
      <c r="O21" s="15">
        <f t="shared" si="10"/>
        <v>1016955.0066666662</v>
      </c>
      <c r="P21" s="15">
        <v>283824</v>
      </c>
      <c r="Q21" t="s">
        <v>965</v>
      </c>
    </row>
    <row r="22" spans="1:32" x14ac:dyDescent="0.15">
      <c r="A22">
        <f t="shared" ref="A22:A85" si="24">A21+1</f>
        <v>18</v>
      </c>
      <c r="B22">
        <f t="shared" ref="B22:B36" si="25">B21+1</f>
        <v>2047</v>
      </c>
      <c r="C22" s="21">
        <f t="shared" si="4"/>
        <v>9.3237191066931064</v>
      </c>
      <c r="D22" s="17">
        <f t="shared" si="5"/>
        <v>9.4739812349471997</v>
      </c>
      <c r="E22" s="22">
        <f t="shared" si="6"/>
        <v>49.135128000000002</v>
      </c>
      <c r="F22" s="23">
        <f t="shared" si="11"/>
        <v>49135128</v>
      </c>
      <c r="G22" s="15">
        <f t="shared" si="21"/>
        <v>2018304</v>
      </c>
      <c r="H22" s="15">
        <f t="shared" si="1"/>
        <v>283824</v>
      </c>
      <c r="I22" s="16">
        <f t="shared" si="22"/>
        <v>0.3122064</v>
      </c>
      <c r="J22" s="23">
        <f t="shared" si="23"/>
        <v>1734480</v>
      </c>
      <c r="K22" s="16">
        <f t="shared" si="7"/>
        <v>18.809167822418871</v>
      </c>
      <c r="L22" s="64">
        <f t="shared" si="8"/>
        <v>0.97345132743362828</v>
      </c>
      <c r="M22" s="16">
        <f t="shared" si="9"/>
        <v>18.809167822418871</v>
      </c>
      <c r="N22" s="15">
        <f t="shared" si="2"/>
        <v>989956.2011799406</v>
      </c>
      <c r="O22" s="15">
        <f t="shared" si="10"/>
        <v>1010361.3599999996</v>
      </c>
      <c r="P22" s="15">
        <f>6*60*60*24*365/1000</f>
        <v>189216</v>
      </c>
      <c r="Q22" t="s">
        <v>1105</v>
      </c>
    </row>
    <row r="23" spans="1:32" x14ac:dyDescent="0.15">
      <c r="A23">
        <f t="shared" si="24"/>
        <v>19</v>
      </c>
      <c r="B23">
        <f t="shared" si="25"/>
        <v>2048</v>
      </c>
      <c r="C23" s="21">
        <f t="shared" si="4"/>
        <v>9.4711589885539507</v>
      </c>
      <c r="D23" s="17">
        <f t="shared" si="5"/>
        <v>9.6281109251418258</v>
      </c>
      <c r="E23" s="22">
        <f t="shared" si="6"/>
        <v>51.153432000000002</v>
      </c>
      <c r="F23" s="23">
        <f t="shared" si="11"/>
        <v>51153432</v>
      </c>
      <c r="G23" s="15">
        <f t="shared" si="21"/>
        <v>1971000</v>
      </c>
      <c r="H23" s="15">
        <f t="shared" si="1"/>
        <v>283824</v>
      </c>
      <c r="I23" s="16">
        <f t="shared" si="22"/>
        <v>0.30369168000000002</v>
      </c>
      <c r="J23" s="23">
        <f t="shared" si="23"/>
        <v>1687176</v>
      </c>
      <c r="K23" s="16">
        <f t="shared" si="7"/>
        <v>18.67331495345454</v>
      </c>
      <c r="L23" s="64">
        <f t="shared" si="8"/>
        <v>0.97272727272727277</v>
      </c>
      <c r="M23" s="16">
        <f t="shared" si="9"/>
        <v>18.67331495345454</v>
      </c>
      <c r="N23" s="15">
        <f t="shared" si="2"/>
        <v>982806.05018181785</v>
      </c>
      <c r="O23" s="15">
        <f t="shared" si="10"/>
        <v>1003767.713333333</v>
      </c>
      <c r="P23" s="15">
        <f>36*60*60*24*365/1000</f>
        <v>1135296</v>
      </c>
      <c r="Q23" t="s">
        <v>1106</v>
      </c>
    </row>
    <row r="24" spans="1:32" x14ac:dyDescent="0.15">
      <c r="A24">
        <f t="shared" si="24"/>
        <v>20</v>
      </c>
      <c r="B24">
        <f t="shared" si="25"/>
        <v>2049</v>
      </c>
      <c r="C24" s="21">
        <f t="shared" si="4"/>
        <v>9.6253822277296592</v>
      </c>
      <c r="D24" s="17">
        <f t="shared" si="5"/>
        <v>9.789512549453411</v>
      </c>
      <c r="E24" s="22">
        <f t="shared" si="6"/>
        <v>53.124431999999999</v>
      </c>
      <c r="F24" s="23">
        <f t="shared" si="11"/>
        <v>53124432</v>
      </c>
      <c r="G24" s="15">
        <f t="shared" si="21"/>
        <v>1923696</v>
      </c>
      <c r="H24" s="15">
        <f t="shared" si="1"/>
        <v>283824</v>
      </c>
      <c r="I24" s="16">
        <f t="shared" si="22"/>
        <v>0.29517695999999999</v>
      </c>
      <c r="J24" s="23">
        <f t="shared" si="23"/>
        <v>1639872</v>
      </c>
      <c r="K24" s="16">
        <f t="shared" si="7"/>
        <v>18.536869173333329</v>
      </c>
      <c r="L24" s="64">
        <f t="shared" si="8"/>
        <v>0.9719626168224299</v>
      </c>
      <c r="M24" s="16">
        <f t="shared" si="9"/>
        <v>18.536869173333329</v>
      </c>
      <c r="N24" s="15">
        <f t="shared" si="2"/>
        <v>975624.69333333301</v>
      </c>
      <c r="O24" s="15">
        <f t="shared" si="10"/>
        <v>997174.06666666642</v>
      </c>
      <c r="P24" s="15">
        <f>18*60*60*24*365/1000</f>
        <v>567648</v>
      </c>
      <c r="Q24" t="s">
        <v>964</v>
      </c>
    </row>
    <row r="25" spans="1:32" x14ac:dyDescent="0.15">
      <c r="A25">
        <f t="shared" si="24"/>
        <v>21</v>
      </c>
      <c r="B25">
        <f t="shared" si="25"/>
        <v>2050</v>
      </c>
      <c r="C25" s="21">
        <f t="shared" si="4"/>
        <v>9.7868675054494183</v>
      </c>
      <c r="D25" s="17">
        <f t="shared" si="5"/>
        <v>9.9587087412629618</v>
      </c>
      <c r="E25" s="22">
        <f t="shared" si="6"/>
        <v>55.048127999999998</v>
      </c>
      <c r="F25" s="23">
        <f t="shared" si="11"/>
        <v>55048128</v>
      </c>
      <c r="G25" s="15">
        <f t="shared" si="21"/>
        <v>1876392</v>
      </c>
      <c r="H25" s="15">
        <f t="shared" si="1"/>
        <v>283824</v>
      </c>
      <c r="I25" s="16">
        <f t="shared" si="22"/>
        <v>0.28666224000000001</v>
      </c>
      <c r="J25" s="23">
        <f t="shared" si="23"/>
        <v>1592568</v>
      </c>
      <c r="K25" s="16">
        <f t="shared" si="7"/>
        <v>18.399779172435892</v>
      </c>
      <c r="L25" s="64">
        <f t="shared" si="8"/>
        <v>0.97115384615384615</v>
      </c>
      <c r="M25" s="16">
        <f t="shared" si="9"/>
        <v>18.399779172435892</v>
      </c>
      <c r="N25" s="15">
        <f t="shared" si="2"/>
        <v>968409.43012820487</v>
      </c>
      <c r="O25" s="15">
        <f t="shared" si="10"/>
        <v>990580.41999999981</v>
      </c>
      <c r="P25" s="15">
        <v>1129047</v>
      </c>
      <c r="Q25" t="s">
        <v>1150</v>
      </c>
    </row>
    <row r="26" spans="1:32" x14ac:dyDescent="0.15">
      <c r="A26">
        <f t="shared" si="24"/>
        <v>22</v>
      </c>
      <c r="B26">
        <f t="shared" si="25"/>
        <v>2051</v>
      </c>
      <c r="C26" s="21">
        <f t="shared" si="4"/>
        <v>9.9561385597755212</v>
      </c>
      <c r="D26" s="17">
        <f t="shared" si="5"/>
        <v>10.136272866559997</v>
      </c>
      <c r="E26" s="22">
        <f t="shared" si="6"/>
        <v>56.924520000000001</v>
      </c>
      <c r="F26" s="23">
        <f t="shared" si="11"/>
        <v>56924520</v>
      </c>
      <c r="G26" s="15">
        <f t="shared" si="21"/>
        <v>1829088</v>
      </c>
      <c r="H26" s="15">
        <f t="shared" si="1"/>
        <v>283824</v>
      </c>
      <c r="I26" s="16">
        <f t="shared" si="22"/>
        <v>0.27814751999999998</v>
      </c>
      <c r="J26" s="23">
        <f t="shared" si="23"/>
        <v>1545264</v>
      </c>
      <c r="K26" s="16">
        <f t="shared" si="7"/>
        <v>18.261987544950493</v>
      </c>
      <c r="L26" s="64">
        <f t="shared" si="8"/>
        <v>0.97029702970297027</v>
      </c>
      <c r="M26" s="16">
        <f t="shared" si="9"/>
        <v>18.261987544950493</v>
      </c>
      <c r="N26" s="15">
        <f t="shared" si="2"/>
        <v>961157.23920792062</v>
      </c>
      <c r="O26" s="15">
        <f t="shared" si="10"/>
        <v>983986.7733333332</v>
      </c>
      <c r="P26" s="15">
        <v>1048478</v>
      </c>
      <c r="Q26" t="s">
        <v>1149</v>
      </c>
    </row>
    <row r="27" spans="1:32" x14ac:dyDescent="0.15">
      <c r="A27">
        <f t="shared" si="24"/>
        <v>23</v>
      </c>
      <c r="B27">
        <f t="shared" si="25"/>
        <v>2052</v>
      </c>
      <c r="C27" s="21">
        <f t="shared" si="4"/>
        <v>10.133769660132772</v>
      </c>
      <c r="D27" s="17">
        <f t="shared" si="5"/>
        <v>10.322835234676209</v>
      </c>
      <c r="E27" s="22">
        <f t="shared" si="6"/>
        <v>58.753608</v>
      </c>
      <c r="F27" s="23">
        <f t="shared" si="11"/>
        <v>58753608</v>
      </c>
      <c r="G27" s="15">
        <f t="shared" si="21"/>
        <v>1781784</v>
      </c>
      <c r="H27" s="15">
        <f t="shared" si="1"/>
        <v>283824</v>
      </c>
      <c r="I27" s="16">
        <f t="shared" si="22"/>
        <v>0.26963280000000001</v>
      </c>
      <c r="J27" s="23">
        <f t="shared" si="23"/>
        <v>1497960</v>
      </c>
      <c r="K27" s="16">
        <f t="shared" si="7"/>
        <v>18.123429855782312</v>
      </c>
      <c r="L27" s="64">
        <f t="shared" si="8"/>
        <v>0.96938775510204078</v>
      </c>
      <c r="M27" s="16">
        <f t="shared" si="9"/>
        <v>18.123429855782312</v>
      </c>
      <c r="N27" s="15">
        <f t="shared" si="2"/>
        <v>953864.72925170057</v>
      </c>
      <c r="O27" s="15">
        <f t="shared" si="10"/>
        <v>977393.12666666659</v>
      </c>
      <c r="P27" s="15">
        <v>281216</v>
      </c>
      <c r="Q27" t="s">
        <v>1152</v>
      </c>
    </row>
    <row r="28" spans="1:32" x14ac:dyDescent="0.15">
      <c r="A28">
        <f t="shared" si="24"/>
        <v>24</v>
      </c>
      <c r="B28">
        <f t="shared" si="25"/>
        <v>2053</v>
      </c>
      <c r="C28" s="21">
        <f t="shared" si="4"/>
        <v>10.32039185337101</v>
      </c>
      <c r="D28" s="17">
        <f t="shared" si="5"/>
        <v>10.519090223390679</v>
      </c>
      <c r="E28" s="22">
        <f t="shared" si="6"/>
        <v>60.535392000000002</v>
      </c>
      <c r="F28" s="23">
        <f t="shared" si="11"/>
        <v>60535392</v>
      </c>
      <c r="G28" s="15">
        <f t="shared" si="21"/>
        <v>1734480</v>
      </c>
      <c r="H28" s="15">
        <f t="shared" si="1"/>
        <v>283824</v>
      </c>
      <c r="I28" s="16">
        <f t="shared" si="22"/>
        <v>0.26111807999999997</v>
      </c>
      <c r="J28" s="19">
        <v>1450656</v>
      </c>
      <c r="K28" s="16">
        <f t="shared" si="7"/>
        <v>17.984033530666665</v>
      </c>
      <c r="L28" s="64">
        <f t="shared" si="8"/>
        <v>0.96842105263157896</v>
      </c>
      <c r="M28" s="16">
        <f t="shared" si="9"/>
        <v>17.984033530666665</v>
      </c>
      <c r="N28" s="15">
        <f t="shared" si="2"/>
        <v>946528.08056140342</v>
      </c>
      <c r="O28" s="15">
        <f t="shared" si="10"/>
        <v>970799.48</v>
      </c>
      <c r="P28" s="15">
        <v>140000</v>
      </c>
      <c r="Q28" t="s">
        <v>1224</v>
      </c>
    </row>
    <row r="29" spans="1:32" x14ac:dyDescent="0.15">
      <c r="A29">
        <f t="shared" si="24"/>
        <v>25</v>
      </c>
      <c r="B29">
        <f t="shared" si="25"/>
        <v>2054</v>
      </c>
      <c r="C29" s="21">
        <f t="shared" si="4"/>
        <v>10.518184339881037</v>
      </c>
      <c r="D29" s="17">
        <f t="shared" si="5"/>
        <v>10.734980716863289</v>
      </c>
      <c r="E29" s="22">
        <f t="shared" si="6"/>
        <v>62.269871999999999</v>
      </c>
      <c r="F29" s="23">
        <f t="shared" si="11"/>
        <v>62269872</v>
      </c>
      <c r="G29" s="15">
        <f t="shared" si="21"/>
        <v>1694343.2727272727</v>
      </c>
      <c r="H29" s="15">
        <f t="shared" si="1"/>
        <v>283824</v>
      </c>
      <c r="I29" s="16">
        <f t="shared" si="22"/>
        <v>0.2538934690909091</v>
      </c>
      <c r="J29" s="15">
        <f t="shared" ref="J29:J36" si="26">J28+(J$38-J$28)/11</f>
        <v>1410519.2727272727</v>
      </c>
      <c r="K29" s="16">
        <f t="shared" si="7"/>
        <v>17.9348488913834</v>
      </c>
      <c r="L29" s="64">
        <f t="shared" si="8"/>
        <v>0.97233201581027662</v>
      </c>
      <c r="M29" s="16">
        <f t="shared" si="9"/>
        <v>17.9348488913834</v>
      </c>
      <c r="N29" s="15">
        <f t="shared" si="2"/>
        <v>943939.41533596825</v>
      </c>
      <c r="O29" s="15">
        <f t="shared" si="10"/>
        <v>964205.83333333337</v>
      </c>
    </row>
    <row r="30" spans="1:32" x14ac:dyDescent="0.15">
      <c r="A30">
        <f t="shared" si="24"/>
        <v>26</v>
      </c>
      <c r="B30">
        <f t="shared" si="25"/>
        <v>2055</v>
      </c>
      <c r="C30" s="21">
        <f t="shared" si="4"/>
        <v>10.732737885553741</v>
      </c>
      <c r="D30" s="17">
        <f t="shared" si="5"/>
        <v>10.908723257899684</v>
      </c>
      <c r="E30" s="22">
        <f t="shared" si="6"/>
        <v>63.964215272727273</v>
      </c>
      <c r="F30" s="23">
        <f t="shared" si="11"/>
        <v>63964215.272727273</v>
      </c>
      <c r="G30" s="15">
        <f t="shared" si="21"/>
        <v>1654206.5454545454</v>
      </c>
      <c r="H30" s="15">
        <f t="shared" si="1"/>
        <v>283824</v>
      </c>
      <c r="I30" s="16">
        <f t="shared" si="22"/>
        <v>0.24666885818181819</v>
      </c>
      <c r="J30" s="15">
        <f t="shared" si="26"/>
        <v>1370382.5454545454</v>
      </c>
      <c r="K30" s="16">
        <f t="shared" si="7"/>
        <v>17.798612557588076</v>
      </c>
      <c r="L30" s="64">
        <f t="shared" si="8"/>
        <v>0.97154471544715448</v>
      </c>
      <c r="M30" s="16">
        <f t="shared" si="9"/>
        <v>17.798612557588076</v>
      </c>
      <c r="N30" s="15">
        <f t="shared" si="2"/>
        <v>936769.08197831979</v>
      </c>
      <c r="O30" s="15">
        <f t="shared" si="10"/>
        <v>957612.18666666676</v>
      </c>
    </row>
    <row r="31" spans="1:32" x14ac:dyDescent="0.15">
      <c r="A31">
        <f t="shared" si="24"/>
        <v>27</v>
      </c>
      <c r="B31">
        <f t="shared" si="25"/>
        <v>2056</v>
      </c>
      <c r="C31" s="21">
        <f t="shared" si="4"/>
        <v>10.906527185880451</v>
      </c>
      <c r="D31" s="17">
        <f t="shared" si="5"/>
        <v>11.090708985459965</v>
      </c>
      <c r="E31" s="22">
        <f t="shared" si="6"/>
        <v>65.618421818181815</v>
      </c>
      <c r="F31" s="23">
        <f t="shared" si="11"/>
        <v>65618421.81818182</v>
      </c>
      <c r="G31" s="15">
        <f t="shared" si="21"/>
        <v>1614069.8181818181</v>
      </c>
      <c r="H31" s="15">
        <f t="shared" si="1"/>
        <v>283824</v>
      </c>
      <c r="I31" s="16">
        <f t="shared" si="22"/>
        <v>0.23944424727272723</v>
      </c>
      <c r="J31" s="15">
        <f t="shared" si="26"/>
        <v>1330245.8181818181</v>
      </c>
      <c r="K31" s="16">
        <f t="shared" si="7"/>
        <v>17.661734388396095</v>
      </c>
      <c r="L31" s="64">
        <f t="shared" si="8"/>
        <v>0.97071129707112969</v>
      </c>
      <c r="M31" s="16">
        <f t="shared" si="9"/>
        <v>17.661734388396095</v>
      </c>
      <c r="N31" s="15">
        <f t="shared" si="2"/>
        <v>929564.9678103209</v>
      </c>
      <c r="O31" s="15">
        <f t="shared" si="10"/>
        <v>951018.54000000015</v>
      </c>
    </row>
    <row r="32" spans="1:32" x14ac:dyDescent="0.15">
      <c r="A32">
        <f t="shared" si="24"/>
        <v>28</v>
      </c>
      <c r="B32">
        <f t="shared" si="25"/>
        <v>2057</v>
      </c>
      <c r="C32" s="21">
        <f t="shared" si="4"/>
        <v>11.088555224545518</v>
      </c>
      <c r="D32" s="17">
        <f t="shared" si="5"/>
        <v>11.281531613739462</v>
      </c>
      <c r="E32" s="22">
        <f t="shared" si="6"/>
        <v>67.232491636363633</v>
      </c>
      <c r="F32" s="23">
        <f t="shared" si="11"/>
        <v>67232491.63636364</v>
      </c>
      <c r="G32" s="15">
        <f t="shared" si="21"/>
        <v>1573933.0909090908</v>
      </c>
      <c r="H32" s="15">
        <f t="shared" si="1"/>
        <v>283824</v>
      </c>
      <c r="I32" s="16">
        <f t="shared" si="22"/>
        <v>0.23221963636363632</v>
      </c>
      <c r="J32" s="15">
        <f t="shared" si="26"/>
        <v>1290109.0909090908</v>
      </c>
      <c r="K32" s="16">
        <f t="shared" si="7"/>
        <v>17.524156286637936</v>
      </c>
      <c r="L32" s="64">
        <f t="shared" si="8"/>
        <v>0.96982758620689657</v>
      </c>
      <c r="M32" s="16">
        <f t="shared" si="9"/>
        <v>17.524156286637936</v>
      </c>
      <c r="N32" s="15">
        <f t="shared" si="2"/>
        <v>922324.01508620707</v>
      </c>
      <c r="O32" s="15">
        <f t="shared" si="10"/>
        <v>944424.89333333354</v>
      </c>
    </row>
    <row r="33" spans="1:15" x14ac:dyDescent="0.15">
      <c r="A33">
        <f t="shared" si="24"/>
        <v>29</v>
      </c>
      <c r="B33">
        <f t="shared" si="25"/>
        <v>2058</v>
      </c>
      <c r="C33" s="21">
        <f t="shared" si="4"/>
        <v>11.27941599775084</v>
      </c>
      <c r="D33" s="17">
        <f t="shared" si="5"/>
        <v>11.48184228900926</v>
      </c>
      <c r="E33" s="22">
        <f t="shared" si="6"/>
        <v>68.806424727272727</v>
      </c>
      <c r="F33" s="23">
        <f t="shared" si="11"/>
        <v>68806424.727272734</v>
      </c>
      <c r="G33" s="15">
        <f t="shared" si="21"/>
        <v>1533796.3636363635</v>
      </c>
      <c r="H33" s="15">
        <f t="shared" si="1"/>
        <v>283824</v>
      </c>
      <c r="I33" s="16">
        <f t="shared" si="22"/>
        <v>0.22499502545454542</v>
      </c>
      <c r="J33" s="15">
        <f t="shared" si="26"/>
        <v>1249972.3636363635</v>
      </c>
      <c r="K33" s="16">
        <f t="shared" si="7"/>
        <v>17.385812925274077</v>
      </c>
      <c r="L33" s="64">
        <f t="shared" si="8"/>
        <v>0.96888888888888891</v>
      </c>
      <c r="M33" s="16">
        <f t="shared" si="9"/>
        <v>17.385812925274077</v>
      </c>
      <c r="N33" s="15">
        <f t="shared" si="2"/>
        <v>915042.78554074094</v>
      </c>
      <c r="O33" s="15">
        <f t="shared" si="10"/>
        <v>937831.24666666694</v>
      </c>
    </row>
    <row r="34" spans="1:15" x14ac:dyDescent="0.15">
      <c r="A34">
        <f t="shared" si="24"/>
        <v>30</v>
      </c>
      <c r="B34">
        <f t="shared" si="25"/>
        <v>2059</v>
      </c>
      <c r="C34" s="21">
        <f t="shared" si="4"/>
        <v>11.479760877445912</v>
      </c>
      <c r="D34" s="17">
        <f t="shared" si="5"/>
        <v>11.692356528893828</v>
      </c>
      <c r="E34" s="22">
        <f t="shared" si="6"/>
        <v>70.340221090909097</v>
      </c>
      <c r="F34" s="23">
        <f t="shared" si="11"/>
        <v>70340221.090909094</v>
      </c>
      <c r="G34" s="15">
        <f t="shared" si="21"/>
        <v>1493659.6363636362</v>
      </c>
      <c r="H34" s="15">
        <f t="shared" si="1"/>
        <v>283824</v>
      </c>
      <c r="I34" s="16">
        <f t="shared" si="22"/>
        <v>0.21777041454545454</v>
      </c>
      <c r="J34" s="15">
        <f t="shared" si="26"/>
        <v>1209835.6363636362</v>
      </c>
      <c r="K34" s="16">
        <f t="shared" si="7"/>
        <v>17.24663058663609</v>
      </c>
      <c r="L34" s="64">
        <f t="shared" si="8"/>
        <v>0.9678899082568807</v>
      </c>
      <c r="M34" s="16">
        <f t="shared" si="9"/>
        <v>17.24663058663609</v>
      </c>
      <c r="N34" s="15">
        <f t="shared" si="2"/>
        <v>907717.39929663634</v>
      </c>
      <c r="O34" s="15">
        <f t="shared" si="10"/>
        <v>931237.60000000033</v>
      </c>
    </row>
    <row r="35" spans="1:15" x14ac:dyDescent="0.15">
      <c r="A35">
        <f t="shared" si="24"/>
        <v>31</v>
      </c>
      <c r="B35">
        <f t="shared" si="25"/>
        <v>2060</v>
      </c>
      <c r="C35" s="21">
        <f t="shared" si="4"/>
        <v>11.690305554820906</v>
      </c>
      <c r="D35" s="17">
        <f t="shared" si="5"/>
        <v>11.913862152391719</v>
      </c>
      <c r="E35" s="22">
        <f t="shared" si="6"/>
        <v>71.833880727272728</v>
      </c>
      <c r="F35" s="23">
        <f t="shared" si="11"/>
        <v>71833880.727272734</v>
      </c>
      <c r="G35" s="15">
        <f t="shared" si="21"/>
        <v>1453522.9090909089</v>
      </c>
      <c r="H35" s="15">
        <f t="shared" si="1"/>
        <v>283824</v>
      </c>
      <c r="I35" s="16">
        <f t="shared" si="22"/>
        <v>0.21054580363636363</v>
      </c>
      <c r="J35" s="15">
        <f t="shared" si="26"/>
        <v>1169698.9090909089</v>
      </c>
      <c r="K35" s="16">
        <f t="shared" si="7"/>
        <v>17.106525770616123</v>
      </c>
      <c r="L35" s="64">
        <f t="shared" si="8"/>
        <v>0.96682464454976302</v>
      </c>
      <c r="M35" s="16">
        <f t="shared" si="9"/>
        <v>17.106525770616123</v>
      </c>
      <c r="N35" s="15">
        <f t="shared" si="2"/>
        <v>900343.46161137475</v>
      </c>
      <c r="O35" s="15">
        <f t="shared" si="10"/>
        <v>924643.95333333372</v>
      </c>
    </row>
    <row r="36" spans="1:15" x14ac:dyDescent="0.15">
      <c r="A36">
        <f t="shared" si="24"/>
        <v>32</v>
      </c>
      <c r="B36">
        <f t="shared" si="25"/>
        <v>2061</v>
      </c>
      <c r="C36" s="21">
        <f t="shared" si="4"/>
        <v>11.911837972821187</v>
      </c>
      <c r="D36" s="17">
        <f t="shared" si="5"/>
        <v>12.147228358316482</v>
      </c>
      <c r="E36" s="22">
        <f t="shared" si="6"/>
        <v>73.287403636363635</v>
      </c>
      <c r="F36" s="23">
        <f t="shared" si="11"/>
        <v>73287403.63636364</v>
      </c>
      <c r="G36" s="15">
        <f t="shared" si="21"/>
        <v>1413386.1818181816</v>
      </c>
      <c r="H36" s="15">
        <f t="shared" si="1"/>
        <v>283824</v>
      </c>
      <c r="I36" s="16">
        <f>J36*1000*$Q$4/1000000000</f>
        <v>0.20332119272727273</v>
      </c>
      <c r="J36" s="15">
        <f t="shared" si="26"/>
        <v>1129562.1818181816</v>
      </c>
      <c r="K36" s="16">
        <f t="shared" si="7"/>
        <v>16.965403516307198</v>
      </c>
      <c r="L36" s="64">
        <f t="shared" si="8"/>
        <v>0.96568627450980393</v>
      </c>
      <c r="M36" s="16">
        <f t="shared" si="9"/>
        <v>16.965403516307198</v>
      </c>
      <c r="N36" s="15">
        <f t="shared" si="2"/>
        <v>892915.97454248404</v>
      </c>
      <c r="O36" s="15">
        <f>O35+(O$154-O$4)/150</f>
        <v>918050.30666666711</v>
      </c>
    </row>
    <row r="37" spans="1:15" x14ac:dyDescent="0.15">
      <c r="A37">
        <f t="shared" si="24"/>
        <v>33</v>
      </c>
      <c r="B37">
        <f>B36+1</f>
        <v>2062</v>
      </c>
      <c r="C37" s="21">
        <f t="shared" ref="C37:C100" si="27">(D37*G37+D36*F36)/F37</f>
        <v>12.145227405424826</v>
      </c>
      <c r="D37" s="17">
        <f t="shared" ref="D37:D100" si="28">(K37+I37)*1000/G37*1000</f>
        <v>12.393416135215002</v>
      </c>
      <c r="E37" s="22">
        <f t="shared" ref="E37:E100" si="29">F37/1000000</f>
        <v>74.700789818181832</v>
      </c>
      <c r="F37" s="23">
        <f t="shared" si="11"/>
        <v>74700789.818181828</v>
      </c>
      <c r="G37" s="15">
        <f>H37+J37</f>
        <v>1373249.4545454544</v>
      </c>
      <c r="H37" s="15">
        <f t="shared" si="1"/>
        <v>283824</v>
      </c>
      <c r="I37" s="16">
        <f>J37*1000*$Q$4/1000000000</f>
        <v>0.19609658181818176</v>
      </c>
      <c r="J37" s="15">
        <f>J36+(J$38-J$28)/11</f>
        <v>1089425.4545454544</v>
      </c>
      <c r="K37" s="16">
        <f t="shared" si="7"/>
        <v>16.82315536582065</v>
      </c>
      <c r="L37" s="64">
        <f>J37/J36</f>
        <v>0.96446700507614214</v>
      </c>
      <c r="M37" s="16">
        <f t="shared" si="9"/>
        <v>16.82315536582065</v>
      </c>
      <c r="N37" s="15">
        <f t="shared" ref="N37:N58" si="30">O36*L37</f>
        <v>885429.22978003428</v>
      </c>
      <c r="O37" s="15">
        <f t="shared" ref="O37:O100" si="31">O36+(O$154-O$4)/150</f>
        <v>911456.6600000005</v>
      </c>
    </row>
    <row r="38" spans="1:15" x14ac:dyDescent="0.15">
      <c r="A38">
        <f t="shared" si="24"/>
        <v>34</v>
      </c>
      <c r="B38">
        <f t="shared" ref="B38:B101" si="32">B37+1</f>
        <v>2063</v>
      </c>
      <c r="C38" s="21">
        <f t="shared" si="27"/>
        <v>12.382953073449801</v>
      </c>
      <c r="D38" s="17">
        <f t="shared" si="28"/>
        <v>12.54724339508236</v>
      </c>
      <c r="E38" s="22">
        <f t="shared" si="29"/>
        <v>76.074039272727276</v>
      </c>
      <c r="F38" s="23">
        <f t="shared" si="11"/>
        <v>76074039.272727281</v>
      </c>
      <c r="G38" s="15">
        <f>H38+J38</f>
        <v>1292976</v>
      </c>
      <c r="H38" s="15">
        <f t="shared" si="1"/>
        <v>283824</v>
      </c>
      <c r="I38" s="16">
        <f>J38*1000*$Q$4/1000000000</f>
        <v>0.18164736000000001</v>
      </c>
      <c r="J38" s="19">
        <v>1009152</v>
      </c>
      <c r="K38" s="16">
        <f t="shared" si="7"/>
        <v>16.041637216000012</v>
      </c>
      <c r="L38" s="64">
        <f>J38/J37</f>
        <v>0.92631578947368443</v>
      </c>
      <c r="M38" s="16">
        <f t="shared" si="9"/>
        <v>16.041637216000012</v>
      </c>
      <c r="N38" s="15">
        <f t="shared" si="30"/>
        <v>844296.69557894801</v>
      </c>
      <c r="O38" s="15">
        <f t="shared" si="31"/>
        <v>904863.01333333389</v>
      </c>
    </row>
    <row r="39" spans="1:15" x14ac:dyDescent="0.15">
      <c r="A39">
        <f t="shared" si="24"/>
        <v>35</v>
      </c>
      <c r="B39">
        <f t="shared" si="32"/>
        <v>2064</v>
      </c>
      <c r="C39" s="21">
        <f t="shared" si="27"/>
        <v>12.554373759989446</v>
      </c>
      <c r="D39" s="17">
        <f t="shared" si="28"/>
        <v>13.332727343952024</v>
      </c>
      <c r="E39" s="22">
        <f t="shared" si="29"/>
        <v>77.367015272727286</v>
      </c>
      <c r="F39" s="23">
        <f t="shared" si="11"/>
        <v>77367015.272727281</v>
      </c>
      <c r="G39" s="15">
        <f t="shared" ref="G39:G100" si="33">H39+J39</f>
        <v>1258177.6551724137</v>
      </c>
      <c r="H39" s="15">
        <f t="shared" si="1"/>
        <v>283824</v>
      </c>
      <c r="I39" s="16">
        <f t="shared" ref="I39:I100" si="34">J39*1000*$Q$4/1000000000</f>
        <v>0.17538365793103447</v>
      </c>
      <c r="J39" s="15">
        <f>J38+(J$67-J$38)/29</f>
        <v>974353.6551724138</v>
      </c>
      <c r="K39" s="16">
        <f t="shared" si="7"/>
        <v>16.599555968735643</v>
      </c>
      <c r="L39" s="64">
        <f>J39/J38</f>
        <v>0.96551724137931039</v>
      </c>
      <c r="M39" s="16">
        <f t="shared" si="9"/>
        <v>16.599555968735643</v>
      </c>
      <c r="N39" s="15">
        <f t="shared" si="30"/>
        <v>873660.84045977064</v>
      </c>
      <c r="O39" s="15">
        <f t="shared" si="31"/>
        <v>898269.36666666728</v>
      </c>
    </row>
    <row r="40" spans="1:15" x14ac:dyDescent="0.15">
      <c r="A40">
        <f t="shared" si="24"/>
        <v>36</v>
      </c>
      <c r="B40">
        <f t="shared" si="32"/>
        <v>2065</v>
      </c>
      <c r="C40" s="21">
        <f t="shared" si="27"/>
        <v>13.33084192242238</v>
      </c>
      <c r="D40" s="17">
        <f t="shared" si="28"/>
        <v>13.590795474922098</v>
      </c>
      <c r="E40" s="22">
        <f t="shared" si="29"/>
        <v>78.62519292789969</v>
      </c>
      <c r="F40" s="23">
        <f t="shared" si="11"/>
        <v>78625192.927899688</v>
      </c>
      <c r="G40" s="15">
        <f t="shared" si="33"/>
        <v>1223379.3103448276</v>
      </c>
      <c r="H40" s="15">
        <f t="shared" si="1"/>
        <v>283824</v>
      </c>
      <c r="I40" s="16">
        <f t="shared" si="34"/>
        <v>0.16911995586206899</v>
      </c>
      <c r="J40" s="15">
        <f t="shared" ref="J40:J65" si="35">J39+(J$67-J$38)/29</f>
        <v>939555.31034482759</v>
      </c>
      <c r="K40" s="16">
        <f t="shared" si="7"/>
        <v>16.457578039285728</v>
      </c>
      <c r="L40" s="64">
        <f t="shared" si="8"/>
        <v>0.9642857142857143</v>
      </c>
      <c r="M40" s="16">
        <f t="shared" si="9"/>
        <v>16.457578039285728</v>
      </c>
      <c r="N40" s="15">
        <f t="shared" si="30"/>
        <v>866188.31785714347</v>
      </c>
      <c r="O40" s="15">
        <f t="shared" si="31"/>
        <v>891675.72000000067</v>
      </c>
    </row>
    <row r="41" spans="1:15" x14ac:dyDescent="0.15">
      <c r="A41">
        <f t="shared" si="24"/>
        <v>37</v>
      </c>
      <c r="B41">
        <f t="shared" si="32"/>
        <v>2066</v>
      </c>
      <c r="C41" s="21">
        <f t="shared" si="27"/>
        <v>13.588923449363827</v>
      </c>
      <c r="D41" s="17">
        <f t="shared" si="28"/>
        <v>13.862933956674937</v>
      </c>
      <c r="E41" s="22">
        <f t="shared" si="29"/>
        <v>79.848572238244515</v>
      </c>
      <c r="F41" s="23">
        <f t="shared" si="11"/>
        <v>79848572.238244519</v>
      </c>
      <c r="G41" s="15">
        <f t="shared" si="33"/>
        <v>1188580.9655172415</v>
      </c>
      <c r="H41" s="15">
        <f t="shared" si="1"/>
        <v>283824</v>
      </c>
      <c r="I41" s="16">
        <f t="shared" si="34"/>
        <v>0.16285625379310342</v>
      </c>
      <c r="J41" s="15">
        <f t="shared" si="35"/>
        <v>904756.96551724139</v>
      </c>
      <c r="K41" s="16">
        <f t="shared" si="7"/>
        <v>16.314363173333348</v>
      </c>
      <c r="L41" s="64">
        <f t="shared" si="8"/>
        <v>0.96296296296296302</v>
      </c>
      <c r="M41" s="16">
        <f t="shared" si="9"/>
        <v>16.314363173333348</v>
      </c>
      <c r="N41" s="15">
        <f t="shared" si="30"/>
        <v>858650.69333333406</v>
      </c>
      <c r="O41" s="15">
        <f t="shared" si="31"/>
        <v>885082.07333333406</v>
      </c>
    </row>
    <row r="42" spans="1:15" x14ac:dyDescent="0.15">
      <c r="A42">
        <f t="shared" si="24"/>
        <v>38</v>
      </c>
      <c r="B42">
        <f t="shared" si="32"/>
        <v>2067</v>
      </c>
      <c r="C42" s="21">
        <f t="shared" si="27"/>
        <v>13.861072363294589</v>
      </c>
      <c r="D42" s="17">
        <f t="shared" si="28"/>
        <v>14.150292183636141</v>
      </c>
      <c r="E42" s="22">
        <f t="shared" si="29"/>
        <v>81.037153203761761</v>
      </c>
      <c r="F42" s="23">
        <f t="shared" si="11"/>
        <v>81037153.203761756</v>
      </c>
      <c r="G42" s="15">
        <f t="shared" si="33"/>
        <v>1153782.6206896552</v>
      </c>
      <c r="H42" s="15">
        <f t="shared" si="1"/>
        <v>283824</v>
      </c>
      <c r="I42" s="16">
        <f t="shared" si="34"/>
        <v>0.15659255172413794</v>
      </c>
      <c r="J42" s="15">
        <f t="shared" si="35"/>
        <v>869958.62068965519</v>
      </c>
      <c r="K42" s="16">
        <f t="shared" si="7"/>
        <v>16.169768647435912</v>
      </c>
      <c r="L42" s="64">
        <f t="shared" si="8"/>
        <v>0.96153846153846156</v>
      </c>
      <c r="M42" s="16">
        <f t="shared" si="9"/>
        <v>16.169768647435912</v>
      </c>
      <c r="N42" s="15">
        <f t="shared" si="30"/>
        <v>851040.45512820582</v>
      </c>
      <c r="O42" s="15">
        <f t="shared" si="31"/>
        <v>878488.42666666745</v>
      </c>
    </row>
    <row r="43" spans="1:15" x14ac:dyDescent="0.15">
      <c r="A43">
        <f t="shared" si="24"/>
        <v>39</v>
      </c>
      <c r="B43">
        <f t="shared" si="32"/>
        <v>2068</v>
      </c>
      <c r="C43" s="21">
        <f t="shared" si="27"/>
        <v>14.148437922633073</v>
      </c>
      <c r="D43" s="17">
        <f t="shared" si="28"/>
        <v>14.454142118837835</v>
      </c>
      <c r="E43" s="22">
        <f t="shared" si="29"/>
        <v>82.190935824451415</v>
      </c>
      <c r="F43" s="23">
        <f t="shared" si="11"/>
        <v>82190935.824451417</v>
      </c>
      <c r="G43" s="15">
        <f t="shared" si="33"/>
        <v>1118984.2758620689</v>
      </c>
      <c r="H43" s="15">
        <f t="shared" si="1"/>
        <v>283824</v>
      </c>
      <c r="I43" s="16">
        <f t="shared" si="34"/>
        <v>0.1503288496551724</v>
      </c>
      <c r="J43" s="15">
        <f t="shared" si="35"/>
        <v>835160.27586206899</v>
      </c>
      <c r="K43" s="16">
        <f t="shared" si="7"/>
        <v>16.023628902400013</v>
      </c>
      <c r="L43" s="64">
        <f t="shared" si="8"/>
        <v>0.96</v>
      </c>
      <c r="M43" s="16">
        <f t="shared" si="9"/>
        <v>16.023628902400013</v>
      </c>
      <c r="N43" s="15">
        <f t="shared" si="30"/>
        <v>843348.88960000069</v>
      </c>
      <c r="O43" s="15">
        <f t="shared" si="31"/>
        <v>871894.78000000084</v>
      </c>
    </row>
    <row r="44" spans="1:15" x14ac:dyDescent="0.15">
      <c r="A44">
        <f t="shared" si="24"/>
        <v>40</v>
      </c>
      <c r="B44">
        <f t="shared" si="32"/>
        <v>2069</v>
      </c>
      <c r="C44" s="21">
        <f t="shared" si="27"/>
        <v>14.452291897178156</v>
      </c>
      <c r="D44" s="17">
        <f t="shared" si="28"/>
        <v>14.775893575868622</v>
      </c>
      <c r="E44" s="22">
        <f t="shared" si="29"/>
        <v>83.309920100313491</v>
      </c>
      <c r="F44" s="23">
        <f t="shared" si="11"/>
        <v>83309920.100313485</v>
      </c>
      <c r="G44" s="15">
        <f t="shared" si="33"/>
        <v>1084185.9310344828</v>
      </c>
      <c r="H44" s="15">
        <f t="shared" si="1"/>
        <v>283824</v>
      </c>
      <c r="I44" s="16">
        <f t="shared" si="34"/>
        <v>0.14406514758620692</v>
      </c>
      <c r="J44" s="15">
        <f t="shared" si="35"/>
        <v>800361.93103448278</v>
      </c>
      <c r="K44" s="16">
        <f t="shared" si="7"/>
        <v>15.875750785833347</v>
      </c>
      <c r="L44" s="64">
        <f t="shared" si="8"/>
        <v>0.95833333333333337</v>
      </c>
      <c r="M44" s="16">
        <f t="shared" si="9"/>
        <v>15.875750785833347</v>
      </c>
      <c r="N44" s="15">
        <f t="shared" si="30"/>
        <v>835565.83083333413</v>
      </c>
      <c r="O44" s="15">
        <f t="shared" si="31"/>
        <v>865301.13333333423</v>
      </c>
    </row>
    <row r="45" spans="1:15" x14ac:dyDescent="0.15">
      <c r="A45">
        <f t="shared" si="24"/>
        <v>41</v>
      </c>
      <c r="B45">
        <f t="shared" si="32"/>
        <v>2070</v>
      </c>
      <c r="C45" s="21">
        <f t="shared" si="27"/>
        <v>14.774043838468467</v>
      </c>
      <c r="D45" s="17">
        <f t="shared" si="28"/>
        <v>15.117111358712764</v>
      </c>
      <c r="E45" s="22">
        <f t="shared" si="29"/>
        <v>84.39410603134796</v>
      </c>
      <c r="F45" s="23">
        <f t="shared" si="11"/>
        <v>84394106.03134796</v>
      </c>
      <c r="G45" s="15">
        <f t="shared" si="33"/>
        <v>1049387.5862068967</v>
      </c>
      <c r="H45" s="15">
        <f t="shared" si="1"/>
        <v>283824</v>
      </c>
      <c r="I45" s="16">
        <f t="shared" si="34"/>
        <v>0.13780144551724136</v>
      </c>
      <c r="J45" s="15">
        <f t="shared" si="35"/>
        <v>765563.58620689658</v>
      </c>
      <c r="K45" s="16">
        <f t="shared" si="7"/>
        <v>15.725907553623205</v>
      </c>
      <c r="L45" s="64">
        <f t="shared" si="8"/>
        <v>0.95652173913043481</v>
      </c>
      <c r="M45" s="16">
        <f t="shared" si="9"/>
        <v>15.725907553623205</v>
      </c>
      <c r="N45" s="15">
        <f t="shared" si="30"/>
        <v>827679.34492753714</v>
      </c>
      <c r="O45" s="15">
        <f t="shared" si="31"/>
        <v>858707.48666666762</v>
      </c>
    </row>
    <row r="46" spans="1:15" x14ac:dyDescent="0.15">
      <c r="A46">
        <f t="shared" si="24"/>
        <v>42</v>
      </c>
      <c r="B46">
        <f t="shared" si="32"/>
        <v>2071</v>
      </c>
      <c r="C46" s="21">
        <f t="shared" si="27"/>
        <v>15.115258203913799</v>
      </c>
      <c r="D46" s="17">
        <f t="shared" si="28"/>
        <v>15.47953431632269</v>
      </c>
      <c r="E46" s="22">
        <f t="shared" si="29"/>
        <v>85.443493617554864</v>
      </c>
      <c r="F46" s="23">
        <f t="shared" si="11"/>
        <v>85443493.617554858</v>
      </c>
      <c r="G46" s="15">
        <f t="shared" si="33"/>
        <v>1014589.2413793104</v>
      </c>
      <c r="H46" s="15">
        <f t="shared" si="1"/>
        <v>283824</v>
      </c>
      <c r="I46" s="16">
        <f t="shared" si="34"/>
        <v>0.13153774344827587</v>
      </c>
      <c r="J46" s="15">
        <f t="shared" si="35"/>
        <v>730765.24137931038</v>
      </c>
      <c r="K46" s="16">
        <f t="shared" si="7"/>
        <v>15.573831235454564</v>
      </c>
      <c r="L46" s="64">
        <f t="shared" si="8"/>
        <v>0.95454545454545459</v>
      </c>
      <c r="M46" s="16">
        <f t="shared" si="9"/>
        <v>15.573831235454564</v>
      </c>
      <c r="N46" s="15">
        <f t="shared" si="30"/>
        <v>819675.32818181918</v>
      </c>
      <c r="O46" s="15">
        <f t="shared" si="31"/>
        <v>852113.84000000102</v>
      </c>
    </row>
    <row r="47" spans="1:15" x14ac:dyDescent="0.15">
      <c r="A47">
        <f t="shared" si="24"/>
        <v>43</v>
      </c>
      <c r="B47">
        <f t="shared" si="32"/>
        <v>2072</v>
      </c>
      <c r="C47" s="21">
        <f t="shared" si="27"/>
        <v>15.477673390043092</v>
      </c>
      <c r="D47" s="17">
        <f t="shared" si="28"/>
        <v>15.865096231383834</v>
      </c>
      <c r="E47" s="22">
        <f t="shared" si="29"/>
        <v>86.458082858934162</v>
      </c>
      <c r="F47" s="23">
        <f t="shared" si="11"/>
        <v>86458082.858934164</v>
      </c>
      <c r="G47" s="15">
        <f t="shared" si="33"/>
        <v>979790.89655172417</v>
      </c>
      <c r="H47" s="15">
        <f t="shared" si="1"/>
        <v>283824</v>
      </c>
      <c r="I47" s="16">
        <f t="shared" si="34"/>
        <v>0.12527404137931036</v>
      </c>
      <c r="J47" s="15">
        <f t="shared" si="35"/>
        <v>695966.89655172417</v>
      </c>
      <c r="K47" s="16">
        <f t="shared" si="7"/>
        <v>15.419202819047639</v>
      </c>
      <c r="L47" s="64">
        <f t="shared" si="8"/>
        <v>0.95238095238095244</v>
      </c>
      <c r="M47" s="16">
        <f t="shared" si="9"/>
        <v>15.419202819047639</v>
      </c>
      <c r="N47" s="15">
        <f t="shared" si="30"/>
        <v>811536.99047619151</v>
      </c>
      <c r="O47" s="15">
        <f t="shared" si="31"/>
        <v>845520.19333333441</v>
      </c>
    </row>
    <row r="48" spans="1:15" x14ac:dyDescent="0.15">
      <c r="A48">
        <f t="shared" si="24"/>
        <v>44</v>
      </c>
      <c r="B48">
        <f t="shared" si="32"/>
        <v>2073</v>
      </c>
      <c r="C48" s="21">
        <f t="shared" si="27"/>
        <v>15.863222592142467</v>
      </c>
      <c r="D48" s="17">
        <f t="shared" si="28"/>
        <v>16.275948208179049</v>
      </c>
      <c r="E48" s="22">
        <f t="shared" si="29"/>
        <v>87.437873755485896</v>
      </c>
      <c r="F48" s="23">
        <f t="shared" si="11"/>
        <v>87437873.755485892</v>
      </c>
      <c r="G48" s="15">
        <f t="shared" si="33"/>
        <v>944992.55172413797</v>
      </c>
      <c r="H48" s="15">
        <f t="shared" si="1"/>
        <v>283824</v>
      </c>
      <c r="I48" s="16">
        <f t="shared" si="34"/>
        <v>0.11901033931034484</v>
      </c>
      <c r="J48" s="15">
        <f t="shared" si="35"/>
        <v>661168.55172413797</v>
      </c>
      <c r="K48" s="16">
        <f t="shared" si="7"/>
        <v>15.261639489666685</v>
      </c>
      <c r="L48" s="64">
        <f t="shared" si="8"/>
        <v>0.95</v>
      </c>
      <c r="M48" s="16">
        <f t="shared" si="9"/>
        <v>15.261639489666685</v>
      </c>
      <c r="N48" s="15">
        <f t="shared" si="30"/>
        <v>803244.18366666767</v>
      </c>
      <c r="O48" s="15">
        <f t="shared" si="31"/>
        <v>838926.5466666678</v>
      </c>
    </row>
    <row r="49" spans="1:15" x14ac:dyDescent="0.15">
      <c r="A49">
        <f t="shared" si="24"/>
        <v>45</v>
      </c>
      <c r="B49">
        <f t="shared" si="32"/>
        <v>2074</v>
      </c>
      <c r="C49" s="21">
        <f t="shared" si="27"/>
        <v>16.274056151961339</v>
      </c>
      <c r="D49" s="17">
        <f t="shared" si="28"/>
        <v>16.714481768801772</v>
      </c>
      <c r="E49" s="22">
        <f t="shared" si="29"/>
        <v>88.382866307210023</v>
      </c>
      <c r="F49" s="23">
        <f t="shared" si="11"/>
        <v>88382866.307210028</v>
      </c>
      <c r="G49" s="15">
        <f t="shared" si="33"/>
        <v>910194.20689655177</v>
      </c>
      <c r="H49" s="15">
        <f t="shared" si="1"/>
        <v>283824</v>
      </c>
      <c r="I49" s="16">
        <f t="shared" si="34"/>
        <v>0.1127466372413793</v>
      </c>
      <c r="J49" s="15">
        <f t="shared" si="35"/>
        <v>626370.20689655177</v>
      </c>
      <c r="K49" s="16">
        <f t="shared" si="7"/>
        <v>15.100677840000023</v>
      </c>
      <c r="L49" s="64">
        <f t="shared" si="8"/>
        <v>0.94736842105263164</v>
      </c>
      <c r="M49" s="16">
        <f t="shared" si="9"/>
        <v>15.100677840000023</v>
      </c>
      <c r="N49" s="15">
        <f t="shared" si="30"/>
        <v>794772.517894738</v>
      </c>
      <c r="O49" s="15">
        <f t="shared" si="31"/>
        <v>832332.90000000119</v>
      </c>
    </row>
    <row r="50" spans="1:15" x14ac:dyDescent="0.15">
      <c r="A50">
        <f t="shared" si="24"/>
        <v>46</v>
      </c>
      <c r="B50">
        <f t="shared" si="32"/>
        <v>2075</v>
      </c>
      <c r="C50" s="21">
        <f t="shared" si="27"/>
        <v>16.712564597884455</v>
      </c>
      <c r="D50" s="17">
        <f t="shared" si="28"/>
        <v>17.183351064687475</v>
      </c>
      <c r="E50" s="22">
        <f t="shared" si="29"/>
        <v>89.293060514106585</v>
      </c>
      <c r="F50" s="23">
        <f t="shared" si="11"/>
        <v>89293060.514106587</v>
      </c>
      <c r="G50" s="15">
        <f t="shared" si="33"/>
        <v>875395.86206896557</v>
      </c>
      <c r="H50" s="15">
        <f t="shared" si="1"/>
        <v>283824</v>
      </c>
      <c r="I50" s="16">
        <f t="shared" si="34"/>
        <v>0.10648293517241379</v>
      </c>
      <c r="J50" s="15">
        <f t="shared" si="35"/>
        <v>591571.86206896557</v>
      </c>
      <c r="K50" s="16">
        <f t="shared" si="7"/>
        <v>14.935751483333354</v>
      </c>
      <c r="L50" s="64">
        <f t="shared" si="8"/>
        <v>0.94444444444444442</v>
      </c>
      <c r="M50" s="16">
        <f t="shared" si="9"/>
        <v>14.935751483333354</v>
      </c>
      <c r="N50" s="15">
        <f t="shared" si="30"/>
        <v>786092.1833333344</v>
      </c>
      <c r="O50" s="15">
        <f t="shared" si="31"/>
        <v>825739.25333333458</v>
      </c>
    </row>
    <row r="51" spans="1:15" x14ac:dyDescent="0.15">
      <c r="A51">
        <f t="shared" si="24"/>
        <v>47</v>
      </c>
      <c r="B51">
        <f t="shared" si="32"/>
        <v>2076</v>
      </c>
      <c r="C51" s="21">
        <f t="shared" si="27"/>
        <v>17.181400777114863</v>
      </c>
      <c r="D51" s="17">
        <f t="shared" si="28"/>
        <v>17.685491205566759</v>
      </c>
      <c r="E51" s="22">
        <f t="shared" si="29"/>
        <v>90.168456376175556</v>
      </c>
      <c r="F51" s="23">
        <f t="shared" si="11"/>
        <v>90168456.376175553</v>
      </c>
      <c r="G51" s="15">
        <f t="shared" si="33"/>
        <v>840597.51724137936</v>
      </c>
      <c r="H51" s="15">
        <f t="shared" si="1"/>
        <v>283824</v>
      </c>
      <c r="I51" s="16">
        <f t="shared" si="34"/>
        <v>0.10021923310344828</v>
      </c>
      <c r="J51" s="15">
        <f t="shared" si="35"/>
        <v>556773.51724137936</v>
      </c>
      <c r="K51" s="16">
        <f t="shared" si="7"/>
        <v>14.766160765490216</v>
      </c>
      <c r="L51" s="64">
        <f t="shared" si="8"/>
        <v>0.94117647058823528</v>
      </c>
      <c r="M51" s="16">
        <f t="shared" si="9"/>
        <v>14.766160765490216</v>
      </c>
      <c r="N51" s="15">
        <f t="shared" si="30"/>
        <v>777166.35607843252</v>
      </c>
      <c r="O51" s="15">
        <f t="shared" si="31"/>
        <v>819145.60666666797</v>
      </c>
    </row>
    <row r="52" spans="1:15" x14ac:dyDescent="0.15">
      <c r="A52">
        <f t="shared" si="24"/>
        <v>48</v>
      </c>
      <c r="B52">
        <f t="shared" si="32"/>
        <v>2077</v>
      </c>
      <c r="C52" s="21">
        <f t="shared" si="27"/>
        <v>17.68349807036703</v>
      </c>
      <c r="D52" s="17">
        <f t="shared" si="28"/>
        <v>18.224127242269599</v>
      </c>
      <c r="E52" s="22">
        <f t="shared" si="29"/>
        <v>91.009053893416933</v>
      </c>
      <c r="F52" s="23">
        <f t="shared" si="11"/>
        <v>91009053.893416926</v>
      </c>
      <c r="G52" s="15">
        <f t="shared" si="33"/>
        <v>805799.17241379316</v>
      </c>
      <c r="H52" s="15">
        <f t="shared" si="1"/>
        <v>283824</v>
      </c>
      <c r="I52" s="16">
        <f t="shared" si="34"/>
        <v>9.3955531034482759E-2</v>
      </c>
      <c r="J52" s="15">
        <f t="shared" si="35"/>
        <v>521975.17241379316</v>
      </c>
      <c r="K52" s="16">
        <f t="shared" si="7"/>
        <v>14.591031118750024</v>
      </c>
      <c r="L52" s="64">
        <f t="shared" si="8"/>
        <v>0.9375</v>
      </c>
      <c r="M52" s="16">
        <f t="shared" si="9"/>
        <v>14.591031118750024</v>
      </c>
      <c r="N52" s="15">
        <f t="shared" si="30"/>
        <v>767949.00625000126</v>
      </c>
      <c r="O52" s="15">
        <f t="shared" si="31"/>
        <v>812551.96000000136</v>
      </c>
    </row>
    <row r="53" spans="1:15" x14ac:dyDescent="0.15">
      <c r="A53">
        <f t="shared" si="24"/>
        <v>49</v>
      </c>
      <c r="B53">
        <f t="shared" si="32"/>
        <v>2078</v>
      </c>
      <c r="C53" s="21">
        <f t="shared" si="27"/>
        <v>18.222079206933195</v>
      </c>
      <c r="D53" s="17">
        <f t="shared" si="28"/>
        <v>18.802763975863499</v>
      </c>
      <c r="E53" s="22">
        <f t="shared" si="29"/>
        <v>91.814853065830718</v>
      </c>
      <c r="F53" s="23">
        <f t="shared" si="11"/>
        <v>91814853.065830722</v>
      </c>
      <c r="G53" s="15">
        <f t="shared" si="33"/>
        <v>771000.82758620696</v>
      </c>
      <c r="H53" s="15">
        <f t="shared" si="1"/>
        <v>283824</v>
      </c>
      <c r="I53" s="16">
        <f t="shared" si="34"/>
        <v>8.7691828965517249E-2</v>
      </c>
      <c r="J53" s="15">
        <f t="shared" si="35"/>
        <v>487176.82758620696</v>
      </c>
      <c r="K53" s="16">
        <f t="shared" si="7"/>
        <v>14.409254757333358</v>
      </c>
      <c r="L53" s="64">
        <f t="shared" si="8"/>
        <v>0.93333333333333335</v>
      </c>
      <c r="M53" s="16">
        <f t="shared" si="9"/>
        <v>14.409254757333358</v>
      </c>
      <c r="N53" s="15">
        <f t="shared" si="30"/>
        <v>758381.82933333458</v>
      </c>
      <c r="O53" s="15">
        <f t="shared" si="31"/>
        <v>805958.31333333475</v>
      </c>
    </row>
    <row r="54" spans="1:15" x14ac:dyDescent="0.15">
      <c r="A54">
        <f t="shared" si="24"/>
        <v>50</v>
      </c>
      <c r="B54">
        <f t="shared" si="32"/>
        <v>2079</v>
      </c>
      <c r="C54" s="21">
        <f t="shared" si="27"/>
        <v>18.800645822107633</v>
      </c>
      <c r="D54" s="17">
        <f t="shared" si="28"/>
        <v>19.425138935348439</v>
      </c>
      <c r="E54" s="22">
        <f t="shared" si="29"/>
        <v>92.585853893416925</v>
      </c>
      <c r="F54" s="23">
        <f t="shared" si="11"/>
        <v>92585853.893416926</v>
      </c>
      <c r="G54" s="15">
        <f t="shared" si="33"/>
        <v>736202.48275862075</v>
      </c>
      <c r="H54" s="15">
        <f t="shared" si="1"/>
        <v>283824</v>
      </c>
      <c r="I54" s="16">
        <f t="shared" si="34"/>
        <v>8.1428126896551725E-2</v>
      </c>
      <c r="J54" s="15">
        <f t="shared" si="35"/>
        <v>452378.48275862075</v>
      </c>
      <c r="K54" s="16">
        <f t="shared" si="7"/>
        <v>14.219407385238121</v>
      </c>
      <c r="L54" s="64">
        <f t="shared" si="8"/>
        <v>0.9285714285714286</v>
      </c>
      <c r="M54" s="16">
        <f t="shared" si="9"/>
        <v>14.219407385238121</v>
      </c>
      <c r="N54" s="15">
        <f t="shared" si="30"/>
        <v>748389.86238095374</v>
      </c>
      <c r="O54" s="15">
        <f t="shared" si="31"/>
        <v>799364.66666666814</v>
      </c>
    </row>
    <row r="55" spans="1:15" x14ac:dyDescent="0.15">
      <c r="A55">
        <f t="shared" si="24"/>
        <v>51</v>
      </c>
      <c r="B55">
        <f t="shared" si="32"/>
        <v>2080</v>
      </c>
      <c r="C55" s="21">
        <f t="shared" si="27"/>
        <v>19.422931047591035</v>
      </c>
      <c r="D55" s="17">
        <f t="shared" si="28"/>
        <v>20.09510655004425</v>
      </c>
      <c r="E55" s="22">
        <f t="shared" si="29"/>
        <v>93.322056376175553</v>
      </c>
      <c r="F55" s="23">
        <f t="shared" si="11"/>
        <v>93322056.376175553</v>
      </c>
      <c r="G55" s="15">
        <f t="shared" si="33"/>
        <v>701404.13793103455</v>
      </c>
      <c r="H55" s="15">
        <f t="shared" si="1"/>
        <v>283824</v>
      </c>
      <c r="I55" s="16">
        <f t="shared" si="34"/>
        <v>7.5164424827586215E-2</v>
      </c>
      <c r="J55" s="15">
        <f t="shared" si="35"/>
        <v>417580.13793103455</v>
      </c>
      <c r="K55" s="16">
        <f t="shared" si="7"/>
        <v>14.019626461538488</v>
      </c>
      <c r="L55" s="64">
        <f t="shared" si="8"/>
        <v>0.92307692307692313</v>
      </c>
      <c r="M55" s="16">
        <f t="shared" si="9"/>
        <v>14.019626461538488</v>
      </c>
      <c r="N55" s="15">
        <f t="shared" si="30"/>
        <v>737875.07692307828</v>
      </c>
      <c r="O55" s="15">
        <f t="shared" si="31"/>
        <v>792771.02000000153</v>
      </c>
    </row>
    <row r="56" spans="1:15" x14ac:dyDescent="0.15">
      <c r="A56">
        <f t="shared" si="24"/>
        <v>52</v>
      </c>
      <c r="B56">
        <f t="shared" si="32"/>
        <v>2081</v>
      </c>
      <c r="C56" s="21">
        <f t="shared" si="27"/>
        <v>20.092783070733027</v>
      </c>
      <c r="D56" s="17">
        <f t="shared" si="28"/>
        <v>20.816394733819184</v>
      </c>
      <c r="E56" s="22">
        <f t="shared" si="29"/>
        <v>94.023460514106588</v>
      </c>
      <c r="F56" s="23">
        <f t="shared" si="11"/>
        <v>94023460.514106587</v>
      </c>
      <c r="G56" s="15">
        <f t="shared" si="33"/>
        <v>666605.79310344835</v>
      </c>
      <c r="H56" s="15">
        <f t="shared" si="1"/>
        <v>283824</v>
      </c>
      <c r="I56" s="16">
        <f t="shared" si="34"/>
        <v>6.8900722758620692E-2</v>
      </c>
      <c r="J56" s="15">
        <f t="shared" si="35"/>
        <v>382781.79310344835</v>
      </c>
      <c r="K56" s="16">
        <f t="shared" si="7"/>
        <v>13.807428598333363</v>
      </c>
      <c r="L56" s="64">
        <f t="shared" si="8"/>
        <v>0.91666666666666674</v>
      </c>
      <c r="M56" s="16">
        <f t="shared" si="9"/>
        <v>13.807428598333363</v>
      </c>
      <c r="N56" s="15">
        <f t="shared" si="30"/>
        <v>726706.76833333483</v>
      </c>
      <c r="O56" s="15">
        <f t="shared" si="31"/>
        <v>786177.37333333492</v>
      </c>
    </row>
    <row r="57" spans="1:15" x14ac:dyDescent="0.15">
      <c r="A57">
        <f t="shared" si="24"/>
        <v>53</v>
      </c>
      <c r="B57">
        <f t="shared" si="32"/>
        <v>2082</v>
      </c>
      <c r="C57" s="21">
        <f t="shared" si="27"/>
        <v>20.813920715667518</v>
      </c>
      <c r="D57" s="17">
        <f t="shared" si="28"/>
        <v>21.592123384257718</v>
      </c>
      <c r="E57" s="22">
        <f t="shared" si="29"/>
        <v>94.690066307210031</v>
      </c>
      <c r="F57" s="23">
        <f t="shared" si="11"/>
        <v>94690066.307210028</v>
      </c>
      <c r="G57" s="15">
        <f t="shared" si="33"/>
        <v>631807.44827586215</v>
      </c>
      <c r="H57" s="15">
        <f t="shared" si="1"/>
        <v>283824</v>
      </c>
      <c r="I57" s="16">
        <f t="shared" si="34"/>
        <v>6.2637020689655182E-2</v>
      </c>
      <c r="J57" s="15">
        <f t="shared" si="35"/>
        <v>347983.44827586215</v>
      </c>
      <c r="K57" s="16">
        <f t="shared" si="7"/>
        <v>13.579427357575785</v>
      </c>
      <c r="L57" s="64">
        <f t="shared" si="8"/>
        <v>0.90909090909090917</v>
      </c>
      <c r="M57" s="16">
        <f t="shared" si="9"/>
        <v>13.579427357575785</v>
      </c>
      <c r="N57" s="15">
        <f t="shared" si="30"/>
        <v>714706.70303030452</v>
      </c>
      <c r="O57" s="15">
        <f t="shared" si="31"/>
        <v>779583.72666666831</v>
      </c>
    </row>
    <row r="58" spans="1:15" x14ac:dyDescent="0.15">
      <c r="A58">
        <f t="shared" si="24"/>
        <v>54</v>
      </c>
      <c r="B58">
        <f t="shared" si="32"/>
        <v>2083</v>
      </c>
      <c r="C58" s="21">
        <f t="shared" si="27"/>
        <v>21.589450237753081</v>
      </c>
      <c r="D58" s="17">
        <f t="shared" si="28"/>
        <v>22.42387087114254</v>
      </c>
      <c r="E58" s="22">
        <f t="shared" si="29"/>
        <v>95.321873755485896</v>
      </c>
      <c r="F58" s="23">
        <f t="shared" si="11"/>
        <v>95321873.755485892</v>
      </c>
      <c r="G58" s="15">
        <f t="shared" si="33"/>
        <v>597009.10344827594</v>
      </c>
      <c r="H58" s="15">
        <f t="shared" si="1"/>
        <v>283824</v>
      </c>
      <c r="I58" s="16">
        <f t="shared" si="34"/>
        <v>5.6373318620689665E-2</v>
      </c>
      <c r="J58" s="15">
        <f t="shared" si="35"/>
        <v>313185.10344827594</v>
      </c>
      <c r="K58" s="16">
        <f t="shared" si="7"/>
        <v>13.330881726000028</v>
      </c>
      <c r="L58" s="64">
        <f t="shared" si="8"/>
        <v>0.9</v>
      </c>
      <c r="M58" s="16">
        <f t="shared" si="9"/>
        <v>13.330881726000028</v>
      </c>
      <c r="N58" s="19">
        <f t="shared" si="30"/>
        <v>701625.35400000145</v>
      </c>
      <c r="O58" s="15">
        <f t="shared" si="31"/>
        <v>772990.0800000017</v>
      </c>
    </row>
    <row r="59" spans="1:15" x14ac:dyDescent="0.15">
      <c r="A59">
        <f t="shared" si="24"/>
        <v>55</v>
      </c>
      <c r="B59">
        <f t="shared" si="32"/>
        <v>2084</v>
      </c>
      <c r="C59" s="21">
        <f t="shared" si="27"/>
        <v>22.422646725108432</v>
      </c>
      <c r="D59" s="17">
        <f t="shared" si="28"/>
        <v>23.602956935808887</v>
      </c>
      <c r="E59" s="22">
        <f t="shared" si="29"/>
        <v>95.918882858934168</v>
      </c>
      <c r="F59" s="23">
        <f t="shared" si="11"/>
        <v>95918882.858934164</v>
      </c>
      <c r="G59" s="15">
        <f t="shared" si="33"/>
        <v>562210.75862068974</v>
      </c>
      <c r="H59" s="15">
        <f t="shared" si="1"/>
        <v>283824</v>
      </c>
      <c r="I59" s="16">
        <f t="shared" si="34"/>
        <v>5.0109616551724148E-2</v>
      </c>
      <c r="J59" s="15">
        <f t="shared" si="35"/>
        <v>278386.75862068974</v>
      </c>
      <c r="K59" s="16">
        <f t="shared" si="7"/>
        <v>13.219726708020861</v>
      </c>
      <c r="L59" s="64">
        <f t="shared" si="8"/>
        <v>0.88888888888888895</v>
      </c>
      <c r="M59" s="16">
        <f t="shared" si="9"/>
        <v>13.219726708020861</v>
      </c>
      <c r="N59" s="15">
        <f t="shared" ref="N59:N90" si="36">N58+(N$154-N$58)/96</f>
        <v>695775.0898958348</v>
      </c>
      <c r="O59" s="15">
        <f t="shared" si="31"/>
        <v>766396.4333333351</v>
      </c>
    </row>
    <row r="60" spans="1:15" x14ac:dyDescent="0.15">
      <c r="A60">
        <f t="shared" si="24"/>
        <v>56</v>
      </c>
      <c r="B60">
        <f t="shared" si="32"/>
        <v>2085</v>
      </c>
      <c r="C60" s="21">
        <f t="shared" si="27"/>
        <v>23.601739923069442</v>
      </c>
      <c r="D60" s="17">
        <f t="shared" si="28"/>
        <v>24.937633738905433</v>
      </c>
      <c r="E60" s="22">
        <f t="shared" si="29"/>
        <v>96.481093617554862</v>
      </c>
      <c r="F60" s="23">
        <f t="shared" si="11"/>
        <v>96481093.617554858</v>
      </c>
      <c r="G60" s="15">
        <f t="shared" si="33"/>
        <v>527412.41379310354</v>
      </c>
      <c r="H60" s="15">
        <f t="shared" si="1"/>
        <v>283824</v>
      </c>
      <c r="I60" s="16">
        <f t="shared" si="34"/>
        <v>4.3845914482758631E-2</v>
      </c>
      <c r="J60" s="15">
        <f t="shared" si="35"/>
        <v>243588.41379310354</v>
      </c>
      <c r="K60" s="16">
        <f t="shared" si="7"/>
        <v>13.108571690041694</v>
      </c>
      <c r="L60" s="64">
        <f t="shared" si="8"/>
        <v>0.875</v>
      </c>
      <c r="M60" s="16">
        <f t="shared" si="9"/>
        <v>13.108571690041694</v>
      </c>
      <c r="N60" s="15">
        <f t="shared" si="36"/>
        <v>689924.82579166815</v>
      </c>
      <c r="O60" s="15">
        <f t="shared" si="31"/>
        <v>759802.78666666849</v>
      </c>
    </row>
    <row r="61" spans="1:15" x14ac:dyDescent="0.15">
      <c r="A61">
        <f t="shared" si="24"/>
        <v>57</v>
      </c>
      <c r="B61">
        <f t="shared" si="32"/>
        <v>2086</v>
      </c>
      <c r="C61" s="21">
        <f t="shared" si="27"/>
        <v>24.936423342777797</v>
      </c>
      <c r="D61" s="17">
        <f t="shared" si="28"/>
        <v>26.460874152152492</v>
      </c>
      <c r="E61" s="22">
        <f t="shared" si="29"/>
        <v>97.008506031347963</v>
      </c>
      <c r="F61" s="23">
        <f t="shared" si="11"/>
        <v>97008506.03134796</v>
      </c>
      <c r="G61" s="15">
        <f t="shared" si="33"/>
        <v>492614.06896551733</v>
      </c>
      <c r="H61" s="15">
        <f t="shared" si="1"/>
        <v>283824</v>
      </c>
      <c r="I61" s="16">
        <f t="shared" si="34"/>
        <v>3.7582212413793115E-2</v>
      </c>
      <c r="J61" s="15">
        <f t="shared" si="35"/>
        <v>208790.06896551733</v>
      </c>
      <c r="K61" s="16">
        <f t="shared" si="7"/>
        <v>12.997416672062529</v>
      </c>
      <c r="L61" s="64">
        <f t="shared" si="8"/>
        <v>0.85714285714285721</v>
      </c>
      <c r="M61" s="16">
        <f t="shared" si="9"/>
        <v>12.997416672062529</v>
      </c>
      <c r="N61" s="15">
        <f t="shared" si="36"/>
        <v>684074.5616875015</v>
      </c>
      <c r="O61" s="15">
        <f t="shared" si="31"/>
        <v>753209.14000000188</v>
      </c>
    </row>
    <row r="62" spans="1:15" x14ac:dyDescent="0.15">
      <c r="A62">
        <f t="shared" si="24"/>
        <v>58</v>
      </c>
      <c r="B62">
        <f t="shared" si="32"/>
        <v>2087</v>
      </c>
      <c r="C62" s="21">
        <f t="shared" si="27"/>
        <v>26.459669871422925</v>
      </c>
      <c r="D62" s="17">
        <f t="shared" si="28"/>
        <v>28.215676053399093</v>
      </c>
      <c r="E62" s="22">
        <f t="shared" si="29"/>
        <v>97.501120100313486</v>
      </c>
      <c r="F62" s="23">
        <f t="shared" si="11"/>
        <v>97501120.100313485</v>
      </c>
      <c r="G62" s="15">
        <f t="shared" si="33"/>
        <v>457815.72413793113</v>
      </c>
      <c r="H62" s="15">
        <f t="shared" si="1"/>
        <v>283824</v>
      </c>
      <c r="I62" s="16">
        <f t="shared" si="34"/>
        <v>3.1318510344827605E-2</v>
      </c>
      <c r="J62" s="15">
        <f t="shared" si="35"/>
        <v>173991.72413793113</v>
      </c>
      <c r="K62" s="16">
        <f t="shared" si="7"/>
        <v>12.886261654083361</v>
      </c>
      <c r="L62" s="64">
        <f t="shared" si="8"/>
        <v>0.83333333333333348</v>
      </c>
      <c r="M62" s="16">
        <f t="shared" si="9"/>
        <v>12.886261654083361</v>
      </c>
      <c r="N62" s="15">
        <f t="shared" si="36"/>
        <v>678224.29758333485</v>
      </c>
      <c r="O62" s="15">
        <f t="shared" si="31"/>
        <v>746615.49333333527</v>
      </c>
    </row>
    <row r="63" spans="1:15" x14ac:dyDescent="0.15">
      <c r="A63">
        <f t="shared" si="24"/>
        <v>59</v>
      </c>
      <c r="B63">
        <f t="shared" si="32"/>
        <v>2088</v>
      </c>
      <c r="C63" s="21">
        <f t="shared" si="27"/>
        <v>28.21447740093253</v>
      </c>
      <c r="D63" s="17">
        <f t="shared" si="28"/>
        <v>30.25918572246005</v>
      </c>
      <c r="E63" s="22">
        <f t="shared" si="29"/>
        <v>97.958935824451416</v>
      </c>
      <c r="F63" s="23">
        <f t="shared" si="11"/>
        <v>97958935.824451417</v>
      </c>
      <c r="G63" s="15">
        <f t="shared" si="33"/>
        <v>423017.37931034493</v>
      </c>
      <c r="H63" s="15">
        <f t="shared" si="1"/>
        <v>283824</v>
      </c>
      <c r="I63" s="16">
        <f t="shared" si="34"/>
        <v>2.5054808275862088E-2</v>
      </c>
      <c r="J63" s="15">
        <f t="shared" si="35"/>
        <v>139193.37931034493</v>
      </c>
      <c r="K63" s="16">
        <f t="shared" si="7"/>
        <v>12.775106636104196</v>
      </c>
      <c r="L63" s="64">
        <f t="shared" si="8"/>
        <v>0.80000000000000016</v>
      </c>
      <c r="M63" s="16">
        <f t="shared" si="9"/>
        <v>12.775106636104196</v>
      </c>
      <c r="N63" s="15">
        <f t="shared" si="36"/>
        <v>672374.0334791682</v>
      </c>
      <c r="O63" s="15">
        <f t="shared" si="31"/>
        <v>740021.84666666866</v>
      </c>
    </row>
    <row r="64" spans="1:15" x14ac:dyDescent="0.15">
      <c r="A64">
        <f t="shared" si="24"/>
        <v>60</v>
      </c>
      <c r="B64">
        <f t="shared" si="32"/>
        <v>2089</v>
      </c>
      <c r="C64" s="21">
        <f t="shared" si="27"/>
        <v>30.257992223894263</v>
      </c>
      <c r="D64" s="17">
        <f t="shared" si="28"/>
        <v>32.669038861604761</v>
      </c>
      <c r="E64" s="22">
        <f t="shared" si="29"/>
        <v>98.381953203761753</v>
      </c>
      <c r="F64" s="23">
        <f t="shared" si="11"/>
        <v>98381953.203761756</v>
      </c>
      <c r="G64" s="15">
        <f t="shared" si="33"/>
        <v>388219.03448275873</v>
      </c>
      <c r="H64" s="15">
        <f t="shared" si="1"/>
        <v>283824</v>
      </c>
      <c r="I64" s="16">
        <f t="shared" si="34"/>
        <v>1.8791106206896571E-2</v>
      </c>
      <c r="J64" s="15">
        <f t="shared" si="35"/>
        <v>104395.03448275873</v>
      </c>
      <c r="K64" s="16">
        <f t="shared" si="7"/>
        <v>12.663951618125029</v>
      </c>
      <c r="L64" s="64">
        <f t="shared" si="8"/>
        <v>0.75000000000000022</v>
      </c>
      <c r="M64" s="16">
        <f t="shared" si="9"/>
        <v>12.663951618125029</v>
      </c>
      <c r="N64" s="15">
        <f t="shared" si="36"/>
        <v>666523.76937500155</v>
      </c>
      <c r="O64" s="15">
        <f t="shared" si="31"/>
        <v>733428.20000000205</v>
      </c>
    </row>
    <row r="65" spans="1:15" x14ac:dyDescent="0.15">
      <c r="A65">
        <f t="shared" si="24"/>
        <v>61</v>
      </c>
      <c r="B65">
        <f t="shared" si="32"/>
        <v>2090</v>
      </c>
      <c r="C65" s="21">
        <f t="shared" si="27"/>
        <v>32.667850054119796</v>
      </c>
      <c r="D65" s="17">
        <f t="shared" si="28"/>
        <v>35.553447695842593</v>
      </c>
      <c r="E65" s="22">
        <f t="shared" si="29"/>
        <v>98.770172238244513</v>
      </c>
      <c r="F65" s="23">
        <f t="shared" si="11"/>
        <v>98770172.238244519</v>
      </c>
      <c r="G65" s="15">
        <f t="shared" si="33"/>
        <v>353420.68965517252</v>
      </c>
      <c r="H65" s="15">
        <f t="shared" si="1"/>
        <v>283824</v>
      </c>
      <c r="I65" s="16">
        <f t="shared" si="34"/>
        <v>1.2527404137931054E-2</v>
      </c>
      <c r="J65" s="15">
        <f t="shared" si="35"/>
        <v>69596.689655172522</v>
      </c>
      <c r="K65" s="16">
        <f t="shared" si="7"/>
        <v>12.552796600145863</v>
      </c>
      <c r="L65" s="64">
        <f t="shared" si="8"/>
        <v>0.66666666666666707</v>
      </c>
      <c r="M65" s="16">
        <f t="shared" si="9"/>
        <v>12.552796600145863</v>
      </c>
      <c r="N65" s="15">
        <f t="shared" si="36"/>
        <v>660673.5052708349</v>
      </c>
      <c r="O65" s="15">
        <f t="shared" si="31"/>
        <v>726834.55333333544</v>
      </c>
    </row>
    <row r="66" spans="1:15" x14ac:dyDescent="0.15">
      <c r="A66">
        <f t="shared" si="24"/>
        <v>62</v>
      </c>
      <c r="B66">
        <f t="shared" si="32"/>
        <v>2091</v>
      </c>
      <c r="C66" s="21">
        <f t="shared" si="27"/>
        <v>35.552263126996969</v>
      </c>
      <c r="D66" s="17">
        <f t="shared" si="28"/>
        <v>39.067898050186976</v>
      </c>
      <c r="E66" s="22">
        <f t="shared" si="29"/>
        <v>99.123592927899693</v>
      </c>
      <c r="F66" s="23">
        <f t="shared" si="11"/>
        <v>99123592.927899688</v>
      </c>
      <c r="G66" s="15">
        <f t="shared" si="33"/>
        <v>318622.34482758632</v>
      </c>
      <c r="H66" s="15">
        <f t="shared" si="1"/>
        <v>283824</v>
      </c>
      <c r="I66" s="16">
        <f t="shared" si="34"/>
        <v>6.2637020689655367E-3</v>
      </c>
      <c r="J66" s="15">
        <f>J65+(J$67-J$38)/29</f>
        <v>34798.344827586312</v>
      </c>
      <c r="K66" s="16">
        <f t="shared" si="7"/>
        <v>12.441641582166696</v>
      </c>
      <c r="L66" s="64">
        <f>J66/J65</f>
        <v>0.50000000000000078</v>
      </c>
      <c r="M66" s="16">
        <f t="shared" si="9"/>
        <v>12.441641582166696</v>
      </c>
      <c r="N66" s="15">
        <f t="shared" si="36"/>
        <v>654823.24116666825</v>
      </c>
      <c r="O66" s="15">
        <f t="shared" si="31"/>
        <v>720240.90666666883</v>
      </c>
    </row>
    <row r="67" spans="1:15" x14ac:dyDescent="0.15">
      <c r="A67">
        <f t="shared" si="24"/>
        <v>63</v>
      </c>
      <c r="B67">
        <f t="shared" si="32"/>
        <v>2092</v>
      </c>
      <c r="C67" s="21">
        <f>(D67*G67+D66*F66)/F67</f>
        <v>39.066717276812945</v>
      </c>
      <c r="D67" s="17">
        <f t="shared" si="28"/>
        <v>43.444129334332303</v>
      </c>
      <c r="E67" s="22">
        <f t="shared" si="29"/>
        <v>99.442215272727282</v>
      </c>
      <c r="F67" s="23">
        <f t="shared" si="11"/>
        <v>99442215.272727281</v>
      </c>
      <c r="G67" s="15">
        <f t="shared" si="33"/>
        <v>283824</v>
      </c>
      <c r="H67" s="15">
        <f t="shared" si="1"/>
        <v>283824</v>
      </c>
      <c r="I67" s="16">
        <f t="shared" si="34"/>
        <v>0</v>
      </c>
      <c r="J67" s="19">
        <v>0</v>
      </c>
      <c r="K67" s="16">
        <f t="shared" si="7"/>
        <v>12.330486564187531</v>
      </c>
      <c r="L67" s="64">
        <f t="shared" si="8"/>
        <v>0</v>
      </c>
      <c r="M67" s="16">
        <f t="shared" si="9"/>
        <v>12.330486564187531</v>
      </c>
      <c r="N67" s="15">
        <f t="shared" si="36"/>
        <v>648972.9770625016</v>
      </c>
      <c r="O67" s="15">
        <f t="shared" si="31"/>
        <v>713647.26000000222</v>
      </c>
    </row>
    <row r="68" spans="1:15" x14ac:dyDescent="0.15">
      <c r="A68">
        <f t="shared" si="24"/>
        <v>64</v>
      </c>
      <c r="B68">
        <f t="shared" si="32"/>
        <v>2093</v>
      </c>
      <c r="C68" s="21">
        <f t="shared" si="27"/>
        <v>43.443014730575953</v>
      </c>
      <c r="D68" s="17">
        <f t="shared" si="28"/>
        <v>43.052495723435513</v>
      </c>
      <c r="E68" s="22">
        <f t="shared" si="29"/>
        <v>99.726039272727277</v>
      </c>
      <c r="F68" s="23">
        <f t="shared" si="11"/>
        <v>99726039.272727281</v>
      </c>
      <c r="G68" s="15">
        <f t="shared" si="33"/>
        <v>283824</v>
      </c>
      <c r="H68" s="15">
        <f t="shared" si="1"/>
        <v>283824</v>
      </c>
      <c r="I68" s="16">
        <f t="shared" si="34"/>
        <v>0</v>
      </c>
      <c r="J68" s="15">
        <v>0</v>
      </c>
      <c r="K68" s="16">
        <f t="shared" si="7"/>
        <v>12.219331546208362</v>
      </c>
      <c r="L68" s="64" t="e">
        <f t="shared" si="8"/>
        <v>#DIV/0!</v>
      </c>
      <c r="M68" s="16">
        <f t="shared" si="9"/>
        <v>12.219331546208362</v>
      </c>
      <c r="N68" s="15">
        <f t="shared" si="36"/>
        <v>643122.71295833495</v>
      </c>
      <c r="O68" s="15">
        <f t="shared" si="31"/>
        <v>707053.61333333561</v>
      </c>
    </row>
    <row r="69" spans="1:15" x14ac:dyDescent="0.15">
      <c r="A69">
        <f t="shared" si="24"/>
        <v>65</v>
      </c>
      <c r="B69">
        <f t="shared" si="32"/>
        <v>2094</v>
      </c>
      <c r="C69" s="21">
        <f t="shared" si="27"/>
        <v>43.051384282880136</v>
      </c>
      <c r="D69" s="17">
        <f t="shared" si="28"/>
        <v>42.660862112538751</v>
      </c>
      <c r="E69" s="22">
        <f t="shared" si="29"/>
        <v>100.00986327272729</v>
      </c>
      <c r="F69" s="23">
        <f t="shared" si="11"/>
        <v>100009863.27272728</v>
      </c>
      <c r="G69" s="15">
        <f t="shared" si="33"/>
        <v>283824</v>
      </c>
      <c r="H69" s="15">
        <f t="shared" ref="H69:H132" si="37">$P$21</f>
        <v>283824</v>
      </c>
      <c r="I69" s="16">
        <f t="shared" si="34"/>
        <v>0</v>
      </c>
      <c r="J69" s="15">
        <v>0</v>
      </c>
      <c r="K69" s="16">
        <f t="shared" si="7"/>
        <v>12.108176528229198</v>
      </c>
      <c r="L69" s="64" t="e">
        <f t="shared" si="8"/>
        <v>#DIV/0!</v>
      </c>
      <c r="M69" s="16">
        <f t="shared" si="9"/>
        <v>12.108176528229198</v>
      </c>
      <c r="N69" s="15">
        <f t="shared" si="36"/>
        <v>637272.44885416829</v>
      </c>
      <c r="O69" s="15">
        <f t="shared" si="31"/>
        <v>700459.966666669</v>
      </c>
    </row>
    <row r="70" spans="1:15" x14ac:dyDescent="0.15">
      <c r="A70">
        <f t="shared" si="24"/>
        <v>66</v>
      </c>
      <c r="B70">
        <f t="shared" si="32"/>
        <v>2095</v>
      </c>
      <c r="C70" s="21">
        <f t="shared" si="27"/>
        <v>42.659753817281079</v>
      </c>
      <c r="D70" s="17">
        <f t="shared" si="28"/>
        <v>42.269228501641976</v>
      </c>
      <c r="E70" s="22">
        <f t="shared" si="29"/>
        <v>100.29368727272728</v>
      </c>
      <c r="F70" s="23">
        <f t="shared" si="11"/>
        <v>100293687.27272728</v>
      </c>
      <c r="G70" s="15">
        <f t="shared" si="33"/>
        <v>283824</v>
      </c>
      <c r="H70" s="15">
        <f t="shared" si="37"/>
        <v>283824</v>
      </c>
      <c r="I70" s="16">
        <f t="shared" si="34"/>
        <v>0</v>
      </c>
      <c r="J70" s="15">
        <v>0</v>
      </c>
      <c r="K70" s="16">
        <f t="shared" ref="K70:K133" si="38">N70*$P$4/1000000</f>
        <v>11.997021510250033</v>
      </c>
      <c r="L70" s="64" t="e">
        <f t="shared" ref="L70:L133" si="39">J70/J69</f>
        <v>#DIV/0!</v>
      </c>
      <c r="M70" s="16">
        <f t="shared" ref="M70:M133" si="40">N70*$P$4/1000000</f>
        <v>11.997021510250033</v>
      </c>
      <c r="N70" s="15">
        <f t="shared" si="36"/>
        <v>631422.18475000164</v>
      </c>
      <c r="O70" s="15">
        <f t="shared" si="31"/>
        <v>693866.32000000239</v>
      </c>
    </row>
    <row r="71" spans="1:15" x14ac:dyDescent="0.15">
      <c r="A71">
        <f t="shared" si="24"/>
        <v>67</v>
      </c>
      <c r="B71">
        <f t="shared" si="32"/>
        <v>2096</v>
      </c>
      <c r="C71" s="21">
        <f t="shared" si="27"/>
        <v>42.268123333930305</v>
      </c>
      <c r="D71" s="17">
        <f t="shared" si="28"/>
        <v>41.8775948907452</v>
      </c>
      <c r="E71" s="22">
        <f t="shared" si="29"/>
        <v>100.57751127272728</v>
      </c>
      <c r="F71" s="23">
        <f t="shared" ref="F71:F134" si="41">F70+H70+J70</f>
        <v>100577511.27272728</v>
      </c>
      <c r="G71" s="15">
        <f t="shared" si="33"/>
        <v>283824</v>
      </c>
      <c r="H71" s="15">
        <f t="shared" si="37"/>
        <v>283824</v>
      </c>
      <c r="I71" s="16">
        <f t="shared" si="34"/>
        <v>0</v>
      </c>
      <c r="J71" s="15">
        <v>0</v>
      </c>
      <c r="K71" s="16">
        <f t="shared" si="38"/>
        <v>11.885866492270864</v>
      </c>
      <c r="L71" s="64" t="e">
        <f t="shared" si="39"/>
        <v>#DIV/0!</v>
      </c>
      <c r="M71" s="16">
        <f t="shared" si="40"/>
        <v>11.885866492270864</v>
      </c>
      <c r="N71" s="15">
        <f t="shared" si="36"/>
        <v>625571.92064583499</v>
      </c>
      <c r="O71" s="15">
        <f t="shared" si="31"/>
        <v>687272.67333333578</v>
      </c>
    </row>
    <row r="72" spans="1:15" x14ac:dyDescent="0.15">
      <c r="A72">
        <f t="shared" si="24"/>
        <v>68</v>
      </c>
      <c r="B72">
        <f t="shared" si="32"/>
        <v>2097</v>
      </c>
      <c r="C72" s="21">
        <f t="shared" si="27"/>
        <v>41.876492832977689</v>
      </c>
      <c r="D72" s="17">
        <f t="shared" si="28"/>
        <v>41.485961279848425</v>
      </c>
      <c r="E72" s="22">
        <f t="shared" si="29"/>
        <v>100.86133527272727</v>
      </c>
      <c r="F72" s="23">
        <f t="shared" si="41"/>
        <v>100861335.27272728</v>
      </c>
      <c r="G72" s="15">
        <f t="shared" si="33"/>
        <v>283824</v>
      </c>
      <c r="H72" s="15">
        <f t="shared" si="37"/>
        <v>283824</v>
      </c>
      <c r="I72" s="16">
        <f t="shared" si="34"/>
        <v>0</v>
      </c>
      <c r="J72" s="15">
        <v>0</v>
      </c>
      <c r="K72" s="16">
        <f t="shared" si="38"/>
        <v>11.774711474291699</v>
      </c>
      <c r="L72" s="64" t="e">
        <f t="shared" si="39"/>
        <v>#DIV/0!</v>
      </c>
      <c r="M72" s="16">
        <f t="shared" si="40"/>
        <v>11.774711474291699</v>
      </c>
      <c r="N72" s="15">
        <f t="shared" si="36"/>
        <v>619721.65654166834</v>
      </c>
      <c r="O72" s="15">
        <f t="shared" si="31"/>
        <v>680679.02666666918</v>
      </c>
    </row>
    <row r="73" spans="1:15" x14ac:dyDescent="0.15">
      <c r="A73">
        <f t="shared" si="24"/>
        <v>69</v>
      </c>
      <c r="B73">
        <f t="shared" si="32"/>
        <v>2098</v>
      </c>
      <c r="C73" s="21">
        <f t="shared" si="27"/>
        <v>41.484862314571409</v>
      </c>
      <c r="D73" s="17">
        <f t="shared" si="28"/>
        <v>41.094327668951642</v>
      </c>
      <c r="E73" s="22">
        <f t="shared" si="29"/>
        <v>101.14515927272728</v>
      </c>
      <c r="F73" s="23">
        <f t="shared" si="41"/>
        <v>101145159.27272728</v>
      </c>
      <c r="G73" s="15">
        <f t="shared" si="33"/>
        <v>283824</v>
      </c>
      <c r="H73" s="15">
        <f t="shared" si="37"/>
        <v>283824</v>
      </c>
      <c r="I73" s="16">
        <f t="shared" si="34"/>
        <v>0</v>
      </c>
      <c r="J73" s="15">
        <v>0</v>
      </c>
      <c r="K73" s="16">
        <f t="shared" si="38"/>
        <v>11.663556456312532</v>
      </c>
      <c r="L73" s="64" t="e">
        <f t="shared" si="39"/>
        <v>#DIV/0!</v>
      </c>
      <c r="M73" s="16">
        <f t="shared" si="40"/>
        <v>11.663556456312532</v>
      </c>
      <c r="N73" s="15">
        <f t="shared" si="36"/>
        <v>613871.39243750169</v>
      </c>
      <c r="O73" s="15">
        <f t="shared" si="31"/>
        <v>674085.38000000257</v>
      </c>
    </row>
    <row r="74" spans="1:15" x14ac:dyDescent="0.15">
      <c r="A74">
        <f t="shared" si="24"/>
        <v>70</v>
      </c>
      <c r="B74">
        <f t="shared" si="32"/>
        <v>2099</v>
      </c>
      <c r="C74" s="21">
        <f t="shared" si="27"/>
        <v>41.093231778857977</v>
      </c>
      <c r="D74" s="17">
        <f t="shared" si="28"/>
        <v>40.702694058054874</v>
      </c>
      <c r="E74" s="22">
        <f t="shared" si="29"/>
        <v>101.42898327272728</v>
      </c>
      <c r="F74" s="23">
        <f t="shared" si="41"/>
        <v>101428983.27272728</v>
      </c>
      <c r="G74" s="15">
        <f t="shared" si="33"/>
        <v>283824</v>
      </c>
      <c r="H74" s="15">
        <f t="shared" si="37"/>
        <v>283824</v>
      </c>
      <c r="I74" s="16">
        <f t="shared" si="34"/>
        <v>0</v>
      </c>
      <c r="J74" s="15">
        <v>0</v>
      </c>
      <c r="K74" s="16">
        <f t="shared" si="38"/>
        <v>11.552401438333366</v>
      </c>
      <c r="L74" s="64" t="e">
        <f t="shared" si="39"/>
        <v>#DIV/0!</v>
      </c>
      <c r="M74" s="16">
        <f t="shared" si="40"/>
        <v>11.552401438333366</v>
      </c>
      <c r="N74" s="15">
        <f t="shared" si="36"/>
        <v>608021.12833333504</v>
      </c>
      <c r="O74" s="15">
        <f t="shared" si="31"/>
        <v>667491.73333333596</v>
      </c>
    </row>
    <row r="75" spans="1:15" x14ac:dyDescent="0.15">
      <c r="A75">
        <f t="shared" si="24"/>
        <v>71</v>
      </c>
      <c r="B75">
        <f t="shared" si="32"/>
        <v>2100</v>
      </c>
      <c r="C75" s="21">
        <f t="shared" si="27"/>
        <v>40.701601225982301</v>
      </c>
      <c r="D75" s="17">
        <f t="shared" si="28"/>
        <v>40.311060447158091</v>
      </c>
      <c r="E75" s="22">
        <f t="shared" si="29"/>
        <v>101.71280727272728</v>
      </c>
      <c r="F75" s="23">
        <f t="shared" si="41"/>
        <v>101712807.27272728</v>
      </c>
      <c r="G75" s="15">
        <f t="shared" si="33"/>
        <v>283824</v>
      </c>
      <c r="H75" s="15">
        <f t="shared" si="37"/>
        <v>283824</v>
      </c>
      <c r="I75" s="16">
        <f t="shared" si="34"/>
        <v>0</v>
      </c>
      <c r="J75" s="15">
        <v>0</v>
      </c>
      <c r="K75" s="16">
        <f t="shared" si="38"/>
        <v>11.441246420354199</v>
      </c>
      <c r="L75" s="64" t="e">
        <f t="shared" si="39"/>
        <v>#DIV/0!</v>
      </c>
      <c r="M75" s="16">
        <f t="shared" si="40"/>
        <v>11.441246420354199</v>
      </c>
      <c r="N75" s="15">
        <f t="shared" si="36"/>
        <v>602170.86422916839</v>
      </c>
      <c r="O75" s="15">
        <f t="shared" si="31"/>
        <v>660898.08666666935</v>
      </c>
    </row>
    <row r="76" spans="1:15" x14ac:dyDescent="0.15">
      <c r="A76">
        <f t="shared" si="24"/>
        <v>72</v>
      </c>
      <c r="B76">
        <f t="shared" si="32"/>
        <v>2101</v>
      </c>
      <c r="C76" s="21">
        <f t="shared" si="27"/>
        <v>40.309970656087621</v>
      </c>
      <c r="D76" s="17">
        <f t="shared" si="28"/>
        <v>39.919426836261316</v>
      </c>
      <c r="E76" s="22">
        <f t="shared" si="29"/>
        <v>101.99663127272729</v>
      </c>
      <c r="F76" s="23">
        <f t="shared" si="41"/>
        <v>101996631.27272728</v>
      </c>
      <c r="G76" s="15">
        <f t="shared" si="33"/>
        <v>283824</v>
      </c>
      <c r="H76" s="15">
        <f t="shared" si="37"/>
        <v>283824</v>
      </c>
      <c r="I76" s="16">
        <f t="shared" si="34"/>
        <v>0</v>
      </c>
      <c r="J76" s="15">
        <v>0</v>
      </c>
      <c r="K76" s="16">
        <f t="shared" si="38"/>
        <v>11.330091402375032</v>
      </c>
      <c r="L76" s="64" t="e">
        <f t="shared" si="39"/>
        <v>#DIV/0!</v>
      </c>
      <c r="M76" s="16">
        <f t="shared" si="40"/>
        <v>11.330091402375032</v>
      </c>
      <c r="N76" s="15">
        <f t="shared" si="36"/>
        <v>596320.60012500174</v>
      </c>
      <c r="O76" s="15">
        <f t="shared" si="31"/>
        <v>654304.44000000274</v>
      </c>
    </row>
    <row r="77" spans="1:15" x14ac:dyDescent="0.15">
      <c r="A77">
        <f t="shared" si="24"/>
        <v>73</v>
      </c>
      <c r="B77">
        <f t="shared" si="32"/>
        <v>2102</v>
      </c>
      <c r="C77" s="21">
        <f t="shared" si="27"/>
        <v>39.91834006931564</v>
      </c>
      <c r="D77" s="17">
        <f t="shared" si="28"/>
        <v>39.527793225364547</v>
      </c>
      <c r="E77" s="22">
        <f t="shared" si="29"/>
        <v>102.28045527272728</v>
      </c>
      <c r="F77" s="23">
        <f t="shared" si="41"/>
        <v>102280455.27272728</v>
      </c>
      <c r="G77" s="15">
        <f t="shared" si="33"/>
        <v>283824</v>
      </c>
      <c r="H77" s="15">
        <f t="shared" si="37"/>
        <v>283824</v>
      </c>
      <c r="I77" s="16">
        <f t="shared" si="34"/>
        <v>0</v>
      </c>
      <c r="J77" s="15">
        <v>0</v>
      </c>
      <c r="K77" s="16">
        <f t="shared" si="38"/>
        <v>11.218936384395867</v>
      </c>
      <c r="L77" s="64" t="e">
        <f t="shared" si="39"/>
        <v>#DIV/0!</v>
      </c>
      <c r="M77" s="16">
        <f t="shared" si="40"/>
        <v>11.218936384395867</v>
      </c>
      <c r="N77" s="15">
        <f t="shared" si="36"/>
        <v>590470.33602083509</v>
      </c>
      <c r="O77" s="15">
        <f t="shared" si="31"/>
        <v>647710.79333333613</v>
      </c>
    </row>
    <row r="78" spans="1:15" x14ac:dyDescent="0.15">
      <c r="A78">
        <f t="shared" si="24"/>
        <v>74</v>
      </c>
      <c r="B78">
        <f t="shared" si="32"/>
        <v>2103</v>
      </c>
      <c r="C78" s="21">
        <f t="shared" si="27"/>
        <v>39.526709465806469</v>
      </c>
      <c r="D78" s="17">
        <f t="shared" si="28"/>
        <v>39.136159614467772</v>
      </c>
      <c r="E78" s="22">
        <f t="shared" si="29"/>
        <v>102.56427927272728</v>
      </c>
      <c r="F78" s="23">
        <f t="shared" si="41"/>
        <v>102564279.27272728</v>
      </c>
      <c r="G78" s="15">
        <f t="shared" si="33"/>
        <v>283824</v>
      </c>
      <c r="H78" s="15">
        <f t="shared" si="37"/>
        <v>283824</v>
      </c>
      <c r="I78" s="16">
        <f t="shared" si="34"/>
        <v>0</v>
      </c>
      <c r="J78" s="15">
        <v>0</v>
      </c>
      <c r="K78" s="16">
        <f t="shared" si="38"/>
        <v>11.107781366416701</v>
      </c>
      <c r="L78" s="64" t="e">
        <f t="shared" si="39"/>
        <v>#DIV/0!</v>
      </c>
      <c r="M78" s="16">
        <f t="shared" si="40"/>
        <v>11.107781366416701</v>
      </c>
      <c r="N78" s="15">
        <f t="shared" si="36"/>
        <v>584620.07191666844</v>
      </c>
      <c r="O78" s="15">
        <f t="shared" si="31"/>
        <v>641117.14666666952</v>
      </c>
    </row>
    <row r="79" spans="1:15" x14ac:dyDescent="0.15">
      <c r="A79">
        <f t="shared" si="24"/>
        <v>75</v>
      </c>
      <c r="B79">
        <f t="shared" si="32"/>
        <v>2104</v>
      </c>
      <c r="C79" s="21">
        <f t="shared" si="27"/>
        <v>39.135078845698665</v>
      </c>
      <c r="D79" s="17">
        <f t="shared" si="28"/>
        <v>38.744526003570989</v>
      </c>
      <c r="E79" s="22">
        <f t="shared" si="29"/>
        <v>102.84810327272729</v>
      </c>
      <c r="F79" s="23">
        <f t="shared" si="41"/>
        <v>102848103.27272728</v>
      </c>
      <c r="G79" s="15">
        <f t="shared" si="33"/>
        <v>283824</v>
      </c>
      <c r="H79" s="15">
        <f t="shared" si="37"/>
        <v>283824</v>
      </c>
      <c r="I79" s="16">
        <f t="shared" si="34"/>
        <v>0</v>
      </c>
      <c r="J79" s="15">
        <v>0</v>
      </c>
      <c r="K79" s="16">
        <f t="shared" si="38"/>
        <v>10.996626348437534</v>
      </c>
      <c r="L79" s="64" t="e">
        <f t="shared" si="39"/>
        <v>#DIV/0!</v>
      </c>
      <c r="M79" s="16">
        <f t="shared" si="40"/>
        <v>10.996626348437534</v>
      </c>
      <c r="N79" s="15">
        <f t="shared" si="36"/>
        <v>578769.80781250179</v>
      </c>
      <c r="O79" s="15">
        <f t="shared" si="31"/>
        <v>634523.50000000291</v>
      </c>
    </row>
    <row r="80" spans="1:15" x14ac:dyDescent="0.15">
      <c r="A80">
        <f t="shared" si="24"/>
        <v>76</v>
      </c>
      <c r="B80">
        <f t="shared" si="32"/>
        <v>2105</v>
      </c>
      <c r="C80" s="21">
        <f t="shared" si="27"/>
        <v>38.743448209129262</v>
      </c>
      <c r="D80" s="17">
        <f t="shared" si="28"/>
        <v>38.352892392674221</v>
      </c>
      <c r="E80" s="22">
        <f t="shared" si="29"/>
        <v>103.13192727272728</v>
      </c>
      <c r="F80" s="23">
        <f t="shared" si="41"/>
        <v>103131927.27272728</v>
      </c>
      <c r="G80" s="15">
        <f t="shared" si="33"/>
        <v>283824</v>
      </c>
      <c r="H80" s="15">
        <f t="shared" si="37"/>
        <v>283824</v>
      </c>
      <c r="I80" s="16">
        <f t="shared" si="34"/>
        <v>0</v>
      </c>
      <c r="J80" s="15">
        <v>0</v>
      </c>
      <c r="K80" s="16">
        <f t="shared" si="38"/>
        <v>10.885471330458367</v>
      </c>
      <c r="L80" s="64" t="e">
        <f t="shared" si="39"/>
        <v>#DIV/0!</v>
      </c>
      <c r="M80" s="16">
        <f t="shared" si="40"/>
        <v>10.885471330458367</v>
      </c>
      <c r="N80" s="15">
        <f t="shared" si="36"/>
        <v>572919.54370833514</v>
      </c>
      <c r="O80" s="15">
        <f t="shared" si="31"/>
        <v>627929.8533333363</v>
      </c>
    </row>
    <row r="81" spans="1:15" x14ac:dyDescent="0.15">
      <c r="A81">
        <f t="shared" si="24"/>
        <v>77</v>
      </c>
      <c r="B81">
        <f t="shared" si="32"/>
        <v>2106</v>
      </c>
      <c r="C81" s="21">
        <f t="shared" si="27"/>
        <v>38.351817556233819</v>
      </c>
      <c r="D81" s="17">
        <f t="shared" si="28"/>
        <v>37.961258781777445</v>
      </c>
      <c r="E81" s="22">
        <f t="shared" si="29"/>
        <v>103.41575127272728</v>
      </c>
      <c r="F81" s="23">
        <f t="shared" si="41"/>
        <v>103415751.27272728</v>
      </c>
      <c r="G81" s="15">
        <f t="shared" si="33"/>
        <v>283824</v>
      </c>
      <c r="H81" s="15">
        <f t="shared" si="37"/>
        <v>283824</v>
      </c>
      <c r="I81" s="16">
        <f t="shared" si="34"/>
        <v>0</v>
      </c>
      <c r="J81" s="15">
        <v>0</v>
      </c>
      <c r="K81" s="16">
        <f t="shared" si="38"/>
        <v>10.774316312479202</v>
      </c>
      <c r="L81" s="64" t="e">
        <f t="shared" si="39"/>
        <v>#DIV/0!</v>
      </c>
      <c r="M81" s="16">
        <f t="shared" si="40"/>
        <v>10.774316312479202</v>
      </c>
      <c r="N81" s="15">
        <f t="shared" si="36"/>
        <v>567069.27960416849</v>
      </c>
      <c r="O81" s="15">
        <f t="shared" si="31"/>
        <v>621336.20666666969</v>
      </c>
    </row>
    <row r="82" spans="1:15" x14ac:dyDescent="0.15">
      <c r="A82">
        <f t="shared" si="24"/>
        <v>78</v>
      </c>
      <c r="B82">
        <f t="shared" si="32"/>
        <v>2107</v>
      </c>
      <c r="C82" s="21">
        <f t="shared" si="27"/>
        <v>37.960186887146371</v>
      </c>
      <c r="D82" s="17">
        <f t="shared" si="28"/>
        <v>37.569625170880663</v>
      </c>
      <c r="E82" s="22">
        <f t="shared" si="29"/>
        <v>103.69957527272729</v>
      </c>
      <c r="F82" s="23">
        <f t="shared" si="41"/>
        <v>103699575.27272728</v>
      </c>
      <c r="G82" s="15">
        <f t="shared" si="33"/>
        <v>283824</v>
      </c>
      <c r="H82" s="15">
        <f t="shared" si="37"/>
        <v>283824</v>
      </c>
      <c r="I82" s="16">
        <f t="shared" si="34"/>
        <v>0</v>
      </c>
      <c r="J82" s="15">
        <v>0</v>
      </c>
      <c r="K82" s="16">
        <f t="shared" si="38"/>
        <v>10.663161294500034</v>
      </c>
      <c r="L82" s="64" t="e">
        <f t="shared" si="39"/>
        <v>#DIV/0!</v>
      </c>
      <c r="M82" s="16">
        <f t="shared" si="40"/>
        <v>10.663161294500034</v>
      </c>
      <c r="N82" s="15">
        <f t="shared" si="36"/>
        <v>561219.01550000184</v>
      </c>
      <c r="O82" s="15">
        <f t="shared" si="31"/>
        <v>614742.56000000308</v>
      </c>
    </row>
    <row r="83" spans="1:15" x14ac:dyDescent="0.15">
      <c r="A83">
        <f t="shared" si="24"/>
        <v>79</v>
      </c>
      <c r="B83">
        <f t="shared" si="32"/>
        <v>2108</v>
      </c>
      <c r="C83" s="21">
        <f t="shared" si="27"/>
        <v>37.568556201999506</v>
      </c>
      <c r="D83" s="17">
        <f t="shared" si="28"/>
        <v>37.177991559983901</v>
      </c>
      <c r="E83" s="22">
        <f t="shared" si="29"/>
        <v>103.98339927272728</v>
      </c>
      <c r="F83" s="23">
        <f t="shared" si="41"/>
        <v>103983399.27272728</v>
      </c>
      <c r="G83" s="15">
        <f t="shared" si="33"/>
        <v>283824</v>
      </c>
      <c r="H83" s="15">
        <f t="shared" si="37"/>
        <v>283824</v>
      </c>
      <c r="I83" s="16">
        <f t="shared" si="34"/>
        <v>0</v>
      </c>
      <c r="J83" s="15">
        <v>0</v>
      </c>
      <c r="K83" s="16">
        <f t="shared" si="38"/>
        <v>10.552006276520869</v>
      </c>
      <c r="L83" s="64" t="e">
        <f t="shared" si="39"/>
        <v>#DIV/0!</v>
      </c>
      <c r="M83" s="16">
        <f t="shared" si="40"/>
        <v>10.552006276520869</v>
      </c>
      <c r="N83" s="15">
        <f t="shared" si="36"/>
        <v>555368.75139583519</v>
      </c>
      <c r="O83" s="15">
        <f t="shared" si="31"/>
        <v>608148.91333333647</v>
      </c>
    </row>
    <row r="84" spans="1:15" x14ac:dyDescent="0.15">
      <c r="A84">
        <f t="shared" si="24"/>
        <v>80</v>
      </c>
      <c r="B84">
        <f t="shared" si="32"/>
        <v>2109</v>
      </c>
      <c r="C84" s="21">
        <f t="shared" si="27"/>
        <v>37.176925500924398</v>
      </c>
      <c r="D84" s="17">
        <f t="shared" si="28"/>
        <v>36.786357949087126</v>
      </c>
      <c r="E84" s="22">
        <f t="shared" si="29"/>
        <v>104.26722327272728</v>
      </c>
      <c r="F84" s="23">
        <f t="shared" si="41"/>
        <v>104267223.27272728</v>
      </c>
      <c r="G84" s="15">
        <f t="shared" si="33"/>
        <v>283824</v>
      </c>
      <c r="H84" s="15">
        <f t="shared" si="37"/>
        <v>283824</v>
      </c>
      <c r="I84" s="16">
        <f t="shared" si="34"/>
        <v>0</v>
      </c>
      <c r="J84" s="15">
        <v>0</v>
      </c>
      <c r="K84" s="16">
        <f t="shared" si="38"/>
        <v>10.440851258541704</v>
      </c>
      <c r="L84" s="64" t="e">
        <f t="shared" si="39"/>
        <v>#DIV/0!</v>
      </c>
      <c r="M84" s="16">
        <f t="shared" si="40"/>
        <v>10.440851258541704</v>
      </c>
      <c r="N84" s="15">
        <f t="shared" si="36"/>
        <v>549518.48729166854</v>
      </c>
      <c r="O84" s="15">
        <f t="shared" si="31"/>
        <v>601555.26666666986</v>
      </c>
    </row>
    <row r="85" spans="1:15" x14ac:dyDescent="0.15">
      <c r="A85">
        <f t="shared" si="24"/>
        <v>81</v>
      </c>
      <c r="B85">
        <f t="shared" si="32"/>
        <v>2110</v>
      </c>
      <c r="C85" s="21">
        <f t="shared" si="27"/>
        <v>36.785294784050727</v>
      </c>
      <c r="D85" s="17">
        <f t="shared" si="28"/>
        <v>36.39472433819035</v>
      </c>
      <c r="E85" s="22">
        <f t="shared" si="29"/>
        <v>104.55104727272727</v>
      </c>
      <c r="F85" s="23">
        <f t="shared" si="41"/>
        <v>104551047.27272728</v>
      </c>
      <c r="G85" s="15">
        <f t="shared" si="33"/>
        <v>283824</v>
      </c>
      <c r="H85" s="15">
        <f t="shared" si="37"/>
        <v>283824</v>
      </c>
      <c r="I85" s="16">
        <f t="shared" si="34"/>
        <v>0</v>
      </c>
      <c r="J85" s="15">
        <v>0</v>
      </c>
      <c r="K85" s="16">
        <f t="shared" si="38"/>
        <v>10.329696240562535</v>
      </c>
      <c r="L85" s="64" t="e">
        <f t="shared" si="39"/>
        <v>#DIV/0!</v>
      </c>
      <c r="M85" s="16">
        <f t="shared" si="40"/>
        <v>10.329696240562535</v>
      </c>
      <c r="N85" s="15">
        <f t="shared" si="36"/>
        <v>543668.22318750189</v>
      </c>
      <c r="O85" s="15">
        <f t="shared" si="31"/>
        <v>594961.62000000325</v>
      </c>
    </row>
    <row r="86" spans="1:15" x14ac:dyDescent="0.15">
      <c r="A86">
        <f t="shared" ref="A86:A149" si="42">A85+1</f>
        <v>82</v>
      </c>
      <c r="B86">
        <f t="shared" si="32"/>
        <v>2111</v>
      </c>
      <c r="C86" s="21">
        <f t="shared" si="27"/>
        <v>36.393664051506825</v>
      </c>
      <c r="D86" s="17">
        <f t="shared" si="28"/>
        <v>36.003090727293568</v>
      </c>
      <c r="E86" s="22">
        <f t="shared" si="29"/>
        <v>104.83487127272728</v>
      </c>
      <c r="F86" s="23">
        <f t="shared" si="41"/>
        <v>104834871.27272728</v>
      </c>
      <c r="G86" s="15">
        <f t="shared" si="33"/>
        <v>283824</v>
      </c>
      <c r="H86" s="15">
        <f t="shared" si="37"/>
        <v>283824</v>
      </c>
      <c r="I86" s="16">
        <f t="shared" si="34"/>
        <v>0</v>
      </c>
      <c r="J86" s="15">
        <v>0</v>
      </c>
      <c r="K86" s="16">
        <f t="shared" si="38"/>
        <v>10.21854122258337</v>
      </c>
      <c r="L86" s="64" t="e">
        <f t="shared" si="39"/>
        <v>#DIV/0!</v>
      </c>
      <c r="M86" s="16">
        <f t="shared" si="40"/>
        <v>10.21854122258337</v>
      </c>
      <c r="N86" s="15">
        <f t="shared" si="36"/>
        <v>537817.95908333524</v>
      </c>
      <c r="O86" s="15">
        <f t="shared" si="31"/>
        <v>588367.97333333665</v>
      </c>
    </row>
    <row r="87" spans="1:15" x14ac:dyDescent="0.15">
      <c r="A87">
        <f t="shared" si="42"/>
        <v>83</v>
      </c>
      <c r="B87">
        <f t="shared" si="32"/>
        <v>2112</v>
      </c>
      <c r="C87" s="21">
        <f t="shared" si="27"/>
        <v>36.002033303419623</v>
      </c>
      <c r="D87" s="17">
        <f t="shared" si="28"/>
        <v>35.611457116396785</v>
      </c>
      <c r="E87" s="22">
        <f t="shared" si="29"/>
        <v>105.11869527272728</v>
      </c>
      <c r="F87" s="23">
        <f t="shared" si="41"/>
        <v>105118695.27272728</v>
      </c>
      <c r="G87" s="15">
        <f t="shared" si="33"/>
        <v>283824</v>
      </c>
      <c r="H87" s="15">
        <f t="shared" si="37"/>
        <v>283824</v>
      </c>
      <c r="I87" s="16">
        <f t="shared" si="34"/>
        <v>0</v>
      </c>
      <c r="J87" s="15">
        <v>0</v>
      </c>
      <c r="K87" s="16">
        <f t="shared" si="38"/>
        <v>10.107386204604202</v>
      </c>
      <c r="L87" s="64" t="e">
        <f t="shared" si="39"/>
        <v>#DIV/0!</v>
      </c>
      <c r="M87" s="16">
        <f t="shared" si="40"/>
        <v>10.107386204604202</v>
      </c>
      <c r="N87" s="15">
        <f t="shared" si="36"/>
        <v>531967.69497916859</v>
      </c>
      <c r="O87" s="15">
        <f t="shared" si="31"/>
        <v>581774.32666667004</v>
      </c>
    </row>
    <row r="88" spans="1:15" x14ac:dyDescent="0.15">
      <c r="A88">
        <f t="shared" si="42"/>
        <v>84</v>
      </c>
      <c r="B88">
        <f t="shared" si="32"/>
        <v>2113</v>
      </c>
      <c r="C88" s="21">
        <f t="shared" si="27"/>
        <v>35.610402539914681</v>
      </c>
      <c r="D88" s="17">
        <f t="shared" si="28"/>
        <v>35.219823505500017</v>
      </c>
      <c r="E88" s="22">
        <f t="shared" si="29"/>
        <v>105.40251927272728</v>
      </c>
      <c r="F88" s="23">
        <f t="shared" si="41"/>
        <v>105402519.27272728</v>
      </c>
      <c r="G88" s="15">
        <f t="shared" si="33"/>
        <v>283824</v>
      </c>
      <c r="H88" s="15">
        <f t="shared" si="37"/>
        <v>283824</v>
      </c>
      <c r="I88" s="16">
        <f t="shared" si="34"/>
        <v>0</v>
      </c>
      <c r="J88" s="15">
        <v>0</v>
      </c>
      <c r="K88" s="16">
        <f t="shared" si="38"/>
        <v>9.9962311866250371</v>
      </c>
      <c r="L88" s="64" t="e">
        <f t="shared" si="39"/>
        <v>#DIV/0!</v>
      </c>
      <c r="M88" s="16">
        <f t="shared" si="40"/>
        <v>9.9962311866250371</v>
      </c>
      <c r="N88" s="15">
        <f t="shared" si="36"/>
        <v>526117.43087500194</v>
      </c>
      <c r="O88" s="15">
        <f t="shared" si="31"/>
        <v>575180.68000000343</v>
      </c>
    </row>
    <row r="89" spans="1:15" x14ac:dyDescent="0.15">
      <c r="A89">
        <f t="shared" si="42"/>
        <v>85</v>
      </c>
      <c r="B89">
        <f t="shared" si="32"/>
        <v>2114</v>
      </c>
      <c r="C89" s="21">
        <f t="shared" si="27"/>
        <v>35.218771761116237</v>
      </c>
      <c r="D89" s="17">
        <f t="shared" si="28"/>
        <v>34.828189894603241</v>
      </c>
      <c r="E89" s="22">
        <f t="shared" si="29"/>
        <v>105.68634327272729</v>
      </c>
      <c r="F89" s="23">
        <f t="shared" si="41"/>
        <v>105686343.27272728</v>
      </c>
      <c r="G89" s="15">
        <f t="shared" si="33"/>
        <v>283824</v>
      </c>
      <c r="H89" s="15">
        <f t="shared" si="37"/>
        <v>283824</v>
      </c>
      <c r="I89" s="16">
        <f t="shared" si="34"/>
        <v>0</v>
      </c>
      <c r="J89" s="15">
        <v>0</v>
      </c>
      <c r="K89" s="16">
        <f t="shared" si="38"/>
        <v>9.8850761686458704</v>
      </c>
      <c r="L89" s="64" t="e">
        <f t="shared" si="39"/>
        <v>#DIV/0!</v>
      </c>
      <c r="M89" s="16">
        <f t="shared" si="40"/>
        <v>9.8850761686458704</v>
      </c>
      <c r="N89" s="15">
        <f t="shared" si="36"/>
        <v>520267.16677083523</v>
      </c>
      <c r="O89" s="15">
        <f t="shared" si="31"/>
        <v>568587.03333333682</v>
      </c>
    </row>
    <row r="90" spans="1:15" x14ac:dyDescent="0.15">
      <c r="A90">
        <f t="shared" si="42"/>
        <v>86</v>
      </c>
      <c r="B90">
        <f t="shared" si="32"/>
        <v>2115</v>
      </c>
      <c r="C90" s="21">
        <f t="shared" si="27"/>
        <v>34.827140967147152</v>
      </c>
      <c r="D90" s="17">
        <f t="shared" si="28"/>
        <v>34.436556283706452</v>
      </c>
      <c r="E90" s="22">
        <f t="shared" si="29"/>
        <v>105.97016727272728</v>
      </c>
      <c r="F90" s="23">
        <f t="shared" si="41"/>
        <v>105970167.27272728</v>
      </c>
      <c r="G90" s="15">
        <f t="shared" si="33"/>
        <v>283824</v>
      </c>
      <c r="H90" s="15">
        <f t="shared" si="37"/>
        <v>283824</v>
      </c>
      <c r="I90" s="16">
        <f t="shared" si="34"/>
        <v>0</v>
      </c>
      <c r="J90" s="15">
        <v>0</v>
      </c>
      <c r="K90" s="16">
        <f t="shared" si="38"/>
        <v>9.7739211506667019</v>
      </c>
      <c r="L90" s="64" t="e">
        <f t="shared" si="39"/>
        <v>#DIV/0!</v>
      </c>
      <c r="M90" s="16">
        <f t="shared" si="40"/>
        <v>9.7739211506667019</v>
      </c>
      <c r="N90" s="15">
        <f t="shared" si="36"/>
        <v>514416.90266666852</v>
      </c>
      <c r="O90" s="15">
        <f t="shared" si="31"/>
        <v>561993.38666667021</v>
      </c>
    </row>
    <row r="91" spans="1:15" x14ac:dyDescent="0.15">
      <c r="A91">
        <f t="shared" si="42"/>
        <v>87</v>
      </c>
      <c r="B91">
        <f t="shared" si="32"/>
        <v>2116</v>
      </c>
      <c r="C91" s="21">
        <f t="shared" si="27"/>
        <v>34.435510158128977</v>
      </c>
      <c r="D91" s="17">
        <f t="shared" si="28"/>
        <v>34.044922672809683</v>
      </c>
      <c r="E91" s="22">
        <f t="shared" si="29"/>
        <v>106.25399127272728</v>
      </c>
      <c r="F91" s="23">
        <f t="shared" si="41"/>
        <v>106253991.27272728</v>
      </c>
      <c r="G91" s="15">
        <f t="shared" si="33"/>
        <v>283824</v>
      </c>
      <c r="H91" s="15">
        <f t="shared" si="37"/>
        <v>283824</v>
      </c>
      <c r="I91" s="16">
        <f t="shared" si="34"/>
        <v>0</v>
      </c>
      <c r="J91" s="15">
        <v>0</v>
      </c>
      <c r="K91" s="16">
        <f t="shared" si="38"/>
        <v>9.6627661326875351</v>
      </c>
      <c r="L91" s="64" t="e">
        <f t="shared" si="39"/>
        <v>#DIV/0!</v>
      </c>
      <c r="M91" s="16">
        <f t="shared" si="40"/>
        <v>9.6627661326875351</v>
      </c>
      <c r="N91" s="15">
        <f t="shared" ref="N91:N122" si="43">N90+(N$154-N$58)/96</f>
        <v>508566.63856250182</v>
      </c>
      <c r="O91" s="15">
        <f t="shared" si="31"/>
        <v>555399.7400000036</v>
      </c>
    </row>
    <row r="92" spans="1:15" x14ac:dyDescent="0.15">
      <c r="A92">
        <f t="shared" si="42"/>
        <v>88</v>
      </c>
      <c r="B92">
        <f t="shared" si="32"/>
        <v>2117</v>
      </c>
      <c r="C92" s="21">
        <f t="shared" si="27"/>
        <v>34.043879334182037</v>
      </c>
      <c r="D92" s="17">
        <f t="shared" si="28"/>
        <v>33.653289061912908</v>
      </c>
      <c r="E92" s="22">
        <f t="shared" si="29"/>
        <v>106.53781527272729</v>
      </c>
      <c r="F92" s="23">
        <f t="shared" si="41"/>
        <v>106537815.27272728</v>
      </c>
      <c r="G92" s="15">
        <f t="shared" si="33"/>
        <v>283824</v>
      </c>
      <c r="H92" s="15">
        <f t="shared" si="37"/>
        <v>283824</v>
      </c>
      <c r="I92" s="16">
        <f t="shared" si="34"/>
        <v>0</v>
      </c>
      <c r="J92" s="15">
        <v>0</v>
      </c>
      <c r="K92" s="16">
        <f t="shared" si="38"/>
        <v>9.5516111147083684</v>
      </c>
      <c r="L92" s="64" t="e">
        <f t="shared" si="39"/>
        <v>#DIV/0!</v>
      </c>
      <c r="M92" s="16">
        <f t="shared" si="40"/>
        <v>9.5516111147083684</v>
      </c>
      <c r="N92" s="15">
        <f t="shared" si="43"/>
        <v>502716.37445833511</v>
      </c>
      <c r="O92" s="15">
        <f t="shared" si="31"/>
        <v>548806.09333333699</v>
      </c>
    </row>
    <row r="93" spans="1:15" x14ac:dyDescent="0.15">
      <c r="A93">
        <f t="shared" si="42"/>
        <v>89</v>
      </c>
      <c r="B93">
        <f t="shared" si="32"/>
        <v>2118</v>
      </c>
      <c r="C93" s="21">
        <f t="shared" si="27"/>
        <v>33.652248495425297</v>
      </c>
      <c r="D93" s="17">
        <f t="shared" si="28"/>
        <v>33.261655451016118</v>
      </c>
      <c r="E93" s="22">
        <f t="shared" si="29"/>
        <v>106.82163927272728</v>
      </c>
      <c r="F93" s="23">
        <f t="shared" si="41"/>
        <v>106821639.27272728</v>
      </c>
      <c r="G93" s="15">
        <f t="shared" si="33"/>
        <v>283824</v>
      </c>
      <c r="H93" s="15">
        <f t="shared" si="37"/>
        <v>283824</v>
      </c>
      <c r="I93" s="16">
        <f t="shared" si="34"/>
        <v>0</v>
      </c>
      <c r="J93" s="15">
        <v>0</v>
      </c>
      <c r="K93" s="16">
        <f t="shared" si="38"/>
        <v>9.4404560967291999</v>
      </c>
      <c r="L93" s="64" t="e">
        <f t="shared" si="39"/>
        <v>#DIV/0!</v>
      </c>
      <c r="M93" s="16">
        <f t="shared" si="40"/>
        <v>9.4404560967291999</v>
      </c>
      <c r="N93" s="15">
        <f t="shared" si="43"/>
        <v>496866.1103541684</v>
      </c>
      <c r="O93" s="15">
        <f t="shared" si="31"/>
        <v>542212.44666667038</v>
      </c>
    </row>
    <row r="94" spans="1:15" x14ac:dyDescent="0.15">
      <c r="A94">
        <f t="shared" si="42"/>
        <v>90</v>
      </c>
      <c r="B94">
        <f t="shared" si="32"/>
        <v>2119</v>
      </c>
      <c r="C94" s="21">
        <f t="shared" si="27"/>
        <v>33.260617641976481</v>
      </c>
      <c r="D94" s="17">
        <f t="shared" si="28"/>
        <v>32.87002184011935</v>
      </c>
      <c r="E94" s="22">
        <f t="shared" si="29"/>
        <v>107.10546327272728</v>
      </c>
      <c r="F94" s="23">
        <f t="shared" si="41"/>
        <v>107105463.27272728</v>
      </c>
      <c r="G94" s="15">
        <f t="shared" si="33"/>
        <v>283824</v>
      </c>
      <c r="H94" s="15">
        <f t="shared" si="37"/>
        <v>283824</v>
      </c>
      <c r="I94" s="16">
        <f t="shared" si="34"/>
        <v>0</v>
      </c>
      <c r="J94" s="15">
        <v>0</v>
      </c>
      <c r="K94" s="16">
        <f t="shared" si="38"/>
        <v>9.3293010787500332</v>
      </c>
      <c r="L94" s="64" t="e">
        <f t="shared" si="39"/>
        <v>#DIV/0!</v>
      </c>
      <c r="M94" s="16">
        <f t="shared" si="40"/>
        <v>9.3293010787500332</v>
      </c>
      <c r="N94" s="15">
        <f t="shared" si="43"/>
        <v>491015.84625000169</v>
      </c>
      <c r="O94" s="15">
        <f t="shared" si="31"/>
        <v>535618.80000000377</v>
      </c>
    </row>
    <row r="95" spans="1:15" x14ac:dyDescent="0.15">
      <c r="A95">
        <f t="shared" si="42"/>
        <v>91</v>
      </c>
      <c r="B95">
        <f t="shared" si="32"/>
        <v>2120</v>
      </c>
      <c r="C95" s="21">
        <f t="shared" si="27"/>
        <v>32.868986773952116</v>
      </c>
      <c r="D95" s="17">
        <f t="shared" si="28"/>
        <v>32.47838822922256</v>
      </c>
      <c r="E95" s="22">
        <f t="shared" si="29"/>
        <v>107.38928727272729</v>
      </c>
      <c r="F95" s="23">
        <f t="shared" si="41"/>
        <v>107389287.27272728</v>
      </c>
      <c r="G95" s="15">
        <f t="shared" si="33"/>
        <v>283824</v>
      </c>
      <c r="H95" s="15">
        <f t="shared" si="37"/>
        <v>283824</v>
      </c>
      <c r="I95" s="16">
        <f t="shared" si="34"/>
        <v>0</v>
      </c>
      <c r="J95" s="15">
        <v>0</v>
      </c>
      <c r="K95" s="16">
        <f t="shared" si="38"/>
        <v>9.2181460607708647</v>
      </c>
      <c r="L95" s="64" t="e">
        <f t="shared" si="39"/>
        <v>#DIV/0!</v>
      </c>
      <c r="M95" s="16">
        <f t="shared" si="40"/>
        <v>9.2181460607708647</v>
      </c>
      <c r="N95" s="15">
        <f t="shared" si="43"/>
        <v>485165.58214583498</v>
      </c>
      <c r="O95" s="15">
        <f t="shared" si="31"/>
        <v>529025.15333333716</v>
      </c>
    </row>
    <row r="96" spans="1:15" x14ac:dyDescent="0.15">
      <c r="A96">
        <f t="shared" si="42"/>
        <v>92</v>
      </c>
      <c r="B96">
        <f t="shared" si="32"/>
        <v>2121</v>
      </c>
      <c r="C96" s="21">
        <f t="shared" si="27"/>
        <v>32.477355891467433</v>
      </c>
      <c r="D96" s="17">
        <f t="shared" si="28"/>
        <v>32.086754618325791</v>
      </c>
      <c r="E96" s="22">
        <f t="shared" si="29"/>
        <v>107.67311127272728</v>
      </c>
      <c r="F96" s="23">
        <f t="shared" si="41"/>
        <v>107673111.27272728</v>
      </c>
      <c r="G96" s="15">
        <f t="shared" si="33"/>
        <v>283824</v>
      </c>
      <c r="H96" s="15">
        <f t="shared" si="37"/>
        <v>283824</v>
      </c>
      <c r="I96" s="16">
        <f t="shared" si="34"/>
        <v>0</v>
      </c>
      <c r="J96" s="15">
        <v>0</v>
      </c>
      <c r="K96" s="16">
        <f t="shared" si="38"/>
        <v>9.106991042791698</v>
      </c>
      <c r="L96" s="64" t="e">
        <f t="shared" si="39"/>
        <v>#DIV/0!</v>
      </c>
      <c r="M96" s="16">
        <f t="shared" si="40"/>
        <v>9.106991042791698</v>
      </c>
      <c r="N96" s="15">
        <f t="shared" si="43"/>
        <v>479315.31804166827</v>
      </c>
      <c r="O96" s="15">
        <f t="shared" si="31"/>
        <v>522431.5066666705</v>
      </c>
    </row>
    <row r="97" spans="1:15" x14ac:dyDescent="0.15">
      <c r="A97">
        <f t="shared" si="42"/>
        <v>93</v>
      </c>
      <c r="B97">
        <f t="shared" si="32"/>
        <v>2122</v>
      </c>
      <c r="C97" s="21">
        <f t="shared" si="27"/>
        <v>32.085724994636507</v>
      </c>
      <c r="D97" s="17">
        <f t="shared" si="28"/>
        <v>31.695121007429009</v>
      </c>
      <c r="E97" s="22">
        <f t="shared" si="29"/>
        <v>107.95693527272728</v>
      </c>
      <c r="F97" s="23">
        <f t="shared" si="41"/>
        <v>107956935.27272728</v>
      </c>
      <c r="G97" s="15">
        <f t="shared" si="33"/>
        <v>283824</v>
      </c>
      <c r="H97" s="15">
        <f t="shared" si="37"/>
        <v>283824</v>
      </c>
      <c r="I97" s="16">
        <f t="shared" si="34"/>
        <v>0</v>
      </c>
      <c r="J97" s="15">
        <v>0</v>
      </c>
      <c r="K97" s="16">
        <f t="shared" si="38"/>
        <v>8.9958360248125295</v>
      </c>
      <c r="L97" s="64" t="e">
        <f t="shared" si="39"/>
        <v>#DIV/0!</v>
      </c>
      <c r="M97" s="16">
        <f t="shared" si="40"/>
        <v>8.9958360248125295</v>
      </c>
      <c r="N97" s="15">
        <f t="shared" si="43"/>
        <v>473465.05393750157</v>
      </c>
      <c r="O97" s="15">
        <f t="shared" si="31"/>
        <v>515837.86000000383</v>
      </c>
    </row>
    <row r="98" spans="1:15" x14ac:dyDescent="0.15">
      <c r="A98">
        <f t="shared" si="42"/>
        <v>94</v>
      </c>
      <c r="B98">
        <f t="shared" si="32"/>
        <v>2123</v>
      </c>
      <c r="C98" s="21">
        <f t="shared" si="27"/>
        <v>31.694094083572175</v>
      </c>
      <c r="D98" s="17">
        <f t="shared" si="28"/>
        <v>31.303487396532223</v>
      </c>
      <c r="E98" s="22">
        <f t="shared" si="29"/>
        <v>108.24075927272727</v>
      </c>
      <c r="F98" s="23">
        <f t="shared" si="41"/>
        <v>108240759.27272728</v>
      </c>
      <c r="G98" s="15">
        <f t="shared" si="33"/>
        <v>283824</v>
      </c>
      <c r="H98" s="15">
        <f t="shared" si="37"/>
        <v>283824</v>
      </c>
      <c r="I98" s="16">
        <f t="shared" si="34"/>
        <v>0</v>
      </c>
      <c r="J98" s="15">
        <v>0</v>
      </c>
      <c r="K98" s="16">
        <f t="shared" si="38"/>
        <v>8.884681006833361</v>
      </c>
      <c r="L98" s="64" t="e">
        <f t="shared" si="39"/>
        <v>#DIV/0!</v>
      </c>
      <c r="M98" s="16">
        <f t="shared" si="40"/>
        <v>8.884681006833361</v>
      </c>
      <c r="N98" s="15">
        <f t="shared" si="43"/>
        <v>467614.78983333486</v>
      </c>
      <c r="O98" s="15">
        <f t="shared" si="31"/>
        <v>509244.21333333716</v>
      </c>
    </row>
    <row r="99" spans="1:15" x14ac:dyDescent="0.15">
      <c r="A99">
        <f t="shared" si="42"/>
        <v>95</v>
      </c>
      <c r="B99">
        <f t="shared" si="32"/>
        <v>2124</v>
      </c>
      <c r="C99" s="21">
        <f t="shared" si="27"/>
        <v>31.302463158386111</v>
      </c>
      <c r="D99" s="17">
        <f t="shared" si="28"/>
        <v>30.911853785635444</v>
      </c>
      <c r="E99" s="22">
        <f t="shared" si="29"/>
        <v>108.52458327272728</v>
      </c>
      <c r="F99" s="23">
        <f t="shared" si="41"/>
        <v>108524583.27272728</v>
      </c>
      <c r="G99" s="15">
        <f t="shared" si="33"/>
        <v>283824</v>
      </c>
      <c r="H99" s="15">
        <f t="shared" si="37"/>
        <v>283824</v>
      </c>
      <c r="I99" s="16">
        <f t="shared" si="34"/>
        <v>0</v>
      </c>
      <c r="J99" s="15">
        <v>0</v>
      </c>
      <c r="K99" s="16">
        <f t="shared" si="38"/>
        <v>8.7735259888541943</v>
      </c>
      <c r="L99" s="64" t="e">
        <f t="shared" si="39"/>
        <v>#DIV/0!</v>
      </c>
      <c r="M99" s="16">
        <f t="shared" si="40"/>
        <v>8.7735259888541943</v>
      </c>
      <c r="N99" s="15">
        <f t="shared" si="43"/>
        <v>461764.52572916815</v>
      </c>
      <c r="O99" s="15">
        <f t="shared" si="31"/>
        <v>502650.56666667049</v>
      </c>
    </row>
    <row r="100" spans="1:15" x14ac:dyDescent="0.15">
      <c r="A100">
        <f t="shared" si="42"/>
        <v>96</v>
      </c>
      <c r="B100">
        <f t="shared" si="32"/>
        <v>2125</v>
      </c>
      <c r="C100" s="21">
        <f t="shared" si="27"/>
        <v>30.910832219188833</v>
      </c>
      <c r="D100" s="17">
        <f t="shared" si="28"/>
        <v>30.520220174738665</v>
      </c>
      <c r="E100" s="22">
        <f t="shared" si="29"/>
        <v>108.80840727272728</v>
      </c>
      <c r="F100" s="23">
        <f t="shared" si="41"/>
        <v>108808407.27272728</v>
      </c>
      <c r="G100" s="15">
        <f t="shared" si="33"/>
        <v>283824</v>
      </c>
      <c r="H100" s="15">
        <f t="shared" si="37"/>
        <v>283824</v>
      </c>
      <c r="I100" s="16">
        <f t="shared" si="34"/>
        <v>0</v>
      </c>
      <c r="J100" s="15">
        <v>0</v>
      </c>
      <c r="K100" s="16">
        <f t="shared" si="38"/>
        <v>8.6623709708750258</v>
      </c>
      <c r="L100" s="64" t="e">
        <f t="shared" si="39"/>
        <v>#DIV/0!</v>
      </c>
      <c r="M100" s="16">
        <f t="shared" si="40"/>
        <v>8.6623709708750258</v>
      </c>
      <c r="N100" s="15">
        <f t="shared" si="43"/>
        <v>455914.26162500144</v>
      </c>
      <c r="O100" s="15">
        <f t="shared" si="31"/>
        <v>496056.92000000383</v>
      </c>
    </row>
    <row r="101" spans="1:15" x14ac:dyDescent="0.15">
      <c r="A101">
        <f t="shared" si="42"/>
        <v>97</v>
      </c>
      <c r="B101">
        <f t="shared" si="32"/>
        <v>2126</v>
      </c>
      <c r="C101" s="21">
        <f t="shared" ref="C101:C154" si="44">(D101*G101+D100*F100)/F101</f>
        <v>30.519201266089695</v>
      </c>
      <c r="D101" s="17">
        <f t="shared" ref="D101:D154" si="45">(K101+I101)*1000/G101*1000</f>
        <v>30.128586563841882</v>
      </c>
      <c r="E101" s="22">
        <f t="shared" ref="E101:E154" si="46">F101/1000000</f>
        <v>109.09223127272728</v>
      </c>
      <c r="F101" s="23">
        <f t="shared" si="41"/>
        <v>109092231.27272728</v>
      </c>
      <c r="G101" s="15">
        <f t="shared" ref="G101:G154" si="47">H101+J101</f>
        <v>283824</v>
      </c>
      <c r="H101" s="15">
        <f t="shared" si="37"/>
        <v>283824</v>
      </c>
      <c r="I101" s="16">
        <f t="shared" ref="I101:I154" si="48">J101*1000*$Q$4/1000000000</f>
        <v>0</v>
      </c>
      <c r="J101" s="15">
        <v>0</v>
      </c>
      <c r="K101" s="16">
        <f t="shared" si="38"/>
        <v>8.5512159528958591</v>
      </c>
      <c r="L101" s="64" t="e">
        <f t="shared" si="39"/>
        <v>#DIV/0!</v>
      </c>
      <c r="M101" s="16">
        <f t="shared" si="40"/>
        <v>8.5512159528958591</v>
      </c>
      <c r="N101" s="15">
        <f t="shared" si="43"/>
        <v>450063.99752083473</v>
      </c>
      <c r="O101" s="15">
        <f t="shared" ref="O101:O153" si="49">O100+(O$154-O$4)/150</f>
        <v>489463.27333333716</v>
      </c>
    </row>
    <row r="102" spans="1:15" x14ac:dyDescent="0.15">
      <c r="A102">
        <f t="shared" si="42"/>
        <v>98</v>
      </c>
      <c r="B102">
        <f t="shared" ref="B102:B131" si="50">B101+1</f>
        <v>2127</v>
      </c>
      <c r="C102" s="21">
        <f t="shared" si="44"/>
        <v>30.127570299196918</v>
      </c>
      <c r="D102" s="17">
        <f t="shared" si="45"/>
        <v>29.736952952945106</v>
      </c>
      <c r="E102" s="22">
        <f t="shared" si="46"/>
        <v>109.37605527272729</v>
      </c>
      <c r="F102" s="23">
        <f t="shared" si="41"/>
        <v>109376055.27272728</v>
      </c>
      <c r="G102" s="15">
        <f t="shared" si="47"/>
        <v>283824</v>
      </c>
      <c r="H102" s="15">
        <f t="shared" si="37"/>
        <v>283824</v>
      </c>
      <c r="I102" s="16">
        <f t="shared" si="48"/>
        <v>0</v>
      </c>
      <c r="J102" s="15">
        <v>0</v>
      </c>
      <c r="K102" s="16">
        <f t="shared" si="38"/>
        <v>8.4400609349166924</v>
      </c>
      <c r="L102" s="64" t="e">
        <f t="shared" si="39"/>
        <v>#DIV/0!</v>
      </c>
      <c r="M102" s="16">
        <f t="shared" si="40"/>
        <v>8.4400609349166924</v>
      </c>
      <c r="N102" s="15">
        <f t="shared" si="43"/>
        <v>444213.73341666802</v>
      </c>
      <c r="O102" s="15">
        <f t="shared" si="49"/>
        <v>482869.62666667049</v>
      </c>
    </row>
    <row r="103" spans="1:15" x14ac:dyDescent="0.15">
      <c r="A103">
        <f t="shared" si="42"/>
        <v>99</v>
      </c>
      <c r="B103">
        <f t="shared" si="50"/>
        <v>2128</v>
      </c>
      <c r="C103" s="21">
        <f t="shared" si="44"/>
        <v>29.735939318617618</v>
      </c>
      <c r="D103" s="17">
        <f t="shared" si="45"/>
        <v>29.345319342048327</v>
      </c>
      <c r="E103" s="22">
        <f t="shared" si="46"/>
        <v>109.65987927272728</v>
      </c>
      <c r="F103" s="23">
        <f t="shared" si="41"/>
        <v>109659879.27272728</v>
      </c>
      <c r="G103" s="15">
        <f t="shared" si="47"/>
        <v>283824</v>
      </c>
      <c r="H103" s="15">
        <f t="shared" si="37"/>
        <v>283824</v>
      </c>
      <c r="I103" s="16">
        <f t="shared" si="48"/>
        <v>0</v>
      </c>
      <c r="J103" s="15">
        <v>0</v>
      </c>
      <c r="K103" s="16">
        <f t="shared" si="38"/>
        <v>8.3289059169375257</v>
      </c>
      <c r="L103" s="64" t="e">
        <f t="shared" si="39"/>
        <v>#DIV/0!</v>
      </c>
      <c r="M103" s="16">
        <f t="shared" si="40"/>
        <v>8.3289059169375257</v>
      </c>
      <c r="N103" s="15">
        <f t="shared" si="43"/>
        <v>438363.46931250131</v>
      </c>
      <c r="O103" s="15">
        <f t="shared" si="49"/>
        <v>476275.98000000382</v>
      </c>
    </row>
    <row r="104" spans="1:15" x14ac:dyDescent="0.15">
      <c r="A104">
        <f t="shared" si="42"/>
        <v>100</v>
      </c>
      <c r="B104">
        <f t="shared" si="50"/>
        <v>2129</v>
      </c>
      <c r="C104" s="21">
        <f t="shared" si="44"/>
        <v>29.344308324457771</v>
      </c>
      <c r="D104" s="17">
        <f t="shared" si="45"/>
        <v>28.953685731151545</v>
      </c>
      <c r="E104" s="22">
        <f t="shared" si="46"/>
        <v>109.94370327272728</v>
      </c>
      <c r="F104" s="23">
        <f t="shared" si="41"/>
        <v>109943703.27272728</v>
      </c>
      <c r="G104" s="15">
        <f t="shared" si="47"/>
        <v>283824</v>
      </c>
      <c r="H104" s="15">
        <f t="shared" si="37"/>
        <v>283824</v>
      </c>
      <c r="I104" s="16">
        <f t="shared" si="48"/>
        <v>0</v>
      </c>
      <c r="J104" s="15">
        <v>0</v>
      </c>
      <c r="K104" s="16">
        <f t="shared" si="38"/>
        <v>8.2177508989583572</v>
      </c>
      <c r="L104" s="64" t="e">
        <f t="shared" si="39"/>
        <v>#DIV/0!</v>
      </c>
      <c r="M104" s="16">
        <f t="shared" si="40"/>
        <v>8.2177508989583572</v>
      </c>
      <c r="N104" s="15">
        <f t="shared" si="43"/>
        <v>432513.20520833461</v>
      </c>
      <c r="O104" s="15">
        <f t="shared" si="49"/>
        <v>469682.33333333716</v>
      </c>
    </row>
    <row r="105" spans="1:15" x14ac:dyDescent="0.15">
      <c r="A105">
        <f t="shared" si="42"/>
        <v>101</v>
      </c>
      <c r="B105">
        <f t="shared" si="50"/>
        <v>2130</v>
      </c>
      <c r="C105" s="21">
        <f t="shared" si="44"/>
        <v>28.952677316822296</v>
      </c>
      <c r="D105" s="17">
        <f t="shared" si="45"/>
        <v>28.562052120254773</v>
      </c>
      <c r="E105" s="22">
        <f t="shared" si="46"/>
        <v>110.22752727272729</v>
      </c>
      <c r="F105" s="23">
        <f t="shared" si="41"/>
        <v>110227527.27272728</v>
      </c>
      <c r="G105" s="15">
        <f t="shared" si="47"/>
        <v>283824</v>
      </c>
      <c r="H105" s="15">
        <f t="shared" si="37"/>
        <v>283824</v>
      </c>
      <c r="I105" s="16">
        <f t="shared" si="48"/>
        <v>0</v>
      </c>
      <c r="J105" s="15">
        <v>0</v>
      </c>
      <c r="K105" s="16">
        <f t="shared" si="38"/>
        <v>8.1065958809791905</v>
      </c>
      <c r="L105" s="64" t="e">
        <f t="shared" si="39"/>
        <v>#DIV/0!</v>
      </c>
      <c r="M105" s="16">
        <f t="shared" si="40"/>
        <v>8.1065958809791905</v>
      </c>
      <c r="N105" s="15">
        <f t="shared" si="43"/>
        <v>426662.9411041679</v>
      </c>
      <c r="O105" s="15">
        <f t="shared" si="49"/>
        <v>463088.68666667049</v>
      </c>
    </row>
    <row r="106" spans="1:15" x14ac:dyDescent="0.15">
      <c r="A106">
        <f t="shared" si="42"/>
        <v>102</v>
      </c>
      <c r="B106">
        <f t="shared" si="50"/>
        <v>2131</v>
      </c>
      <c r="C106" s="21">
        <f t="shared" si="44"/>
        <v>28.561046295815025</v>
      </c>
      <c r="D106" s="17">
        <f t="shared" si="45"/>
        <v>28.17041850935799</v>
      </c>
      <c r="E106" s="22">
        <f t="shared" si="46"/>
        <v>110.51135127272728</v>
      </c>
      <c r="F106" s="23">
        <f t="shared" si="41"/>
        <v>110511351.27272728</v>
      </c>
      <c r="G106" s="15">
        <f t="shared" si="47"/>
        <v>283824</v>
      </c>
      <c r="H106" s="15">
        <f t="shared" si="37"/>
        <v>283824</v>
      </c>
      <c r="I106" s="16">
        <f t="shared" si="48"/>
        <v>0</v>
      </c>
      <c r="J106" s="15">
        <v>0</v>
      </c>
      <c r="K106" s="16">
        <f t="shared" si="38"/>
        <v>7.995440863000022</v>
      </c>
      <c r="L106" s="64" t="e">
        <f t="shared" si="39"/>
        <v>#DIV/0!</v>
      </c>
      <c r="M106" s="16">
        <f t="shared" si="40"/>
        <v>7.995440863000022</v>
      </c>
      <c r="N106" s="15">
        <f t="shared" si="43"/>
        <v>420812.67700000119</v>
      </c>
      <c r="O106" s="15">
        <f t="shared" si="49"/>
        <v>456495.04000000382</v>
      </c>
    </row>
    <row r="107" spans="1:15" x14ac:dyDescent="0.15">
      <c r="A107">
        <f t="shared" si="42"/>
        <v>103</v>
      </c>
      <c r="B107">
        <f t="shared" si="50"/>
        <v>2132</v>
      </c>
      <c r="C107" s="21">
        <f t="shared" si="44"/>
        <v>28.16941526153871</v>
      </c>
      <c r="D107" s="17">
        <f t="shared" si="45"/>
        <v>27.778784898461211</v>
      </c>
      <c r="E107" s="22">
        <f t="shared" si="46"/>
        <v>110.79517527272728</v>
      </c>
      <c r="F107" s="23">
        <f t="shared" si="41"/>
        <v>110795175.27272728</v>
      </c>
      <c r="G107" s="15">
        <f t="shared" si="47"/>
        <v>283824</v>
      </c>
      <c r="H107" s="15">
        <f t="shared" si="37"/>
        <v>283824</v>
      </c>
      <c r="I107" s="16">
        <f t="shared" si="48"/>
        <v>0</v>
      </c>
      <c r="J107" s="15">
        <v>0</v>
      </c>
      <c r="K107" s="16">
        <f t="shared" si="38"/>
        <v>7.8842858450208553</v>
      </c>
      <c r="L107" s="64" t="e">
        <f t="shared" si="39"/>
        <v>#DIV/0!</v>
      </c>
      <c r="M107" s="16">
        <f t="shared" si="40"/>
        <v>7.8842858450208553</v>
      </c>
      <c r="N107" s="15">
        <f t="shared" si="43"/>
        <v>414962.41289583448</v>
      </c>
      <c r="O107" s="15">
        <f t="shared" si="49"/>
        <v>449901.39333333715</v>
      </c>
    </row>
    <row r="108" spans="1:15" x14ac:dyDescent="0.15">
      <c r="A108">
        <f t="shared" si="42"/>
        <v>104</v>
      </c>
      <c r="B108">
        <f t="shared" si="50"/>
        <v>2133</v>
      </c>
      <c r="C108" s="21">
        <f t="shared" si="44"/>
        <v>27.777784214095067</v>
      </c>
      <c r="D108" s="17">
        <f t="shared" si="45"/>
        <v>27.387151287564432</v>
      </c>
      <c r="E108" s="22">
        <f t="shared" si="46"/>
        <v>111.07899927272729</v>
      </c>
      <c r="F108" s="23">
        <f t="shared" si="41"/>
        <v>111078999.27272728</v>
      </c>
      <c r="G108" s="15">
        <f t="shared" si="47"/>
        <v>283824</v>
      </c>
      <c r="H108" s="15">
        <f t="shared" si="37"/>
        <v>283824</v>
      </c>
      <c r="I108" s="16">
        <f t="shared" si="48"/>
        <v>0</v>
      </c>
      <c r="J108" s="15">
        <v>0</v>
      </c>
      <c r="K108" s="16">
        <f t="shared" si="38"/>
        <v>7.7731308270416877</v>
      </c>
      <c r="L108" s="64" t="e">
        <f t="shared" si="39"/>
        <v>#DIV/0!</v>
      </c>
      <c r="M108" s="16">
        <f t="shared" si="40"/>
        <v>7.7731308270416877</v>
      </c>
      <c r="N108" s="15">
        <f t="shared" si="43"/>
        <v>409112.14879166777</v>
      </c>
      <c r="O108" s="15">
        <f t="shared" si="49"/>
        <v>443307.74666667049</v>
      </c>
    </row>
    <row r="109" spans="1:15" x14ac:dyDescent="0.15">
      <c r="A109">
        <f t="shared" si="42"/>
        <v>105</v>
      </c>
      <c r="B109">
        <f t="shared" si="50"/>
        <v>2134</v>
      </c>
      <c r="C109" s="21">
        <f t="shared" si="44"/>
        <v>27.386153153584775</v>
      </c>
      <c r="D109" s="17">
        <f t="shared" si="45"/>
        <v>26.995517676667653</v>
      </c>
      <c r="E109" s="22">
        <f t="shared" si="46"/>
        <v>111.36282327272728</v>
      </c>
      <c r="F109" s="23">
        <f t="shared" si="41"/>
        <v>111362823.27272728</v>
      </c>
      <c r="G109" s="15">
        <f t="shared" si="47"/>
        <v>283824</v>
      </c>
      <c r="H109" s="15">
        <f t="shared" si="37"/>
        <v>283824</v>
      </c>
      <c r="I109" s="16">
        <f t="shared" si="48"/>
        <v>0</v>
      </c>
      <c r="J109" s="15">
        <v>0</v>
      </c>
      <c r="K109" s="16">
        <f t="shared" si="38"/>
        <v>7.6619758090625201</v>
      </c>
      <c r="L109" s="64" t="e">
        <f t="shared" si="39"/>
        <v>#DIV/0!</v>
      </c>
      <c r="M109" s="16">
        <f t="shared" si="40"/>
        <v>7.6619758090625201</v>
      </c>
      <c r="N109" s="15">
        <f t="shared" si="43"/>
        <v>403261.88468750106</v>
      </c>
      <c r="O109" s="15">
        <f t="shared" si="49"/>
        <v>436714.10000000382</v>
      </c>
    </row>
    <row r="110" spans="1:15" x14ac:dyDescent="0.15">
      <c r="A110">
        <f t="shared" si="42"/>
        <v>106</v>
      </c>
      <c r="B110">
        <f t="shared" si="50"/>
        <v>2135</v>
      </c>
      <c r="C110" s="21">
        <f t="shared" si="44"/>
        <v>26.994522080107483</v>
      </c>
      <c r="D110" s="17">
        <f t="shared" si="45"/>
        <v>26.603884065770874</v>
      </c>
      <c r="E110" s="22">
        <f t="shared" si="46"/>
        <v>111.64664727272728</v>
      </c>
      <c r="F110" s="23">
        <f t="shared" si="41"/>
        <v>111646647.27272728</v>
      </c>
      <c r="G110" s="15">
        <f t="shared" si="47"/>
        <v>283824</v>
      </c>
      <c r="H110" s="15">
        <f t="shared" si="37"/>
        <v>283824</v>
      </c>
      <c r="I110" s="16">
        <f t="shared" si="48"/>
        <v>0</v>
      </c>
      <c r="J110" s="15">
        <v>0</v>
      </c>
      <c r="K110" s="16">
        <f t="shared" si="38"/>
        <v>7.5508207910833525</v>
      </c>
      <c r="L110" s="64" t="e">
        <f t="shared" si="39"/>
        <v>#DIV/0!</v>
      </c>
      <c r="M110" s="16">
        <f t="shared" si="40"/>
        <v>7.5508207910833525</v>
      </c>
      <c r="N110" s="15">
        <f t="shared" si="43"/>
        <v>397411.62058333436</v>
      </c>
      <c r="O110" s="15">
        <f t="shared" si="49"/>
        <v>430120.45333333715</v>
      </c>
    </row>
    <row r="111" spans="1:15" x14ac:dyDescent="0.15">
      <c r="A111">
        <f t="shared" si="42"/>
        <v>107</v>
      </c>
      <c r="B111">
        <f t="shared" si="50"/>
        <v>2136</v>
      </c>
      <c r="C111" s="21">
        <f t="shared" si="44"/>
        <v>26.602890993761836</v>
      </c>
      <c r="D111" s="17">
        <f t="shared" si="45"/>
        <v>26.212250454874095</v>
      </c>
      <c r="E111" s="22">
        <f t="shared" si="46"/>
        <v>111.93047127272727</v>
      </c>
      <c r="F111" s="23">
        <f t="shared" si="41"/>
        <v>111930471.27272728</v>
      </c>
      <c r="G111" s="15">
        <f t="shared" si="47"/>
        <v>283824</v>
      </c>
      <c r="H111" s="15">
        <f t="shared" si="37"/>
        <v>283824</v>
      </c>
      <c r="I111" s="16">
        <f t="shared" si="48"/>
        <v>0</v>
      </c>
      <c r="J111" s="15">
        <v>0</v>
      </c>
      <c r="K111" s="16">
        <f t="shared" si="38"/>
        <v>7.4396657731041849</v>
      </c>
      <c r="L111" s="64" t="e">
        <f t="shared" si="39"/>
        <v>#DIV/0!</v>
      </c>
      <c r="M111" s="16">
        <f t="shared" si="40"/>
        <v>7.4396657731041849</v>
      </c>
      <c r="N111" s="15">
        <f t="shared" si="43"/>
        <v>391561.35647916765</v>
      </c>
      <c r="O111" s="15">
        <f t="shared" si="49"/>
        <v>423526.80666667048</v>
      </c>
    </row>
    <row r="112" spans="1:15" x14ac:dyDescent="0.15">
      <c r="A112">
        <f t="shared" si="42"/>
        <v>108</v>
      </c>
      <c r="B112">
        <f t="shared" si="50"/>
        <v>2137</v>
      </c>
      <c r="C112" s="21">
        <f t="shared" si="44"/>
        <v>26.21125989464548</v>
      </c>
      <c r="D112" s="17">
        <f t="shared" si="45"/>
        <v>25.820616843977319</v>
      </c>
      <c r="E112" s="22">
        <f t="shared" si="46"/>
        <v>112.21429527272728</v>
      </c>
      <c r="F112" s="23">
        <f t="shared" si="41"/>
        <v>112214295.27272728</v>
      </c>
      <c r="G112" s="15">
        <f t="shared" si="47"/>
        <v>283824</v>
      </c>
      <c r="H112" s="15">
        <f t="shared" si="37"/>
        <v>283824</v>
      </c>
      <c r="I112" s="16">
        <f t="shared" si="48"/>
        <v>0</v>
      </c>
      <c r="J112" s="15">
        <v>0</v>
      </c>
      <c r="K112" s="16">
        <f t="shared" si="38"/>
        <v>7.3285107551250182</v>
      </c>
      <c r="L112" s="64" t="e">
        <f t="shared" si="39"/>
        <v>#DIV/0!</v>
      </c>
      <c r="M112" s="16">
        <f t="shared" si="40"/>
        <v>7.3285107551250182</v>
      </c>
      <c r="N112" s="15">
        <f t="shared" si="43"/>
        <v>385711.09237500094</v>
      </c>
      <c r="O112" s="15">
        <f t="shared" si="49"/>
        <v>416933.16000000382</v>
      </c>
    </row>
    <row r="113" spans="1:15" x14ac:dyDescent="0.15">
      <c r="A113">
        <f t="shared" si="42"/>
        <v>109</v>
      </c>
      <c r="B113">
        <f t="shared" si="50"/>
        <v>2138</v>
      </c>
      <c r="C113" s="21">
        <f t="shared" si="44"/>
        <v>25.819628782855073</v>
      </c>
      <c r="D113" s="17">
        <f t="shared" si="45"/>
        <v>25.42898323308054</v>
      </c>
      <c r="E113" s="22">
        <f t="shared" si="46"/>
        <v>112.49811927272728</v>
      </c>
      <c r="F113" s="23">
        <f t="shared" si="41"/>
        <v>112498119.27272728</v>
      </c>
      <c r="G113" s="15">
        <f t="shared" si="47"/>
        <v>283824</v>
      </c>
      <c r="H113" s="15">
        <f t="shared" si="37"/>
        <v>283824</v>
      </c>
      <c r="I113" s="16">
        <f t="shared" si="48"/>
        <v>0</v>
      </c>
      <c r="J113" s="15">
        <v>0</v>
      </c>
      <c r="K113" s="16">
        <f t="shared" si="38"/>
        <v>7.2173557371458505</v>
      </c>
      <c r="L113" s="64" t="e">
        <f t="shared" si="39"/>
        <v>#DIV/0!</v>
      </c>
      <c r="M113" s="16">
        <f t="shared" si="40"/>
        <v>7.2173557371458505</v>
      </c>
      <c r="N113" s="15">
        <f t="shared" si="43"/>
        <v>379860.82827083423</v>
      </c>
      <c r="O113" s="15">
        <f t="shared" si="49"/>
        <v>410339.51333333715</v>
      </c>
    </row>
    <row r="114" spans="1:15" x14ac:dyDescent="0.15">
      <c r="A114">
        <f t="shared" si="42"/>
        <v>110</v>
      </c>
      <c r="B114">
        <f t="shared" si="50"/>
        <v>2139</v>
      </c>
      <c r="C114" s="21">
        <f t="shared" si="44"/>
        <v>25.427997658486298</v>
      </c>
      <c r="D114" s="17">
        <f t="shared" si="45"/>
        <v>25.037349622183758</v>
      </c>
      <c r="E114" s="22">
        <f t="shared" si="46"/>
        <v>112.78194327272728</v>
      </c>
      <c r="F114" s="23">
        <f t="shared" si="41"/>
        <v>112781943.27272728</v>
      </c>
      <c r="G114" s="15">
        <f t="shared" si="47"/>
        <v>283824</v>
      </c>
      <c r="H114" s="15">
        <f t="shared" si="37"/>
        <v>283824</v>
      </c>
      <c r="I114" s="16">
        <f t="shared" si="48"/>
        <v>0</v>
      </c>
      <c r="J114" s="15">
        <v>0</v>
      </c>
      <c r="K114" s="16">
        <f t="shared" si="38"/>
        <v>7.1062007191666829</v>
      </c>
      <c r="L114" s="64" t="e">
        <f t="shared" si="39"/>
        <v>#DIV/0!</v>
      </c>
      <c r="M114" s="16">
        <f t="shared" si="40"/>
        <v>7.1062007191666829</v>
      </c>
      <c r="N114" s="15">
        <f t="shared" si="43"/>
        <v>374010.56416666752</v>
      </c>
      <c r="O114" s="15">
        <f t="shared" si="49"/>
        <v>403745.86666667048</v>
      </c>
    </row>
    <row r="115" spans="1:15" x14ac:dyDescent="0.15">
      <c r="A115">
        <f t="shared" si="42"/>
        <v>111</v>
      </c>
      <c r="B115">
        <f t="shared" si="50"/>
        <v>2140</v>
      </c>
      <c r="C115" s="21">
        <f t="shared" si="44"/>
        <v>25.036366521633873</v>
      </c>
      <c r="D115" s="17">
        <f t="shared" si="45"/>
        <v>24.645716011286975</v>
      </c>
      <c r="E115" s="22">
        <f t="shared" si="46"/>
        <v>113.06576727272729</v>
      </c>
      <c r="F115" s="23">
        <f t="shared" si="41"/>
        <v>113065767.27272728</v>
      </c>
      <c r="G115" s="15">
        <f t="shared" si="47"/>
        <v>283824</v>
      </c>
      <c r="H115" s="15">
        <f t="shared" si="37"/>
        <v>283824</v>
      </c>
      <c r="I115" s="16">
        <f t="shared" si="48"/>
        <v>0</v>
      </c>
      <c r="J115" s="15">
        <v>0</v>
      </c>
      <c r="K115" s="16">
        <f t="shared" si="38"/>
        <v>6.9950457011875153</v>
      </c>
      <c r="L115" s="64" t="e">
        <f t="shared" si="39"/>
        <v>#DIV/0!</v>
      </c>
      <c r="M115" s="16">
        <f t="shared" si="40"/>
        <v>6.9950457011875153</v>
      </c>
      <c r="N115" s="15">
        <f t="shared" si="43"/>
        <v>368160.30006250081</v>
      </c>
      <c r="O115" s="15">
        <f t="shared" si="49"/>
        <v>397152.22000000381</v>
      </c>
    </row>
    <row r="116" spans="1:15" x14ac:dyDescent="0.15">
      <c r="A116">
        <f t="shared" si="42"/>
        <v>112</v>
      </c>
      <c r="B116">
        <f t="shared" si="50"/>
        <v>2141</v>
      </c>
      <c r="C116" s="21">
        <f t="shared" si="44"/>
        <v>24.644735372391583</v>
      </c>
      <c r="D116" s="17">
        <f t="shared" si="45"/>
        <v>24.2540824003902</v>
      </c>
      <c r="E116" s="22">
        <f t="shared" si="46"/>
        <v>113.34959127272728</v>
      </c>
      <c r="F116" s="23">
        <f t="shared" si="41"/>
        <v>113349591.27272728</v>
      </c>
      <c r="G116" s="15">
        <f t="shared" si="47"/>
        <v>283824</v>
      </c>
      <c r="H116" s="15">
        <f t="shared" si="37"/>
        <v>283824</v>
      </c>
      <c r="I116" s="16">
        <f t="shared" si="48"/>
        <v>0</v>
      </c>
      <c r="J116" s="15">
        <v>0</v>
      </c>
      <c r="K116" s="16">
        <f t="shared" si="38"/>
        <v>6.8838906832083486</v>
      </c>
      <c r="L116" s="64" t="e">
        <f t="shared" si="39"/>
        <v>#DIV/0!</v>
      </c>
      <c r="M116" s="16">
        <f t="shared" si="40"/>
        <v>6.8838906832083486</v>
      </c>
      <c r="N116" s="15">
        <f t="shared" si="43"/>
        <v>362310.03595833411</v>
      </c>
      <c r="O116" s="15">
        <f t="shared" si="49"/>
        <v>390558.57333333715</v>
      </c>
    </row>
    <row r="117" spans="1:15" x14ac:dyDescent="0.15">
      <c r="A117">
        <f t="shared" si="42"/>
        <v>113</v>
      </c>
      <c r="B117">
        <f t="shared" si="50"/>
        <v>2142</v>
      </c>
      <c r="C117" s="21">
        <f t="shared" si="44"/>
        <v>24.253104210852271</v>
      </c>
      <c r="D117" s="17">
        <f t="shared" si="45"/>
        <v>23.862448789493424</v>
      </c>
      <c r="E117" s="22">
        <f t="shared" si="46"/>
        <v>113.63341527272728</v>
      </c>
      <c r="F117" s="23">
        <f t="shared" si="41"/>
        <v>113633415.27272728</v>
      </c>
      <c r="G117" s="15">
        <f t="shared" si="47"/>
        <v>283824</v>
      </c>
      <c r="H117" s="15">
        <f t="shared" si="37"/>
        <v>283824</v>
      </c>
      <c r="I117" s="16">
        <f t="shared" si="48"/>
        <v>0</v>
      </c>
      <c r="J117" s="15">
        <v>0</v>
      </c>
      <c r="K117" s="16">
        <f t="shared" si="38"/>
        <v>6.772735665229181</v>
      </c>
      <c r="L117" s="64" t="e">
        <f t="shared" si="39"/>
        <v>#DIV/0!</v>
      </c>
      <c r="M117" s="16">
        <f t="shared" si="40"/>
        <v>6.772735665229181</v>
      </c>
      <c r="N117" s="15">
        <f t="shared" si="43"/>
        <v>356459.7718541674</v>
      </c>
      <c r="O117" s="15">
        <f t="shared" si="49"/>
        <v>383964.92666667048</v>
      </c>
    </row>
    <row r="118" spans="1:15" x14ac:dyDescent="0.15">
      <c r="A118">
        <f t="shared" si="42"/>
        <v>114</v>
      </c>
      <c r="B118">
        <f t="shared" si="50"/>
        <v>2143</v>
      </c>
      <c r="C118" s="21">
        <f t="shared" si="44"/>
        <v>23.861473037107842</v>
      </c>
      <c r="D118" s="17">
        <f t="shared" si="45"/>
        <v>23.470815178596645</v>
      </c>
      <c r="E118" s="22">
        <f t="shared" si="46"/>
        <v>113.91723927272729</v>
      </c>
      <c r="F118" s="23">
        <f t="shared" si="41"/>
        <v>113917239.27272728</v>
      </c>
      <c r="G118" s="15">
        <f t="shared" si="47"/>
        <v>283824</v>
      </c>
      <c r="H118" s="15">
        <f t="shared" si="37"/>
        <v>283824</v>
      </c>
      <c r="I118" s="16">
        <f t="shared" si="48"/>
        <v>0</v>
      </c>
      <c r="J118" s="15">
        <v>0</v>
      </c>
      <c r="K118" s="16">
        <f t="shared" si="38"/>
        <v>6.6615806472500134</v>
      </c>
      <c r="L118" s="64" t="e">
        <f t="shared" si="39"/>
        <v>#DIV/0!</v>
      </c>
      <c r="M118" s="16">
        <f t="shared" si="40"/>
        <v>6.6615806472500134</v>
      </c>
      <c r="N118" s="15">
        <f t="shared" si="43"/>
        <v>350609.50775000069</v>
      </c>
      <c r="O118" s="15">
        <f t="shared" si="49"/>
        <v>377371.28000000381</v>
      </c>
    </row>
    <row r="119" spans="1:15" x14ac:dyDescent="0.15">
      <c r="A119">
        <f t="shared" si="42"/>
        <v>115</v>
      </c>
      <c r="B119">
        <f t="shared" si="50"/>
        <v>2144</v>
      </c>
      <c r="C119" s="21">
        <f t="shared" si="44"/>
        <v>23.469841851249303</v>
      </c>
      <c r="D119" s="17">
        <f t="shared" si="45"/>
        <v>23.079181567699862</v>
      </c>
      <c r="E119" s="22">
        <f t="shared" si="46"/>
        <v>114.20106327272728</v>
      </c>
      <c r="F119" s="23">
        <f t="shared" si="41"/>
        <v>114201063.27272728</v>
      </c>
      <c r="G119" s="15">
        <f t="shared" si="47"/>
        <v>283824</v>
      </c>
      <c r="H119" s="15">
        <f t="shared" si="37"/>
        <v>283824</v>
      </c>
      <c r="I119" s="16">
        <f t="shared" si="48"/>
        <v>0</v>
      </c>
      <c r="J119" s="15">
        <v>0</v>
      </c>
      <c r="K119" s="16">
        <f t="shared" si="38"/>
        <v>6.5504256292708458</v>
      </c>
      <c r="L119" s="64" t="e">
        <f t="shared" si="39"/>
        <v>#DIV/0!</v>
      </c>
      <c r="M119" s="16">
        <f t="shared" si="40"/>
        <v>6.5504256292708458</v>
      </c>
      <c r="N119" s="15">
        <f t="shared" si="43"/>
        <v>344759.24364583398</v>
      </c>
      <c r="O119" s="15">
        <f t="shared" si="49"/>
        <v>370777.63333333714</v>
      </c>
    </row>
    <row r="120" spans="1:15" x14ac:dyDescent="0.15">
      <c r="A120">
        <f t="shared" si="42"/>
        <v>116</v>
      </c>
      <c r="B120">
        <f t="shared" si="50"/>
        <v>2145</v>
      </c>
      <c r="C120" s="21">
        <f t="shared" si="44"/>
        <v>23.078210653366739</v>
      </c>
      <c r="D120" s="17">
        <f t="shared" si="45"/>
        <v>22.687547956803083</v>
      </c>
      <c r="E120" s="22">
        <f t="shared" si="46"/>
        <v>114.48488727272728</v>
      </c>
      <c r="F120" s="23">
        <f t="shared" si="41"/>
        <v>114484887.27272728</v>
      </c>
      <c r="G120" s="15">
        <f t="shared" si="47"/>
        <v>283824</v>
      </c>
      <c r="H120" s="15">
        <f t="shared" si="37"/>
        <v>283824</v>
      </c>
      <c r="I120" s="16">
        <f t="shared" si="48"/>
        <v>0</v>
      </c>
      <c r="J120" s="15">
        <v>0</v>
      </c>
      <c r="K120" s="16">
        <f t="shared" si="38"/>
        <v>6.4392706112916782</v>
      </c>
      <c r="L120" s="64" t="e">
        <f t="shared" si="39"/>
        <v>#DIV/0!</v>
      </c>
      <c r="M120" s="16">
        <f t="shared" si="40"/>
        <v>6.4392706112916782</v>
      </c>
      <c r="N120" s="15">
        <f t="shared" si="43"/>
        <v>338908.97954166727</v>
      </c>
      <c r="O120" s="15">
        <f t="shared" si="49"/>
        <v>364183.98666667048</v>
      </c>
    </row>
    <row r="121" spans="1:15" x14ac:dyDescent="0.15">
      <c r="A121">
        <f t="shared" si="42"/>
        <v>117</v>
      </c>
      <c r="B121">
        <f t="shared" si="50"/>
        <v>2146</v>
      </c>
      <c r="C121" s="21">
        <f t="shared" si="44"/>
        <v>22.686579443549373</v>
      </c>
      <c r="D121" s="17">
        <f t="shared" si="45"/>
        <v>22.295914345906304</v>
      </c>
      <c r="E121" s="22">
        <f t="shared" si="46"/>
        <v>114.76871127272729</v>
      </c>
      <c r="F121" s="23">
        <f t="shared" si="41"/>
        <v>114768711.27272728</v>
      </c>
      <c r="G121" s="15">
        <f t="shared" si="47"/>
        <v>283824</v>
      </c>
      <c r="H121" s="15">
        <f t="shared" si="37"/>
        <v>283824</v>
      </c>
      <c r="I121" s="16">
        <f t="shared" si="48"/>
        <v>0</v>
      </c>
      <c r="J121" s="15">
        <v>0</v>
      </c>
      <c r="K121" s="16">
        <f t="shared" si="38"/>
        <v>6.3281155933125106</v>
      </c>
      <c r="L121" s="64" t="e">
        <f t="shared" si="39"/>
        <v>#DIV/0!</v>
      </c>
      <c r="M121" s="16">
        <f t="shared" si="40"/>
        <v>6.3281155933125106</v>
      </c>
      <c r="N121" s="15">
        <f t="shared" si="43"/>
        <v>333058.71543750056</v>
      </c>
      <c r="O121" s="15">
        <f t="shared" si="49"/>
        <v>357590.34000000381</v>
      </c>
    </row>
    <row r="122" spans="1:15" x14ac:dyDescent="0.15">
      <c r="A122">
        <f t="shared" si="42"/>
        <v>118</v>
      </c>
      <c r="B122">
        <f t="shared" si="50"/>
        <v>2147</v>
      </c>
      <c r="C122" s="21">
        <f t="shared" si="44"/>
        <v>22.294948221885516</v>
      </c>
      <c r="D122" s="17">
        <f t="shared" si="45"/>
        <v>21.904280735009525</v>
      </c>
      <c r="E122" s="22">
        <f t="shared" si="46"/>
        <v>115.05253527272728</v>
      </c>
      <c r="F122" s="23">
        <f t="shared" si="41"/>
        <v>115052535.27272728</v>
      </c>
      <c r="G122" s="15">
        <f t="shared" si="47"/>
        <v>283824</v>
      </c>
      <c r="H122" s="15">
        <f t="shared" si="37"/>
        <v>283824</v>
      </c>
      <c r="I122" s="16">
        <f t="shared" si="48"/>
        <v>0</v>
      </c>
      <c r="J122" s="15">
        <v>0</v>
      </c>
      <c r="K122" s="16">
        <f t="shared" si="38"/>
        <v>6.216960575333343</v>
      </c>
      <c r="L122" s="64" t="e">
        <f t="shared" si="39"/>
        <v>#DIV/0!</v>
      </c>
      <c r="M122" s="16">
        <f t="shared" si="40"/>
        <v>6.216960575333343</v>
      </c>
      <c r="N122" s="15">
        <f t="shared" si="43"/>
        <v>327208.45133333385</v>
      </c>
      <c r="O122" s="15">
        <f t="shared" si="49"/>
        <v>350996.69333333714</v>
      </c>
    </row>
    <row r="123" spans="1:15" x14ac:dyDescent="0.15">
      <c r="A123">
        <f t="shared" si="42"/>
        <v>119</v>
      </c>
      <c r="B123">
        <f t="shared" si="50"/>
        <v>2148</v>
      </c>
      <c r="C123" s="21">
        <f t="shared" si="44"/>
        <v>21.903316988462638</v>
      </c>
      <c r="D123" s="17">
        <f t="shared" si="45"/>
        <v>21.512647124112743</v>
      </c>
      <c r="E123" s="22">
        <f t="shared" si="46"/>
        <v>115.33635927272728</v>
      </c>
      <c r="F123" s="23">
        <f t="shared" si="41"/>
        <v>115336359.27272728</v>
      </c>
      <c r="G123" s="15">
        <f t="shared" si="47"/>
        <v>283824</v>
      </c>
      <c r="H123" s="15">
        <f t="shared" si="37"/>
        <v>283824</v>
      </c>
      <c r="I123" s="16">
        <f t="shared" si="48"/>
        <v>0</v>
      </c>
      <c r="J123" s="15">
        <v>0</v>
      </c>
      <c r="K123" s="16">
        <f t="shared" si="38"/>
        <v>6.1058055573541754</v>
      </c>
      <c r="L123" s="64" t="e">
        <f t="shared" si="39"/>
        <v>#DIV/0!</v>
      </c>
      <c r="M123" s="16">
        <f t="shared" si="40"/>
        <v>6.1058055573541754</v>
      </c>
      <c r="N123" s="15">
        <f t="shared" ref="N123:N153" si="51">N122+(N$154-N$58)/96</f>
        <v>321358.18722916715</v>
      </c>
      <c r="O123" s="15">
        <f t="shared" si="49"/>
        <v>344403.04666667047</v>
      </c>
    </row>
    <row r="124" spans="1:15" x14ac:dyDescent="0.15">
      <c r="A124">
        <f t="shared" si="42"/>
        <v>120</v>
      </c>
      <c r="B124">
        <f t="shared" si="50"/>
        <v>2149</v>
      </c>
      <c r="C124" s="21">
        <f t="shared" si="44"/>
        <v>21.51168574336733</v>
      </c>
      <c r="D124" s="17">
        <f t="shared" si="45"/>
        <v>21.121013513215964</v>
      </c>
      <c r="E124" s="22">
        <f t="shared" si="46"/>
        <v>115.62018327272727</v>
      </c>
      <c r="F124" s="23">
        <f t="shared" si="41"/>
        <v>115620183.27272728</v>
      </c>
      <c r="G124" s="15">
        <f t="shared" si="47"/>
        <v>283824</v>
      </c>
      <c r="H124" s="15">
        <f t="shared" si="37"/>
        <v>283824</v>
      </c>
      <c r="I124" s="16">
        <f t="shared" si="48"/>
        <v>0</v>
      </c>
      <c r="J124" s="15">
        <v>0</v>
      </c>
      <c r="K124" s="16">
        <f t="shared" si="38"/>
        <v>5.9946505393750078</v>
      </c>
      <c r="L124" s="64" t="e">
        <f t="shared" si="39"/>
        <v>#DIV/0!</v>
      </c>
      <c r="M124" s="16">
        <f t="shared" si="40"/>
        <v>5.9946505393750078</v>
      </c>
      <c r="N124" s="15">
        <f t="shared" si="51"/>
        <v>315507.92312500044</v>
      </c>
      <c r="O124" s="15">
        <f t="shared" si="49"/>
        <v>337809.40000000381</v>
      </c>
    </row>
    <row r="125" spans="1:15" x14ac:dyDescent="0.15">
      <c r="A125">
        <f t="shared" si="42"/>
        <v>121</v>
      </c>
      <c r="B125">
        <f t="shared" si="50"/>
        <v>2150</v>
      </c>
      <c r="C125" s="21">
        <f t="shared" si="44"/>
        <v>21.120054486685348</v>
      </c>
      <c r="D125" s="17">
        <f t="shared" si="45"/>
        <v>20.729379902319188</v>
      </c>
      <c r="E125" s="22">
        <f t="shared" si="46"/>
        <v>115.90400727272728</v>
      </c>
      <c r="F125" s="23">
        <f t="shared" si="41"/>
        <v>115904007.27272728</v>
      </c>
      <c r="G125" s="15">
        <f t="shared" si="47"/>
        <v>283824</v>
      </c>
      <c r="H125" s="15">
        <f t="shared" si="37"/>
        <v>283824</v>
      </c>
      <c r="I125" s="16">
        <f t="shared" si="48"/>
        <v>0</v>
      </c>
      <c r="J125" s="15">
        <v>0</v>
      </c>
      <c r="K125" s="16">
        <f t="shared" si="38"/>
        <v>5.8834955213958411</v>
      </c>
      <c r="L125" s="64" t="e">
        <f t="shared" si="39"/>
        <v>#DIV/0!</v>
      </c>
      <c r="M125" s="16">
        <f t="shared" si="40"/>
        <v>5.8834955213958411</v>
      </c>
      <c r="N125" s="15">
        <f t="shared" si="51"/>
        <v>309657.65902083373</v>
      </c>
      <c r="O125" s="15">
        <f t="shared" si="49"/>
        <v>331215.75333333714</v>
      </c>
    </row>
    <row r="126" spans="1:15" x14ac:dyDescent="0.15">
      <c r="A126">
        <f t="shared" si="42"/>
        <v>122</v>
      </c>
      <c r="B126">
        <f t="shared" si="50"/>
        <v>2151</v>
      </c>
      <c r="C126" s="21">
        <f t="shared" si="44"/>
        <v>20.7284232185016</v>
      </c>
      <c r="D126" s="17">
        <f t="shared" si="45"/>
        <v>20.337746291422409</v>
      </c>
      <c r="E126" s="22">
        <f t="shared" si="46"/>
        <v>116.18783127272728</v>
      </c>
      <c r="F126" s="23">
        <f t="shared" si="41"/>
        <v>116187831.27272728</v>
      </c>
      <c r="G126" s="15">
        <f t="shared" si="47"/>
        <v>283824</v>
      </c>
      <c r="H126" s="15">
        <f t="shared" si="37"/>
        <v>283824</v>
      </c>
      <c r="I126" s="16">
        <f t="shared" si="48"/>
        <v>0</v>
      </c>
      <c r="J126" s="15">
        <v>0</v>
      </c>
      <c r="K126" s="16">
        <f t="shared" si="38"/>
        <v>5.7723405034166735</v>
      </c>
      <c r="L126" s="64" t="e">
        <f t="shared" si="39"/>
        <v>#DIV/0!</v>
      </c>
      <c r="M126" s="16">
        <f t="shared" si="40"/>
        <v>5.7723405034166735</v>
      </c>
      <c r="N126" s="15">
        <f t="shared" si="51"/>
        <v>303807.39491666702</v>
      </c>
      <c r="O126" s="15">
        <f t="shared" si="49"/>
        <v>324622.10666667047</v>
      </c>
    </row>
    <row r="127" spans="1:15" x14ac:dyDescent="0.15">
      <c r="A127">
        <f t="shared" si="42"/>
        <v>123</v>
      </c>
      <c r="B127">
        <f t="shared" si="50"/>
        <v>2152</v>
      </c>
      <c r="C127" s="21">
        <f t="shared" si="44"/>
        <v>20.336791938900166</v>
      </c>
      <c r="D127" s="17">
        <f t="shared" si="45"/>
        <v>19.946112680525626</v>
      </c>
      <c r="E127" s="22">
        <f t="shared" si="46"/>
        <v>116.47165527272728</v>
      </c>
      <c r="F127" s="23">
        <f t="shared" si="41"/>
        <v>116471655.27272728</v>
      </c>
      <c r="G127" s="15">
        <f t="shared" si="47"/>
        <v>283824</v>
      </c>
      <c r="H127" s="15">
        <f t="shared" si="37"/>
        <v>283824</v>
      </c>
      <c r="I127" s="16">
        <f t="shared" si="48"/>
        <v>0</v>
      </c>
      <c r="J127" s="15">
        <v>0</v>
      </c>
      <c r="K127" s="16">
        <f t="shared" si="38"/>
        <v>5.6611854854375059</v>
      </c>
      <c r="L127" s="64" t="e">
        <f t="shared" si="39"/>
        <v>#DIV/0!</v>
      </c>
      <c r="M127" s="16">
        <f t="shared" si="40"/>
        <v>5.6611854854375059</v>
      </c>
      <c r="N127" s="15">
        <f t="shared" si="51"/>
        <v>297957.13081250031</v>
      </c>
      <c r="O127" s="15">
        <f t="shared" si="49"/>
        <v>318028.4600000038</v>
      </c>
    </row>
    <row r="128" spans="1:15" x14ac:dyDescent="0.15">
      <c r="A128">
        <f t="shared" si="42"/>
        <v>124</v>
      </c>
      <c r="B128">
        <f t="shared" si="50"/>
        <v>2153</v>
      </c>
      <c r="C128" s="21">
        <f t="shared" si="44"/>
        <v>19.945160647964315</v>
      </c>
      <c r="D128" s="17">
        <f t="shared" si="45"/>
        <v>19.554479069628851</v>
      </c>
      <c r="E128" s="22">
        <f t="shared" si="46"/>
        <v>116.75547927272729</v>
      </c>
      <c r="F128" s="23">
        <f t="shared" si="41"/>
        <v>116755479.27272728</v>
      </c>
      <c r="G128" s="15">
        <f t="shared" si="47"/>
        <v>283824</v>
      </c>
      <c r="H128" s="15">
        <f t="shared" si="37"/>
        <v>283824</v>
      </c>
      <c r="I128" s="16">
        <f t="shared" si="48"/>
        <v>0</v>
      </c>
      <c r="J128" s="15">
        <v>0</v>
      </c>
      <c r="K128" s="16">
        <f t="shared" si="38"/>
        <v>5.5500304674583383</v>
      </c>
      <c r="L128" s="64" t="e">
        <f t="shared" si="39"/>
        <v>#DIV/0!</v>
      </c>
      <c r="M128" s="16">
        <f t="shared" si="40"/>
        <v>5.5500304674583383</v>
      </c>
      <c r="N128" s="15">
        <f t="shared" si="51"/>
        <v>292106.8667083336</v>
      </c>
      <c r="O128" s="15">
        <f t="shared" si="49"/>
        <v>311434.81333333714</v>
      </c>
    </row>
    <row r="129" spans="1:15" x14ac:dyDescent="0.15">
      <c r="A129">
        <f t="shared" si="42"/>
        <v>125</v>
      </c>
      <c r="B129">
        <f t="shared" si="50"/>
        <v>2154</v>
      </c>
      <c r="C129" s="21">
        <f t="shared" si="44"/>
        <v>19.553529345776511</v>
      </c>
      <c r="D129" s="17">
        <f t="shared" si="45"/>
        <v>19.162845458732072</v>
      </c>
      <c r="E129" s="22">
        <f t="shared" si="46"/>
        <v>117.03930327272728</v>
      </c>
      <c r="F129" s="23">
        <f t="shared" si="41"/>
        <v>117039303.27272728</v>
      </c>
      <c r="G129" s="15">
        <f t="shared" si="47"/>
        <v>283824</v>
      </c>
      <c r="H129" s="15">
        <f t="shared" si="37"/>
        <v>283824</v>
      </c>
      <c r="I129" s="16">
        <f t="shared" si="48"/>
        <v>0</v>
      </c>
      <c r="J129" s="15">
        <v>0</v>
      </c>
      <c r="K129" s="16">
        <f t="shared" si="38"/>
        <v>5.4388754494791707</v>
      </c>
      <c r="L129" s="64" t="e">
        <f t="shared" si="39"/>
        <v>#DIV/0!</v>
      </c>
      <c r="M129" s="16">
        <f t="shared" si="40"/>
        <v>5.4388754494791707</v>
      </c>
      <c r="N129" s="15">
        <f t="shared" si="51"/>
        <v>286256.6026041669</v>
      </c>
      <c r="O129" s="15">
        <f t="shared" si="49"/>
        <v>304841.16666667047</v>
      </c>
    </row>
    <row r="130" spans="1:15" x14ac:dyDescent="0.15">
      <c r="A130">
        <f t="shared" si="42"/>
        <v>126</v>
      </c>
      <c r="B130">
        <f t="shared" si="50"/>
        <v>2155</v>
      </c>
      <c r="C130" s="21">
        <f t="shared" si="44"/>
        <v>19.161898032418414</v>
      </c>
      <c r="D130" s="17">
        <f t="shared" si="45"/>
        <v>18.771211847835293</v>
      </c>
      <c r="E130" s="22">
        <f t="shared" si="46"/>
        <v>117.32312727272728</v>
      </c>
      <c r="F130" s="23">
        <f t="shared" si="41"/>
        <v>117323127.27272728</v>
      </c>
      <c r="G130" s="15">
        <f t="shared" si="47"/>
        <v>283824</v>
      </c>
      <c r="H130" s="15">
        <f t="shared" si="37"/>
        <v>283824</v>
      </c>
      <c r="I130" s="16">
        <f t="shared" si="48"/>
        <v>0</v>
      </c>
      <c r="J130" s="15">
        <v>0</v>
      </c>
      <c r="K130" s="16">
        <f t="shared" si="38"/>
        <v>5.327720431500004</v>
      </c>
      <c r="L130" s="64" t="e">
        <f t="shared" si="39"/>
        <v>#DIV/0!</v>
      </c>
      <c r="M130" s="16">
        <f t="shared" si="40"/>
        <v>5.327720431500004</v>
      </c>
      <c r="N130" s="15">
        <f t="shared" si="51"/>
        <v>280406.33850000019</v>
      </c>
      <c r="O130" s="15">
        <f t="shared" si="49"/>
        <v>298247.5200000038</v>
      </c>
    </row>
    <row r="131" spans="1:15" x14ac:dyDescent="0.15">
      <c r="A131">
        <f t="shared" si="42"/>
        <v>127</v>
      </c>
      <c r="B131">
        <f t="shared" si="50"/>
        <v>2156</v>
      </c>
      <c r="C131" s="21">
        <f t="shared" si="44"/>
        <v>18.770266707970887</v>
      </c>
      <c r="D131" s="17">
        <f t="shared" si="45"/>
        <v>18.37957823693851</v>
      </c>
      <c r="E131" s="22">
        <f t="shared" si="46"/>
        <v>117.60695127272729</v>
      </c>
      <c r="F131" s="23">
        <f t="shared" si="41"/>
        <v>117606951.27272728</v>
      </c>
      <c r="G131" s="15">
        <f t="shared" si="47"/>
        <v>283824</v>
      </c>
      <c r="H131" s="15">
        <f t="shared" si="37"/>
        <v>283824</v>
      </c>
      <c r="I131" s="16">
        <f t="shared" si="48"/>
        <v>0</v>
      </c>
      <c r="J131" s="15">
        <v>0</v>
      </c>
      <c r="K131" s="16">
        <f t="shared" si="38"/>
        <v>5.2165654135208364</v>
      </c>
      <c r="L131" s="64" t="e">
        <f t="shared" si="39"/>
        <v>#DIV/0!</v>
      </c>
      <c r="M131" s="16">
        <f t="shared" si="40"/>
        <v>5.2165654135208364</v>
      </c>
      <c r="N131" s="15">
        <f t="shared" si="51"/>
        <v>274556.07439583348</v>
      </c>
      <c r="O131" s="15">
        <f t="shared" si="49"/>
        <v>291653.87333333713</v>
      </c>
    </row>
    <row r="132" spans="1:15" x14ac:dyDescent="0.15">
      <c r="A132">
        <f t="shared" si="42"/>
        <v>128</v>
      </c>
      <c r="B132">
        <f t="shared" ref="B132:B154" si="52">B131+1</f>
        <v>2157</v>
      </c>
      <c r="C132" s="21">
        <f t="shared" si="44"/>
        <v>18.378635372514029</v>
      </c>
      <c r="D132" s="17">
        <f t="shared" si="45"/>
        <v>17.987944626041731</v>
      </c>
      <c r="E132" s="22">
        <f t="shared" si="46"/>
        <v>117.89077527272728</v>
      </c>
      <c r="F132" s="23">
        <f t="shared" si="41"/>
        <v>117890775.27272728</v>
      </c>
      <c r="G132" s="15">
        <f t="shared" si="47"/>
        <v>283824</v>
      </c>
      <c r="H132" s="15">
        <f t="shared" si="37"/>
        <v>283824</v>
      </c>
      <c r="I132" s="16">
        <f t="shared" si="48"/>
        <v>0</v>
      </c>
      <c r="J132" s="15">
        <v>0</v>
      </c>
      <c r="K132" s="16">
        <f t="shared" si="38"/>
        <v>5.1054103955416688</v>
      </c>
      <c r="L132" s="64" t="e">
        <f t="shared" si="39"/>
        <v>#DIV/0!</v>
      </c>
      <c r="M132" s="16">
        <f t="shared" si="40"/>
        <v>5.1054103955416688</v>
      </c>
      <c r="N132" s="15">
        <f t="shared" si="51"/>
        <v>268705.81029166677</v>
      </c>
      <c r="O132" s="15">
        <f t="shared" si="49"/>
        <v>285060.22666667047</v>
      </c>
    </row>
    <row r="133" spans="1:15" x14ac:dyDescent="0.15">
      <c r="A133">
        <f t="shared" si="42"/>
        <v>129</v>
      </c>
      <c r="B133">
        <f t="shared" si="52"/>
        <v>2158</v>
      </c>
      <c r="C133" s="21">
        <f t="shared" si="44"/>
        <v>17.98700402612717</v>
      </c>
      <c r="D133" s="17">
        <f t="shared" si="45"/>
        <v>17.596311015144952</v>
      </c>
      <c r="E133" s="22">
        <f t="shared" si="46"/>
        <v>118.17459927272728</v>
      </c>
      <c r="F133" s="23">
        <f t="shared" si="41"/>
        <v>118174599.27272728</v>
      </c>
      <c r="G133" s="15">
        <f t="shared" si="47"/>
        <v>283824</v>
      </c>
      <c r="H133" s="15">
        <f t="shared" ref="H133:H154" si="53">$P$21</f>
        <v>283824</v>
      </c>
      <c r="I133" s="16">
        <f t="shared" si="48"/>
        <v>0</v>
      </c>
      <c r="J133" s="15">
        <v>0</v>
      </c>
      <c r="K133" s="16">
        <f t="shared" si="38"/>
        <v>4.9942553775625012</v>
      </c>
      <c r="L133" s="64" t="e">
        <f t="shared" si="39"/>
        <v>#DIV/0!</v>
      </c>
      <c r="M133" s="16">
        <f t="shared" si="40"/>
        <v>4.9942553775625012</v>
      </c>
      <c r="N133" s="15">
        <f t="shared" si="51"/>
        <v>262855.54618750006</v>
      </c>
      <c r="O133" s="15">
        <f t="shared" si="49"/>
        <v>278466.5800000038</v>
      </c>
    </row>
    <row r="134" spans="1:15" x14ac:dyDescent="0.15">
      <c r="A134">
        <f t="shared" si="42"/>
        <v>130</v>
      </c>
      <c r="B134">
        <f t="shared" si="52"/>
        <v>2159</v>
      </c>
      <c r="C134" s="21">
        <f t="shared" si="44"/>
        <v>17.595372668888871</v>
      </c>
      <c r="D134" s="17">
        <f t="shared" si="45"/>
        <v>17.204677404248176</v>
      </c>
      <c r="E134" s="22">
        <f t="shared" si="46"/>
        <v>118.45842327272729</v>
      </c>
      <c r="F134" s="23">
        <f t="shared" si="41"/>
        <v>118458423.27272728</v>
      </c>
      <c r="G134" s="15">
        <f t="shared" si="47"/>
        <v>283824</v>
      </c>
      <c r="H134" s="15">
        <f t="shared" si="53"/>
        <v>283824</v>
      </c>
      <c r="I134" s="16">
        <f t="shared" si="48"/>
        <v>0</v>
      </c>
      <c r="J134" s="15">
        <v>0</v>
      </c>
      <c r="K134" s="16">
        <f t="shared" ref="K134:K154" si="54">N134*$P$4/1000000</f>
        <v>4.8831003595833344</v>
      </c>
      <c r="L134" s="64" t="e">
        <f t="shared" ref="L134:L154" si="55">J134/J133</f>
        <v>#DIV/0!</v>
      </c>
      <c r="M134" s="16">
        <f t="shared" ref="M134:M154" si="56">N134*$P$4/1000000</f>
        <v>4.8831003595833344</v>
      </c>
      <c r="N134" s="15">
        <f t="shared" si="51"/>
        <v>257005.28208333338</v>
      </c>
      <c r="O134" s="15">
        <f t="shared" si="49"/>
        <v>271872.93333333713</v>
      </c>
    </row>
    <row r="135" spans="1:15" x14ac:dyDescent="0.15">
      <c r="A135">
        <f t="shared" si="42"/>
        <v>131</v>
      </c>
      <c r="B135">
        <f t="shared" si="52"/>
        <v>2160</v>
      </c>
      <c r="C135" s="21">
        <f t="shared" si="44"/>
        <v>17.203741300876949</v>
      </c>
      <c r="D135" s="17">
        <f t="shared" si="45"/>
        <v>16.813043793351401</v>
      </c>
      <c r="E135" s="22">
        <f t="shared" si="46"/>
        <v>118.74224727272728</v>
      </c>
      <c r="F135" s="23">
        <f t="shared" ref="F135:F154" si="57">F134+H134+J134</f>
        <v>118742247.27272728</v>
      </c>
      <c r="G135" s="15">
        <f t="shared" si="47"/>
        <v>283824</v>
      </c>
      <c r="H135" s="15">
        <f t="shared" si="53"/>
        <v>283824</v>
      </c>
      <c r="I135" s="16">
        <f t="shared" si="48"/>
        <v>0</v>
      </c>
      <c r="J135" s="15">
        <v>0</v>
      </c>
      <c r="K135" s="16">
        <f t="shared" si="54"/>
        <v>4.7719453416041677</v>
      </c>
      <c r="L135" s="64" t="e">
        <f t="shared" si="55"/>
        <v>#DIV/0!</v>
      </c>
      <c r="M135" s="16">
        <f t="shared" si="56"/>
        <v>4.7719453416041677</v>
      </c>
      <c r="N135" s="15">
        <f t="shared" si="51"/>
        <v>251155.0179791667</v>
      </c>
      <c r="O135" s="15">
        <f t="shared" si="49"/>
        <v>265279.28666667046</v>
      </c>
    </row>
    <row r="136" spans="1:15" x14ac:dyDescent="0.15">
      <c r="A136">
        <f t="shared" si="42"/>
        <v>132</v>
      </c>
      <c r="B136">
        <f t="shared" si="52"/>
        <v>2161</v>
      </c>
      <c r="C136" s="21">
        <f t="shared" si="44"/>
        <v>16.812109922168471</v>
      </c>
      <c r="D136" s="17">
        <f t="shared" si="45"/>
        <v>16.421410182454622</v>
      </c>
      <c r="E136" s="22">
        <f t="shared" si="46"/>
        <v>119.02607127272728</v>
      </c>
      <c r="F136" s="23">
        <f t="shared" si="57"/>
        <v>119026071.27272728</v>
      </c>
      <c r="G136" s="15">
        <f t="shared" si="47"/>
        <v>283824</v>
      </c>
      <c r="H136" s="15">
        <f t="shared" si="53"/>
        <v>283824</v>
      </c>
      <c r="I136" s="16">
        <f t="shared" si="48"/>
        <v>0</v>
      </c>
      <c r="J136" s="15">
        <v>0</v>
      </c>
      <c r="K136" s="16">
        <f t="shared" si="54"/>
        <v>4.6607903236250001</v>
      </c>
      <c r="L136" s="64" t="e">
        <f t="shared" si="55"/>
        <v>#DIV/0!</v>
      </c>
      <c r="M136" s="16">
        <f t="shared" si="56"/>
        <v>4.6607903236250001</v>
      </c>
      <c r="N136" s="15">
        <f t="shared" si="51"/>
        <v>245304.75387500002</v>
      </c>
      <c r="O136" s="15">
        <f t="shared" si="49"/>
        <v>258685.6400000038</v>
      </c>
    </row>
    <row r="137" spans="1:15" x14ac:dyDescent="0.15">
      <c r="A137">
        <f t="shared" si="42"/>
        <v>133</v>
      </c>
      <c r="B137">
        <f t="shared" si="52"/>
        <v>2162</v>
      </c>
      <c r="C137" s="21">
        <f t="shared" si="44"/>
        <v>16.42047853283977</v>
      </c>
      <c r="D137" s="17">
        <f t="shared" si="45"/>
        <v>16.029776571557846</v>
      </c>
      <c r="E137" s="22">
        <f t="shared" si="46"/>
        <v>119.30989527272727</v>
      </c>
      <c r="F137" s="23">
        <f t="shared" si="57"/>
        <v>119309895.27272728</v>
      </c>
      <c r="G137" s="15">
        <f t="shared" si="47"/>
        <v>283824</v>
      </c>
      <c r="H137" s="15">
        <f t="shared" si="53"/>
        <v>283824</v>
      </c>
      <c r="I137" s="16">
        <f t="shared" si="48"/>
        <v>0</v>
      </c>
      <c r="J137" s="15">
        <v>0</v>
      </c>
      <c r="K137" s="16">
        <f t="shared" si="54"/>
        <v>4.5496353056458334</v>
      </c>
      <c r="L137" s="64" t="e">
        <f t="shared" si="55"/>
        <v>#DIV/0!</v>
      </c>
      <c r="M137" s="16">
        <f t="shared" si="56"/>
        <v>4.5496353056458334</v>
      </c>
      <c r="N137" s="15">
        <f t="shared" si="51"/>
        <v>239454.48977083334</v>
      </c>
      <c r="O137" s="15">
        <f t="shared" si="49"/>
        <v>252091.99333333713</v>
      </c>
    </row>
    <row r="138" spans="1:15" x14ac:dyDescent="0.15">
      <c r="A138">
        <f t="shared" si="42"/>
        <v>134</v>
      </c>
      <c r="B138">
        <f t="shared" si="52"/>
        <v>2163</v>
      </c>
      <c r="C138" s="21">
        <f t="shared" si="44"/>
        <v>16.028847132966462</v>
      </c>
      <c r="D138" s="17">
        <f t="shared" si="45"/>
        <v>15.638142960661066</v>
      </c>
      <c r="E138" s="22">
        <f t="shared" si="46"/>
        <v>119.59371927272728</v>
      </c>
      <c r="F138" s="23">
        <f t="shared" si="57"/>
        <v>119593719.27272728</v>
      </c>
      <c r="G138" s="15">
        <f t="shared" si="47"/>
        <v>283824</v>
      </c>
      <c r="H138" s="15">
        <f t="shared" si="53"/>
        <v>283824</v>
      </c>
      <c r="I138" s="16">
        <f t="shared" si="48"/>
        <v>0</v>
      </c>
      <c r="J138" s="15">
        <v>0</v>
      </c>
      <c r="K138" s="16">
        <f t="shared" si="54"/>
        <v>4.4384802876666667</v>
      </c>
      <c r="L138" s="64" t="e">
        <f t="shared" si="55"/>
        <v>#DIV/0!</v>
      </c>
      <c r="M138" s="16">
        <f t="shared" si="56"/>
        <v>4.4384802876666667</v>
      </c>
      <c r="N138" s="15">
        <f t="shared" si="51"/>
        <v>233604.22566666667</v>
      </c>
      <c r="O138" s="15">
        <f t="shared" si="49"/>
        <v>245498.34666667046</v>
      </c>
    </row>
    <row r="139" spans="1:15" x14ac:dyDescent="0.15">
      <c r="A139">
        <f t="shared" si="42"/>
        <v>135</v>
      </c>
      <c r="B139">
        <f t="shared" si="52"/>
        <v>2164</v>
      </c>
      <c r="C139" s="21">
        <f t="shared" si="44"/>
        <v>15.637215722623443</v>
      </c>
      <c r="D139" s="17">
        <f t="shared" si="45"/>
        <v>15.246509349764288</v>
      </c>
      <c r="E139" s="22">
        <f t="shared" si="46"/>
        <v>119.87754327272728</v>
      </c>
      <c r="F139" s="23">
        <f t="shared" si="57"/>
        <v>119877543.27272728</v>
      </c>
      <c r="G139" s="15">
        <f t="shared" si="47"/>
        <v>283824</v>
      </c>
      <c r="H139" s="15">
        <f t="shared" si="53"/>
        <v>283824</v>
      </c>
      <c r="I139" s="16">
        <f t="shared" si="48"/>
        <v>0</v>
      </c>
      <c r="J139" s="15">
        <v>0</v>
      </c>
      <c r="K139" s="16">
        <f t="shared" si="54"/>
        <v>4.3273252696875</v>
      </c>
      <c r="L139" s="64" t="e">
        <f t="shared" si="55"/>
        <v>#DIV/0!</v>
      </c>
      <c r="M139" s="16">
        <f t="shared" si="56"/>
        <v>4.3273252696875</v>
      </c>
      <c r="N139" s="15">
        <f t="shared" si="51"/>
        <v>227753.96156249999</v>
      </c>
      <c r="O139" s="15">
        <f t="shared" si="49"/>
        <v>238904.7000000038</v>
      </c>
    </row>
    <row r="140" spans="1:15" x14ac:dyDescent="0.15">
      <c r="A140">
        <f t="shared" si="42"/>
        <v>136</v>
      </c>
      <c r="B140">
        <f t="shared" si="52"/>
        <v>2165</v>
      </c>
      <c r="C140" s="21">
        <f t="shared" si="44"/>
        <v>15.245584301884906</v>
      </c>
      <c r="D140" s="17">
        <f t="shared" si="45"/>
        <v>14.854875738867511</v>
      </c>
      <c r="E140" s="22">
        <f t="shared" si="46"/>
        <v>120.16136727272728</v>
      </c>
      <c r="F140" s="23">
        <f t="shared" si="57"/>
        <v>120161367.27272728</v>
      </c>
      <c r="G140" s="15">
        <f t="shared" si="47"/>
        <v>283824</v>
      </c>
      <c r="H140" s="15">
        <f t="shared" si="53"/>
        <v>283824</v>
      </c>
      <c r="I140" s="16">
        <f t="shared" si="48"/>
        <v>0</v>
      </c>
      <c r="J140" s="15">
        <v>0</v>
      </c>
      <c r="K140" s="16">
        <f t="shared" si="54"/>
        <v>4.2161702517083324</v>
      </c>
      <c r="L140" s="64" t="e">
        <f t="shared" si="55"/>
        <v>#DIV/0!</v>
      </c>
      <c r="M140" s="16">
        <f t="shared" si="56"/>
        <v>4.2161702517083324</v>
      </c>
      <c r="N140" s="15">
        <f t="shared" si="51"/>
        <v>221903.69745833331</v>
      </c>
      <c r="O140" s="15">
        <f t="shared" si="49"/>
        <v>232311.05333333713</v>
      </c>
    </row>
    <row r="141" spans="1:15" x14ac:dyDescent="0.15">
      <c r="A141">
        <f t="shared" si="42"/>
        <v>137</v>
      </c>
      <c r="B141">
        <f t="shared" si="52"/>
        <v>2166</v>
      </c>
      <c r="C141" s="21">
        <f t="shared" si="44"/>
        <v>14.85395287082434</v>
      </c>
      <c r="D141" s="17">
        <f t="shared" si="45"/>
        <v>14.463242127970734</v>
      </c>
      <c r="E141" s="22">
        <f t="shared" si="46"/>
        <v>120.44519127272729</v>
      </c>
      <c r="F141" s="23">
        <f t="shared" si="57"/>
        <v>120445191.27272728</v>
      </c>
      <c r="G141" s="15">
        <f t="shared" si="47"/>
        <v>283824</v>
      </c>
      <c r="H141" s="15">
        <f t="shared" si="53"/>
        <v>283824</v>
      </c>
      <c r="I141" s="16">
        <f t="shared" si="48"/>
        <v>0</v>
      </c>
      <c r="J141" s="15">
        <v>0</v>
      </c>
      <c r="K141" s="16">
        <f t="shared" si="54"/>
        <v>4.1050152337291657</v>
      </c>
      <c r="L141" s="64" t="e">
        <f t="shared" si="55"/>
        <v>#DIV/0!</v>
      </c>
      <c r="M141" s="16">
        <f t="shared" si="56"/>
        <v>4.1050152337291657</v>
      </c>
      <c r="N141" s="15">
        <f t="shared" si="51"/>
        <v>216053.43335416663</v>
      </c>
      <c r="O141" s="15">
        <f t="shared" si="49"/>
        <v>225717.40666667046</v>
      </c>
    </row>
    <row r="142" spans="1:15" x14ac:dyDescent="0.15">
      <c r="A142">
        <f t="shared" si="42"/>
        <v>138</v>
      </c>
      <c r="B142">
        <f t="shared" si="52"/>
        <v>2167</v>
      </c>
      <c r="C142" s="21">
        <f t="shared" si="44"/>
        <v>14.462321429514541</v>
      </c>
      <c r="D142" s="17">
        <f t="shared" si="45"/>
        <v>14.071608517073958</v>
      </c>
      <c r="E142" s="22">
        <f t="shared" si="46"/>
        <v>120.72901527272728</v>
      </c>
      <c r="F142" s="23">
        <f t="shared" si="57"/>
        <v>120729015.27272728</v>
      </c>
      <c r="G142" s="15">
        <f t="shared" si="47"/>
        <v>283824</v>
      </c>
      <c r="H142" s="15">
        <f t="shared" si="53"/>
        <v>283824</v>
      </c>
      <c r="I142" s="16">
        <f t="shared" si="48"/>
        <v>0</v>
      </c>
      <c r="J142" s="15">
        <v>0</v>
      </c>
      <c r="K142" s="16">
        <f t="shared" si="54"/>
        <v>3.9938602157499989</v>
      </c>
      <c r="L142" s="64" t="e">
        <f t="shared" si="55"/>
        <v>#DIV/0!</v>
      </c>
      <c r="M142" s="16">
        <f t="shared" si="56"/>
        <v>3.9938602157499989</v>
      </c>
      <c r="N142" s="15">
        <f t="shared" si="51"/>
        <v>210203.16924999995</v>
      </c>
      <c r="O142" s="15">
        <f t="shared" si="49"/>
        <v>219123.76000000379</v>
      </c>
    </row>
    <row r="143" spans="1:15" x14ac:dyDescent="0.15">
      <c r="A143">
        <f t="shared" si="42"/>
        <v>139</v>
      </c>
      <c r="B143">
        <f t="shared" si="52"/>
        <v>2168</v>
      </c>
      <c r="C143" s="21">
        <f t="shared" si="44"/>
        <v>14.070689978027628</v>
      </c>
      <c r="D143" s="17">
        <f t="shared" si="45"/>
        <v>13.679974906177181</v>
      </c>
      <c r="E143" s="22">
        <f t="shared" si="46"/>
        <v>121.01283927272728</v>
      </c>
      <c r="F143" s="23">
        <f t="shared" si="57"/>
        <v>121012839.27272728</v>
      </c>
      <c r="G143" s="15">
        <f t="shared" si="47"/>
        <v>283824</v>
      </c>
      <c r="H143" s="15">
        <f t="shared" si="53"/>
        <v>283824</v>
      </c>
      <c r="I143" s="16">
        <f t="shared" si="48"/>
        <v>0</v>
      </c>
      <c r="J143" s="15">
        <v>0</v>
      </c>
      <c r="K143" s="16">
        <f t="shared" si="54"/>
        <v>3.8827051977708322</v>
      </c>
      <c r="L143" s="64" t="e">
        <f t="shared" si="55"/>
        <v>#DIV/0!</v>
      </c>
      <c r="M143" s="16">
        <f t="shared" si="56"/>
        <v>3.8827051977708322</v>
      </c>
      <c r="N143" s="15">
        <f t="shared" si="51"/>
        <v>204352.90514583327</v>
      </c>
      <c r="O143" s="15">
        <f t="shared" si="49"/>
        <v>212530.11333333713</v>
      </c>
    </row>
    <row r="144" spans="1:15" x14ac:dyDescent="0.15">
      <c r="A144">
        <f t="shared" si="42"/>
        <v>140</v>
      </c>
      <c r="B144">
        <f t="shared" si="52"/>
        <v>2169</v>
      </c>
      <c r="C144" s="21">
        <f t="shared" si="44"/>
        <v>13.679058516435038</v>
      </c>
      <c r="D144" s="17">
        <f t="shared" si="45"/>
        <v>13.288341295280404</v>
      </c>
      <c r="E144" s="22">
        <f t="shared" si="46"/>
        <v>121.29666327272729</v>
      </c>
      <c r="F144" s="23">
        <f t="shared" si="57"/>
        <v>121296663.27272728</v>
      </c>
      <c r="G144" s="15">
        <f t="shared" si="47"/>
        <v>283824</v>
      </c>
      <c r="H144" s="15">
        <f t="shared" si="53"/>
        <v>283824</v>
      </c>
      <c r="I144" s="16">
        <f t="shared" si="48"/>
        <v>0</v>
      </c>
      <c r="J144" s="15">
        <v>0</v>
      </c>
      <c r="K144" s="16">
        <f t="shared" si="54"/>
        <v>3.7715501797916651</v>
      </c>
      <c r="L144" s="64" t="e">
        <f t="shared" si="55"/>
        <v>#DIV/0!</v>
      </c>
      <c r="M144" s="16">
        <f t="shared" si="56"/>
        <v>3.7715501797916651</v>
      </c>
      <c r="N144" s="15">
        <f t="shared" si="51"/>
        <v>198502.64104166659</v>
      </c>
      <c r="O144" s="15">
        <f t="shared" si="49"/>
        <v>205936.46666667046</v>
      </c>
    </row>
    <row r="145" spans="1:15" x14ac:dyDescent="0.15">
      <c r="A145">
        <f t="shared" si="42"/>
        <v>141</v>
      </c>
      <c r="B145">
        <f t="shared" si="52"/>
        <v>2170</v>
      </c>
      <c r="C145" s="21">
        <f t="shared" si="44"/>
        <v>13.287427044807549</v>
      </c>
      <c r="D145" s="17">
        <f t="shared" si="45"/>
        <v>12.896707684383626</v>
      </c>
      <c r="E145" s="22">
        <f t="shared" si="46"/>
        <v>121.58048727272728</v>
      </c>
      <c r="F145" s="23">
        <f t="shared" si="57"/>
        <v>121580487.27272728</v>
      </c>
      <c r="G145" s="15">
        <f t="shared" si="47"/>
        <v>283824</v>
      </c>
      <c r="H145" s="15">
        <f t="shared" si="53"/>
        <v>283824</v>
      </c>
      <c r="I145" s="16">
        <f t="shared" si="48"/>
        <v>0</v>
      </c>
      <c r="J145" s="15">
        <v>0</v>
      </c>
      <c r="K145" s="16">
        <f t="shared" si="54"/>
        <v>3.6603951618124984</v>
      </c>
      <c r="L145" s="64" t="e">
        <f t="shared" si="55"/>
        <v>#DIV/0!</v>
      </c>
      <c r="M145" s="16">
        <f t="shared" si="56"/>
        <v>3.6603951618124984</v>
      </c>
      <c r="N145" s="15">
        <f t="shared" si="51"/>
        <v>192652.37693749991</v>
      </c>
      <c r="O145" s="15">
        <f t="shared" si="49"/>
        <v>199342.82000000379</v>
      </c>
    </row>
    <row r="146" spans="1:15" x14ac:dyDescent="0.15">
      <c r="A146">
        <f t="shared" si="42"/>
        <v>142</v>
      </c>
      <c r="B146">
        <f t="shared" si="52"/>
        <v>2171</v>
      </c>
      <c r="C146" s="21">
        <f t="shared" si="44"/>
        <v>12.89579556321527</v>
      </c>
      <c r="D146" s="17">
        <f t="shared" si="45"/>
        <v>12.505074073486849</v>
      </c>
      <c r="E146" s="22">
        <f t="shared" si="46"/>
        <v>121.86431127272728</v>
      </c>
      <c r="F146" s="23">
        <f t="shared" si="57"/>
        <v>121864311.27272728</v>
      </c>
      <c r="G146" s="15">
        <f t="shared" si="47"/>
        <v>283824</v>
      </c>
      <c r="H146" s="15">
        <f t="shared" si="53"/>
        <v>283824</v>
      </c>
      <c r="I146" s="16">
        <f t="shared" si="48"/>
        <v>0</v>
      </c>
      <c r="J146" s="15">
        <v>0</v>
      </c>
      <c r="K146" s="16">
        <f t="shared" si="54"/>
        <v>3.5492401438333312</v>
      </c>
      <c r="L146" s="64" t="e">
        <f t="shared" si="55"/>
        <v>#DIV/0!</v>
      </c>
      <c r="M146" s="16">
        <f t="shared" si="56"/>
        <v>3.5492401438333312</v>
      </c>
      <c r="N146" s="15">
        <f t="shared" si="51"/>
        <v>186802.11283333323</v>
      </c>
      <c r="O146" s="15">
        <f t="shared" si="49"/>
        <v>192749.17333333712</v>
      </c>
    </row>
    <row r="147" spans="1:15" x14ac:dyDescent="0.15">
      <c r="A147">
        <f t="shared" si="42"/>
        <v>143</v>
      </c>
      <c r="B147">
        <f t="shared" si="52"/>
        <v>2172</v>
      </c>
      <c r="C147" s="21">
        <f t="shared" si="44"/>
        <v>12.504164071727667</v>
      </c>
      <c r="D147" s="17">
        <f t="shared" si="45"/>
        <v>12.113440462590072</v>
      </c>
      <c r="E147" s="22">
        <f t="shared" si="46"/>
        <v>122.14813527272729</v>
      </c>
      <c r="F147" s="23">
        <f t="shared" si="57"/>
        <v>122148135.27272728</v>
      </c>
      <c r="G147" s="15">
        <f t="shared" si="47"/>
        <v>283824</v>
      </c>
      <c r="H147" s="15">
        <f t="shared" si="53"/>
        <v>283824</v>
      </c>
      <c r="I147" s="16">
        <f t="shared" si="48"/>
        <v>0</v>
      </c>
      <c r="J147" s="15">
        <v>0</v>
      </c>
      <c r="K147" s="16">
        <f t="shared" si="54"/>
        <v>3.4380851258541645</v>
      </c>
      <c r="L147" s="64" t="e">
        <f t="shared" si="55"/>
        <v>#DIV/0!</v>
      </c>
      <c r="M147" s="16">
        <f t="shared" si="56"/>
        <v>3.4380851258541645</v>
      </c>
      <c r="N147" s="15">
        <f t="shared" si="51"/>
        <v>180951.84872916655</v>
      </c>
      <c r="O147" s="15">
        <f t="shared" si="49"/>
        <v>186155.52666667046</v>
      </c>
    </row>
    <row r="148" spans="1:15" x14ac:dyDescent="0.15">
      <c r="A148">
        <f t="shared" si="42"/>
        <v>144</v>
      </c>
      <c r="B148">
        <f t="shared" si="52"/>
        <v>2173</v>
      </c>
      <c r="C148" s="21">
        <f t="shared" si="44"/>
        <v>12.112532570413556</v>
      </c>
      <c r="D148" s="17">
        <f t="shared" si="45"/>
        <v>11.721806851693293</v>
      </c>
      <c r="E148" s="22">
        <f t="shared" si="46"/>
        <v>122.43195927272728</v>
      </c>
      <c r="F148" s="23">
        <f t="shared" si="57"/>
        <v>122431959.27272728</v>
      </c>
      <c r="G148" s="15">
        <f t="shared" si="47"/>
        <v>283824</v>
      </c>
      <c r="H148" s="15">
        <f t="shared" si="53"/>
        <v>283824</v>
      </c>
      <c r="I148" s="16">
        <f t="shared" si="48"/>
        <v>0</v>
      </c>
      <c r="J148" s="15">
        <v>0</v>
      </c>
      <c r="K148" s="16">
        <f t="shared" si="54"/>
        <v>3.3269301078749973</v>
      </c>
      <c r="L148" s="64" t="e">
        <f t="shared" si="55"/>
        <v>#DIV/0!</v>
      </c>
      <c r="M148" s="16">
        <f t="shared" si="56"/>
        <v>3.3269301078749973</v>
      </c>
      <c r="N148" s="15">
        <f t="shared" si="51"/>
        <v>175101.58462499987</v>
      </c>
      <c r="O148" s="15">
        <f t="shared" si="49"/>
        <v>179561.88000000379</v>
      </c>
    </row>
    <row r="149" spans="1:15" x14ac:dyDescent="0.15">
      <c r="A149">
        <f t="shared" si="42"/>
        <v>145</v>
      </c>
      <c r="B149">
        <f t="shared" si="52"/>
        <v>2174</v>
      </c>
      <c r="C149" s="21">
        <f t="shared" si="44"/>
        <v>11.72090105934112</v>
      </c>
      <c r="D149" s="17">
        <f t="shared" si="45"/>
        <v>11.330173240796517</v>
      </c>
      <c r="E149" s="22">
        <f t="shared" si="46"/>
        <v>122.71578327272728</v>
      </c>
      <c r="F149" s="23">
        <f t="shared" si="57"/>
        <v>122715783.27272728</v>
      </c>
      <c r="G149" s="15">
        <f t="shared" si="47"/>
        <v>283824</v>
      </c>
      <c r="H149" s="15">
        <f t="shared" si="53"/>
        <v>283824</v>
      </c>
      <c r="I149" s="16">
        <f t="shared" si="48"/>
        <v>0</v>
      </c>
      <c r="J149" s="15">
        <v>0</v>
      </c>
      <c r="K149" s="16">
        <f t="shared" si="54"/>
        <v>3.2157750898958306</v>
      </c>
      <c r="L149" s="64" t="e">
        <f t="shared" si="55"/>
        <v>#DIV/0!</v>
      </c>
      <c r="M149" s="16">
        <f t="shared" si="56"/>
        <v>3.2157750898958306</v>
      </c>
      <c r="N149" s="15">
        <f t="shared" si="51"/>
        <v>169251.32052083319</v>
      </c>
      <c r="O149" s="15">
        <f t="shared" si="49"/>
        <v>172968.23333333712</v>
      </c>
    </row>
    <row r="150" spans="1:15" x14ac:dyDescent="0.15">
      <c r="A150">
        <f>A149+1</f>
        <v>146</v>
      </c>
      <c r="B150">
        <f t="shared" si="52"/>
        <v>2175</v>
      </c>
      <c r="C150" s="21">
        <f t="shared" si="44"/>
        <v>11.329269538577917</v>
      </c>
      <c r="D150" s="17">
        <f t="shared" si="45"/>
        <v>10.938539629899738</v>
      </c>
      <c r="E150" s="22">
        <f t="shared" si="46"/>
        <v>122.99960727272727</v>
      </c>
      <c r="F150" s="23">
        <f t="shared" si="57"/>
        <v>122999607.27272728</v>
      </c>
      <c r="G150" s="15">
        <f t="shared" si="47"/>
        <v>283824</v>
      </c>
      <c r="H150" s="15">
        <f t="shared" si="53"/>
        <v>283824</v>
      </c>
      <c r="I150" s="16">
        <f t="shared" si="48"/>
        <v>0</v>
      </c>
      <c r="J150" s="15">
        <v>0</v>
      </c>
      <c r="K150" s="16">
        <f t="shared" si="54"/>
        <v>3.1046200719166634</v>
      </c>
      <c r="L150" s="64" t="e">
        <f t="shared" si="55"/>
        <v>#DIV/0!</v>
      </c>
      <c r="M150" s="16">
        <f t="shared" si="56"/>
        <v>3.1046200719166634</v>
      </c>
      <c r="N150" s="15">
        <f t="shared" si="51"/>
        <v>163401.05641666651</v>
      </c>
      <c r="O150" s="15">
        <f t="shared" si="49"/>
        <v>166374.58666667045</v>
      </c>
    </row>
    <row r="151" spans="1:15" x14ac:dyDescent="0.15">
      <c r="A151">
        <f>A150+1</f>
        <v>147</v>
      </c>
      <c r="B151">
        <f t="shared" si="52"/>
        <v>2176</v>
      </c>
      <c r="C151" s="21">
        <f t="shared" si="44"/>
        <v>10.93763800819087</v>
      </c>
      <c r="D151" s="17">
        <f t="shared" si="45"/>
        <v>10.546906019002963</v>
      </c>
      <c r="E151" s="22">
        <f t="shared" si="46"/>
        <v>123.28343127272728</v>
      </c>
      <c r="F151" s="23">
        <f t="shared" si="57"/>
        <v>123283431.27272728</v>
      </c>
      <c r="G151" s="15">
        <f t="shared" si="47"/>
        <v>283824</v>
      </c>
      <c r="H151" s="15">
        <f t="shared" si="53"/>
        <v>283824</v>
      </c>
      <c r="I151" s="16">
        <f t="shared" si="48"/>
        <v>0</v>
      </c>
      <c r="J151" s="15">
        <v>0</v>
      </c>
      <c r="K151" s="16">
        <f t="shared" si="54"/>
        <v>2.9934650539374967</v>
      </c>
      <c r="L151" s="64" t="e">
        <f t="shared" si="55"/>
        <v>#DIV/0!</v>
      </c>
      <c r="M151" s="16">
        <f t="shared" si="56"/>
        <v>2.9934650539374967</v>
      </c>
      <c r="N151" s="15">
        <f t="shared" si="51"/>
        <v>157550.79231249983</v>
      </c>
      <c r="O151" s="15">
        <f t="shared" si="49"/>
        <v>159780.94000000379</v>
      </c>
    </row>
    <row r="152" spans="1:15" x14ac:dyDescent="0.15">
      <c r="A152">
        <f>A151+1</f>
        <v>148</v>
      </c>
      <c r="B152">
        <f t="shared" si="52"/>
        <v>2177</v>
      </c>
      <c r="C152" s="21">
        <f t="shared" si="44"/>
        <v>10.546006468246301</v>
      </c>
      <c r="D152" s="17">
        <f t="shared" si="45"/>
        <v>10.155272408106185</v>
      </c>
      <c r="E152" s="22">
        <f t="shared" si="46"/>
        <v>123.56725527272728</v>
      </c>
      <c r="F152" s="23">
        <f t="shared" si="57"/>
        <v>123567255.27272728</v>
      </c>
      <c r="G152" s="15">
        <f t="shared" si="47"/>
        <v>283824</v>
      </c>
      <c r="H152" s="15">
        <f t="shared" si="53"/>
        <v>283824</v>
      </c>
      <c r="I152" s="16">
        <f t="shared" si="48"/>
        <v>0</v>
      </c>
      <c r="J152" s="15">
        <v>0</v>
      </c>
      <c r="K152" s="16">
        <f t="shared" si="54"/>
        <v>2.88231003595833</v>
      </c>
      <c r="L152" s="64" t="e">
        <f t="shared" si="55"/>
        <v>#DIV/0!</v>
      </c>
      <c r="M152" s="16">
        <f t="shared" si="56"/>
        <v>2.88231003595833</v>
      </c>
      <c r="N152" s="15">
        <f t="shared" si="51"/>
        <v>151700.52820833315</v>
      </c>
      <c r="O152" s="15">
        <f t="shared" si="49"/>
        <v>153187.29333333712</v>
      </c>
    </row>
    <row r="153" spans="1:15" x14ac:dyDescent="0.15">
      <c r="A153">
        <f>A152+1</f>
        <v>149</v>
      </c>
      <c r="B153">
        <f t="shared" si="52"/>
        <v>2178</v>
      </c>
      <c r="C153" s="21">
        <f t="shared" si="44"/>
        <v>10.154374918809912</v>
      </c>
      <c r="D153" s="17">
        <f t="shared" si="45"/>
        <v>9.7636387972094099</v>
      </c>
      <c r="E153" s="22">
        <f t="shared" si="46"/>
        <v>123.85107927272728</v>
      </c>
      <c r="F153" s="23">
        <f t="shared" si="57"/>
        <v>123851079.27272728</v>
      </c>
      <c r="G153" s="15">
        <f t="shared" si="47"/>
        <v>283824</v>
      </c>
      <c r="H153" s="15">
        <f t="shared" si="53"/>
        <v>283824</v>
      </c>
      <c r="I153" s="16">
        <f t="shared" si="48"/>
        <v>0</v>
      </c>
      <c r="J153" s="15">
        <v>0</v>
      </c>
      <c r="K153" s="16">
        <f t="shared" si="54"/>
        <v>2.7711550179791633</v>
      </c>
      <c r="L153" s="64" t="e">
        <f t="shared" si="55"/>
        <v>#DIV/0!</v>
      </c>
      <c r="M153" s="16">
        <f t="shared" si="56"/>
        <v>2.7711550179791633</v>
      </c>
      <c r="N153" s="15">
        <f t="shared" si="51"/>
        <v>145850.26410416648</v>
      </c>
      <c r="O153" s="15">
        <f t="shared" si="49"/>
        <v>146593.64666667045</v>
      </c>
    </row>
    <row r="154" spans="1:15" x14ac:dyDescent="0.15">
      <c r="A154">
        <f>A153+1</f>
        <v>150</v>
      </c>
      <c r="B154">
        <f t="shared" si="52"/>
        <v>2179</v>
      </c>
      <c r="C154" s="21">
        <f t="shared" si="44"/>
        <v>9.7627433599468141</v>
      </c>
      <c r="D154" s="17">
        <f t="shared" si="45"/>
        <v>9.372005186312645</v>
      </c>
      <c r="E154" s="22">
        <f t="shared" si="46"/>
        <v>124.13490327272729</v>
      </c>
      <c r="F154" s="23">
        <f t="shared" si="57"/>
        <v>124134903.27272728</v>
      </c>
      <c r="G154" s="15">
        <f t="shared" si="47"/>
        <v>283824</v>
      </c>
      <c r="H154" s="15">
        <f t="shared" si="53"/>
        <v>283824</v>
      </c>
      <c r="I154" s="16">
        <f t="shared" si="48"/>
        <v>0</v>
      </c>
      <c r="J154" s="15">
        <v>0</v>
      </c>
      <c r="K154" s="16">
        <f t="shared" si="54"/>
        <v>2.66</v>
      </c>
      <c r="L154" s="64" t="e">
        <f t="shared" si="55"/>
        <v>#DIV/0!</v>
      </c>
      <c r="M154" s="16">
        <f t="shared" si="56"/>
        <v>2.66</v>
      </c>
      <c r="N154" s="15">
        <v>140000</v>
      </c>
      <c r="O154" s="15">
        <v>140000</v>
      </c>
    </row>
    <row r="155" spans="1:15" x14ac:dyDescent="0.15">
      <c r="H155" s="15">
        <f>SUM(H4:H154)</f>
        <v>43222128</v>
      </c>
      <c r="J155" s="15">
        <f>SUM(J4:J154)</f>
        <v>81196599.272727281</v>
      </c>
      <c r="O155" s="15">
        <v>140000</v>
      </c>
    </row>
    <row r="156" spans="1:15" x14ac:dyDescent="0.15">
      <c r="J156" s="15"/>
    </row>
    <row r="157" spans="1:15" x14ac:dyDescent="0.15">
      <c r="H157" s="15">
        <v>388592</v>
      </c>
    </row>
    <row r="187" spans="1:20" ht="56" x14ac:dyDescent="0.15">
      <c r="A187" s="12"/>
      <c r="B187" s="12"/>
      <c r="C187" s="12" t="s">
        <v>1219</v>
      </c>
      <c r="D187" s="13" t="s">
        <v>1221</v>
      </c>
      <c r="E187" s="12" t="s">
        <v>1031</v>
      </c>
      <c r="F187" s="13" t="s">
        <v>745</v>
      </c>
      <c r="G187" s="13" t="s">
        <v>1084</v>
      </c>
      <c r="I187" s="12" t="s">
        <v>1220</v>
      </c>
      <c r="J187" s="13" t="s">
        <v>1218</v>
      </c>
      <c r="K187" s="12" t="s">
        <v>1031</v>
      </c>
      <c r="L187" s="13" t="s">
        <v>745</v>
      </c>
      <c r="M187" s="13" t="s">
        <v>1084</v>
      </c>
      <c r="N187" s="13"/>
      <c r="O187" s="13"/>
      <c r="P187" s="12" t="s">
        <v>750</v>
      </c>
      <c r="Q187" s="13" t="s">
        <v>1101</v>
      </c>
      <c r="R187" s="12" t="s">
        <v>1217</v>
      </c>
      <c r="S187" s="12"/>
      <c r="T187" s="12"/>
    </row>
    <row r="188" spans="1:20" x14ac:dyDescent="0.15">
      <c r="A188" s="1" t="s">
        <v>746</v>
      </c>
      <c r="B188" s="1" t="s">
        <v>747</v>
      </c>
      <c r="C188" s="1"/>
      <c r="D188" s="14" t="s">
        <v>1188</v>
      </c>
      <c r="E188" s="14" t="s">
        <v>884</v>
      </c>
      <c r="F188" s="14" t="s">
        <v>884</v>
      </c>
      <c r="G188" s="14" t="s">
        <v>884</v>
      </c>
      <c r="I188" s="1"/>
      <c r="J188" s="14" t="s">
        <v>1222</v>
      </c>
      <c r="K188" s="14" t="s">
        <v>884</v>
      </c>
      <c r="L188" s="14" t="s">
        <v>884</v>
      </c>
      <c r="M188" s="14" t="s">
        <v>884</v>
      </c>
      <c r="N188" s="14"/>
      <c r="O188" s="14"/>
      <c r="P188" s="1" t="s">
        <v>885</v>
      </c>
      <c r="Q188" s="14" t="s">
        <v>748</v>
      </c>
      <c r="R188" s="1"/>
      <c r="S188" s="1"/>
      <c r="T188" s="1"/>
    </row>
    <row r="189" spans="1:20" x14ac:dyDescent="0.15">
      <c r="A189">
        <v>0</v>
      </c>
      <c r="B189">
        <v>2029</v>
      </c>
      <c r="C189" s="21">
        <f>(D189*$G4)/$F4</f>
        <v>7.7216140180153197</v>
      </c>
      <c r="D189" s="17">
        <f>(F189+E189)*1000/$G4*1000</f>
        <v>7.7216140180153197</v>
      </c>
      <c r="E189" s="16">
        <f>$J4*1000*$Q$189/1000000000</f>
        <v>7.1271360000000001</v>
      </c>
      <c r="F189" s="16">
        <f>$O4*$P$189/1000000</f>
        <v>22.580939999999998</v>
      </c>
      <c r="G189" s="16">
        <f>P189*$N$4/1000000</f>
        <v>22.580939999999998</v>
      </c>
      <c r="I189" s="21">
        <f>(J189*$G4)/$F4</f>
        <v>3.0715888633131216</v>
      </c>
      <c r="J189" s="17">
        <f>(L189+K189)*1000/$G4*1000</f>
        <v>3.0715888633131216</v>
      </c>
      <c r="K189" s="16">
        <f>$J4*1000*$Q$190/1000000000</f>
        <v>3.3497539199999999</v>
      </c>
      <c r="L189" s="16">
        <f>$O4*$P$190/1000000</f>
        <v>8.4678524999999993</v>
      </c>
      <c r="M189" s="16">
        <f>$N4*$P$190/1000000</f>
        <v>8.4678524999999993</v>
      </c>
      <c r="N189" s="15"/>
      <c r="O189" s="15"/>
      <c r="P189">
        <v>20</v>
      </c>
      <c r="Q189" s="15">
        <v>2</v>
      </c>
      <c r="R189">
        <v>12</v>
      </c>
      <c r="S189" t="s">
        <v>1085</v>
      </c>
    </row>
    <row r="190" spans="1:20" x14ac:dyDescent="0.15">
      <c r="A190">
        <f t="shared" ref="A190:A205" si="58">A189+1</f>
        <v>1</v>
      </c>
      <c r="B190">
        <f t="shared" ref="B190:B205" si="59">B189+1</f>
        <v>2030</v>
      </c>
      <c r="C190" s="21">
        <f>(D190*$G5+$D189*$F4)/$F5</f>
        <v>15.245017681241388</v>
      </c>
      <c r="D190" s="17">
        <f>(F190+E190)*1000/$G5*1000</f>
        <v>8.1951361331569661</v>
      </c>
      <c r="E190" s="16">
        <f t="shared" ref="E190:E253" si="60">$J5*1000*$Q$189/1000000000</f>
        <v>6.496416</v>
      </c>
      <c r="F190" s="16">
        <f t="shared" ref="F190:F253" si="61">$O5*$P$189/1000000</f>
        <v>22.449067066666668</v>
      </c>
      <c r="G190" s="16">
        <f>P190*$N$4/1000000</f>
        <v>8.4678524999999993</v>
      </c>
      <c r="I190" s="21">
        <f>(J190*$G5+$D4*$F4)/$F5</f>
        <v>8.7241047727915415</v>
      </c>
      <c r="J190" s="17">
        <f>(L190+K190)*1000/$G5*1000</f>
        <v>3.2479081927910052</v>
      </c>
      <c r="K190" s="16">
        <f>$J5*1000*$Q$190/1000000000</f>
        <v>3.0533155199999999</v>
      </c>
      <c r="L190" s="16">
        <f>$O5*$P$190/1000000</f>
        <v>8.4184001500000001</v>
      </c>
      <c r="M190" s="16">
        <f>$N5*$P$189/1000000</f>
        <v>20.582626725663719</v>
      </c>
      <c r="N190" s="15"/>
      <c r="O190" s="15"/>
      <c r="P190">
        <v>7.5</v>
      </c>
      <c r="Q190">
        <v>0.94</v>
      </c>
      <c r="R190">
        <v>3.6</v>
      </c>
      <c r="S190" t="s">
        <v>1216</v>
      </c>
    </row>
    <row r="191" spans="1:20" x14ac:dyDescent="0.15">
      <c r="A191">
        <f t="shared" si="58"/>
        <v>2</v>
      </c>
      <c r="B191">
        <f t="shared" si="59"/>
        <v>2031</v>
      </c>
      <c r="C191" s="21">
        <f>(D191*$G6+$D5*$F5)/$F6</f>
        <v>6.8430200118863302</v>
      </c>
      <c r="D191" s="17">
        <f t="shared" ref="D191:D254" si="62">(F191+E191)*1000/$G6*1000</f>
        <v>8.3858665150860308</v>
      </c>
      <c r="E191" s="16">
        <f t="shared" si="60"/>
        <v>6.2441279999999999</v>
      </c>
      <c r="F191" s="16">
        <f t="shared" si="61"/>
        <v>22.317194133333334</v>
      </c>
      <c r="G191" s="16">
        <f t="shared" ref="G191:G253" si="63">P191*$N$4/1000000</f>
        <v>22.580939999999998</v>
      </c>
      <c r="I191" s="21">
        <f t="shared" ref="I191:I254" si="64">(J191*$G6+$D5*$F5)/$F6</f>
        <v>4.504404670996129</v>
      </c>
      <c r="J191" s="17">
        <f t="shared" ref="J191:J254" si="65">(L191+K191)*1000/$G6*1000</f>
        <v>3.3188666098239281</v>
      </c>
      <c r="K191" s="16">
        <f t="shared" ref="K191:K254" si="66">$J6*1000*$Q$190/1000000000</f>
        <v>2.93474016</v>
      </c>
      <c r="L191" s="16">
        <f t="shared" ref="L191:L254" si="67">$O6*$P$190/1000000</f>
        <v>8.368947799999999</v>
      </c>
      <c r="M191" s="16">
        <f t="shared" ref="M191:M254" si="68">$N6*$P$189/1000000</f>
        <v>21.577258636893202</v>
      </c>
      <c r="N191" s="15"/>
      <c r="O191" s="15"/>
      <c r="P191">
        <v>20</v>
      </c>
      <c r="Q191">
        <v>68.2</v>
      </c>
      <c r="R191">
        <v>58.4</v>
      </c>
      <c r="S191" t="s">
        <v>1241</v>
      </c>
    </row>
    <row r="192" spans="1:20" x14ac:dyDescent="0.15">
      <c r="A192">
        <f t="shared" si="58"/>
        <v>3</v>
      </c>
      <c r="B192">
        <f t="shared" si="59"/>
        <v>2032</v>
      </c>
      <c r="C192" s="21">
        <f t="shared" ref="C192:C255" si="69">(D192*$G7+$D6*$F6)/$F7</f>
        <v>6.8141373058351791</v>
      </c>
      <c r="D192" s="17">
        <f t="shared" si="62"/>
        <v>8.9241608115656792</v>
      </c>
      <c r="E192" s="16">
        <f t="shared" si="60"/>
        <v>5.6764799999999997</v>
      </c>
      <c r="F192" s="16">
        <f t="shared" si="61"/>
        <v>22.185321199999997</v>
      </c>
      <c r="G192" s="16">
        <f t="shared" si="63"/>
        <v>0</v>
      </c>
      <c r="I192" s="21">
        <f t="shared" si="64"/>
        <v>5.249568737953231</v>
      </c>
      <c r="J192" s="17">
        <f t="shared" si="65"/>
        <v>3.5192875770644028</v>
      </c>
      <c r="K192" s="16">
        <f t="shared" si="66"/>
        <v>2.6679455999999999</v>
      </c>
      <c r="L192" s="16">
        <f t="shared" si="67"/>
        <v>8.319495449999998</v>
      </c>
      <c r="M192" s="16">
        <f t="shared" si="68"/>
        <v>20.2883583030303</v>
      </c>
      <c r="N192" s="15"/>
      <c r="O192" s="15"/>
      <c r="P192">
        <v>0</v>
      </c>
      <c r="Q192">
        <v>126</v>
      </c>
      <c r="R192">
        <v>68.7</v>
      </c>
      <c r="S192" t="s">
        <v>1240</v>
      </c>
    </row>
    <row r="193" spans="1:19" x14ac:dyDescent="0.15">
      <c r="A193">
        <f t="shared" si="58"/>
        <v>4</v>
      </c>
      <c r="B193">
        <f t="shared" si="59"/>
        <v>2033</v>
      </c>
      <c r="C193" s="21">
        <f t="shared" si="69"/>
        <v>6.8932673324685414</v>
      </c>
      <c r="D193" s="17">
        <f t="shared" si="62"/>
        <v>9.121710004118956</v>
      </c>
      <c r="E193" s="16">
        <f t="shared" si="60"/>
        <v>5.46624</v>
      </c>
      <c r="F193" s="16">
        <f t="shared" si="61"/>
        <v>22.053448266666663</v>
      </c>
      <c r="G193" s="16">
        <f t="shared" si="63"/>
        <v>1.5806657999999998</v>
      </c>
      <c r="I193" s="21">
        <f t="shared" si="64"/>
        <v>5.693866930360576</v>
      </c>
      <c r="J193" s="17">
        <f t="shared" si="65"/>
        <v>3.5927666870846782</v>
      </c>
      <c r="K193" s="16">
        <f t="shared" si="66"/>
        <v>2.5691328000000002</v>
      </c>
      <c r="L193" s="16">
        <f t="shared" si="67"/>
        <v>8.270043099999997</v>
      </c>
      <c r="M193" s="16">
        <f t="shared" si="68"/>
        <v>21.363642637037035</v>
      </c>
      <c r="N193" s="15"/>
      <c r="O193" s="15"/>
      <c r="P193" s="117">
        <v>1.4</v>
      </c>
      <c r="Q193" s="116">
        <v>0.38</v>
      </c>
      <c r="R193">
        <v>0.84</v>
      </c>
      <c r="S193" t="s">
        <v>1123</v>
      </c>
    </row>
    <row r="194" spans="1:19" x14ac:dyDescent="0.15">
      <c r="A194">
        <f t="shared" si="58"/>
        <v>5</v>
      </c>
      <c r="B194">
        <f t="shared" si="59"/>
        <v>2034</v>
      </c>
      <c r="C194" s="21">
        <f t="shared" si="69"/>
        <v>7.2677969416369184</v>
      </c>
      <c r="D194" s="17">
        <f t="shared" si="62"/>
        <v>9.3335226762789691</v>
      </c>
      <c r="E194" s="16">
        <f t="shared" si="60"/>
        <v>5.2560000000000002</v>
      </c>
      <c r="F194" s="16">
        <f t="shared" si="61"/>
        <v>21.92157533333333</v>
      </c>
      <c r="G194" s="16">
        <f t="shared" si="63"/>
        <v>1.1290469999999999E-2</v>
      </c>
      <c r="I194" s="21">
        <f t="shared" si="64"/>
        <v>6.293656498574312</v>
      </c>
      <c r="J194" s="17">
        <f t="shared" si="65"/>
        <v>3.6715511480089447</v>
      </c>
      <c r="K194" s="16">
        <f t="shared" si="66"/>
        <v>2.4703200000000001</v>
      </c>
      <c r="L194" s="16">
        <f t="shared" si="67"/>
        <v>8.2205907499999977</v>
      </c>
      <c r="M194" s="16">
        <f t="shared" si="68"/>
        <v>21.205238717948717</v>
      </c>
      <c r="N194" s="15"/>
      <c r="O194" s="15"/>
      <c r="P194" s="81">
        <v>0.01</v>
      </c>
      <c r="Q194" s="83">
        <v>0.27</v>
      </c>
      <c r="R194">
        <v>0.13</v>
      </c>
      <c r="S194" t="s">
        <v>1122</v>
      </c>
    </row>
    <row r="195" spans="1:19" x14ac:dyDescent="0.15">
      <c r="A195">
        <f t="shared" si="58"/>
        <v>6</v>
      </c>
      <c r="B195">
        <f t="shared" si="59"/>
        <v>2035</v>
      </c>
      <c r="C195" s="21">
        <f t="shared" si="69"/>
        <v>7.394231099858632</v>
      </c>
      <c r="D195" s="17">
        <f t="shared" si="62"/>
        <v>9.5612014662037712</v>
      </c>
      <c r="E195" s="16">
        <f t="shared" si="60"/>
        <v>5.0457599999999996</v>
      </c>
      <c r="F195" s="16">
        <f t="shared" si="61"/>
        <v>21.789702399999992</v>
      </c>
      <c r="G195" s="16">
        <f t="shared" si="63"/>
        <v>1.1290469999999999E-2</v>
      </c>
      <c r="I195" s="21">
        <f t="shared" si="64"/>
        <v>6.5728609383998329</v>
      </c>
      <c r="J195" s="17">
        <f t="shared" si="65"/>
        <v>3.7562370666803471</v>
      </c>
      <c r="K195" s="16">
        <f t="shared" si="66"/>
        <v>2.3715071999999999</v>
      </c>
      <c r="L195" s="16">
        <f t="shared" si="67"/>
        <v>8.1711383999999967</v>
      </c>
      <c r="M195" s="16">
        <f t="shared" si="68"/>
        <v>21.044712319999991</v>
      </c>
      <c r="N195" s="15"/>
      <c r="O195" s="15"/>
      <c r="P195">
        <v>0.01</v>
      </c>
      <c r="Q195">
        <v>2.8</v>
      </c>
      <c r="R195">
        <v>1.5</v>
      </c>
      <c r="S195" t="s">
        <v>1177</v>
      </c>
    </row>
    <row r="196" spans="1:19" x14ac:dyDescent="0.15">
      <c r="A196">
        <f t="shared" si="58"/>
        <v>7</v>
      </c>
      <c r="B196">
        <f t="shared" si="59"/>
        <v>2036</v>
      </c>
      <c r="C196" s="21">
        <f t="shared" si="69"/>
        <v>7.5542836897774217</v>
      </c>
      <c r="D196" s="17">
        <f t="shared" si="62"/>
        <v>8.7206178193015393</v>
      </c>
      <c r="E196" s="16">
        <f t="shared" si="60"/>
        <v>4.8880800000000004</v>
      </c>
      <c r="F196" s="16">
        <f t="shared" si="61"/>
        <v>21.657829466666659</v>
      </c>
      <c r="G196" s="16">
        <f t="shared" si="63"/>
        <v>21.451892999999998</v>
      </c>
      <c r="I196" s="21">
        <f t="shared" si="64"/>
        <v>6.8420576563444078</v>
      </c>
      <c r="J196" s="17">
        <f t="shared" si="65"/>
        <v>3.4227814516234991</v>
      </c>
      <c r="K196" s="16">
        <f t="shared" si="66"/>
        <v>2.2973976</v>
      </c>
      <c r="L196" s="16">
        <f t="shared" si="67"/>
        <v>8.1216860499999974</v>
      </c>
      <c r="M196" s="16">
        <f t="shared" si="68"/>
        <v>21.108774199999996</v>
      </c>
      <c r="N196" s="15"/>
      <c r="O196" s="15"/>
      <c r="P196">
        <v>19</v>
      </c>
      <c r="Q196">
        <v>0.18</v>
      </c>
      <c r="R196">
        <v>7.7</v>
      </c>
      <c r="S196" t="s">
        <v>1182</v>
      </c>
    </row>
    <row r="197" spans="1:19" x14ac:dyDescent="0.15">
      <c r="A197">
        <f t="shared" si="58"/>
        <v>8</v>
      </c>
      <c r="B197">
        <f t="shared" si="59"/>
        <v>2037</v>
      </c>
      <c r="C197" s="21">
        <f t="shared" si="69"/>
        <v>6.9566173792162429</v>
      </c>
      <c r="D197" s="17">
        <f t="shared" si="62"/>
        <v>8.8548349296281295</v>
      </c>
      <c r="E197" s="16">
        <f t="shared" si="60"/>
        <v>4.7304000000000004</v>
      </c>
      <c r="F197" s="16">
        <f t="shared" si="61"/>
        <v>21.525956533333325</v>
      </c>
      <c r="G197" s="16">
        <f t="shared" si="63"/>
        <v>0</v>
      </c>
      <c r="I197" s="21">
        <f t="shared" si="64"/>
        <v>6.3352562071920824</v>
      </c>
      <c r="J197" s="17">
        <f t="shared" si="65"/>
        <v>3.4721171253203815</v>
      </c>
      <c r="K197" s="16">
        <f t="shared" si="66"/>
        <v>2.2232880000000002</v>
      </c>
      <c r="L197" s="16">
        <f t="shared" si="67"/>
        <v>8.0722336999999964</v>
      </c>
      <c r="M197" s="16">
        <f t="shared" si="68"/>
        <v>20.959189806451608</v>
      </c>
      <c r="N197" s="15"/>
      <c r="O197" s="15"/>
    </row>
    <row r="198" spans="1:19" x14ac:dyDescent="0.15">
      <c r="A198">
        <f t="shared" si="58"/>
        <v>9</v>
      </c>
      <c r="B198">
        <f t="shared" si="59"/>
        <v>2038</v>
      </c>
      <c r="C198" s="21">
        <f t="shared" si="69"/>
        <v>7.0550375270860188</v>
      </c>
      <c r="D198" s="17">
        <f t="shared" si="62"/>
        <v>10.103091296187353</v>
      </c>
      <c r="E198" s="16">
        <f t="shared" si="60"/>
        <v>4.5727200000000003</v>
      </c>
      <c r="F198" s="16">
        <f t="shared" si="61"/>
        <v>21.394083599999991</v>
      </c>
      <c r="G198" s="16">
        <f t="shared" si="63"/>
        <v>0</v>
      </c>
      <c r="I198" s="21">
        <f t="shared" si="64"/>
        <v>6.5037742526607829</v>
      </c>
      <c r="J198" s="17">
        <f t="shared" si="65"/>
        <v>3.9576776409782322</v>
      </c>
      <c r="K198" s="16">
        <f t="shared" si="66"/>
        <v>2.1491783999999998</v>
      </c>
      <c r="L198" s="16">
        <f t="shared" si="67"/>
        <v>8.0227813499999954</v>
      </c>
      <c r="M198" s="16">
        <f t="shared" si="68"/>
        <v>20.808424648888877</v>
      </c>
      <c r="N198" s="15"/>
      <c r="O198" s="15"/>
    </row>
    <row r="199" spans="1:19" x14ac:dyDescent="0.15">
      <c r="A199">
        <f t="shared" si="58"/>
        <v>10</v>
      </c>
      <c r="B199">
        <f t="shared" si="59"/>
        <v>2039</v>
      </c>
      <c r="C199" s="21">
        <f t="shared" si="69"/>
        <v>8.0274848787162369</v>
      </c>
      <c r="D199" s="17">
        <f t="shared" si="62"/>
        <v>10.306585789303547</v>
      </c>
      <c r="E199" s="16">
        <f t="shared" si="60"/>
        <v>4.4150400000000003</v>
      </c>
      <c r="F199" s="16">
        <f t="shared" si="61"/>
        <v>21.262210666666657</v>
      </c>
      <c r="G199" s="16">
        <f t="shared" si="63"/>
        <v>0</v>
      </c>
      <c r="I199" s="21">
        <f t="shared" si="64"/>
        <v>7.5269174354928001</v>
      </c>
      <c r="J199" s="17">
        <f t="shared" si="65"/>
        <v>4.0333241013685761</v>
      </c>
      <c r="K199" s="16">
        <f t="shared" si="66"/>
        <v>2.0750687999999999</v>
      </c>
      <c r="L199" s="16">
        <f t="shared" si="67"/>
        <v>7.9733289999999952</v>
      </c>
      <c r="M199" s="16">
        <f t="shared" si="68"/>
        <v>20.656356579310334</v>
      </c>
      <c r="N199" s="15"/>
      <c r="O199" s="15"/>
    </row>
    <row r="200" spans="1:19" x14ac:dyDescent="0.15">
      <c r="A200">
        <f t="shared" si="58"/>
        <v>11</v>
      </c>
      <c r="B200">
        <f t="shared" si="59"/>
        <v>2040</v>
      </c>
      <c r="C200" s="21">
        <f t="shared" si="69"/>
        <v>8.1963048906840701</v>
      </c>
      <c r="D200" s="17">
        <f t="shared" si="62"/>
        <v>10.468033948970017</v>
      </c>
      <c r="E200" s="16">
        <f t="shared" si="60"/>
        <v>4.2888960000000003</v>
      </c>
      <c r="F200" s="16">
        <f t="shared" si="61"/>
        <v>21.13033773333332</v>
      </c>
      <c r="G200" s="16">
        <f t="shared" si="63"/>
        <v>0</v>
      </c>
      <c r="I200" s="21">
        <f t="shared" si="64"/>
        <v>7.7371558049457336</v>
      </c>
      <c r="J200" s="17">
        <f t="shared" si="65"/>
        <v>4.0933049386559635</v>
      </c>
      <c r="K200" s="16">
        <f t="shared" si="66"/>
        <v>2.0157811200000002</v>
      </c>
      <c r="L200" s="16">
        <f t="shared" si="67"/>
        <v>7.9238766499999951</v>
      </c>
      <c r="M200" s="16">
        <f t="shared" si="68"/>
        <v>20.654718933333321</v>
      </c>
      <c r="N200" s="15"/>
      <c r="O200" s="15"/>
    </row>
    <row r="201" spans="1:19" x14ac:dyDescent="0.15">
      <c r="A201">
        <f t="shared" si="58"/>
        <v>12</v>
      </c>
      <c r="B201">
        <f t="shared" si="59"/>
        <v>2041</v>
      </c>
      <c r="C201" s="21">
        <f t="shared" si="69"/>
        <v>8.3821807844525988</v>
      </c>
      <c r="D201" s="17">
        <f t="shared" si="62"/>
        <v>10.638092677152033</v>
      </c>
      <c r="E201" s="16">
        <f t="shared" si="60"/>
        <v>4.1627520000000002</v>
      </c>
      <c r="F201" s="16">
        <f t="shared" si="61"/>
        <v>20.998464799999986</v>
      </c>
      <c r="G201" s="16">
        <f t="shared" si="63"/>
        <v>0</v>
      </c>
      <c r="I201" s="21">
        <f t="shared" si="64"/>
        <v>7.958010938649303</v>
      </c>
      <c r="J201" s="17">
        <f t="shared" si="65"/>
        <v>4.1564847539320127</v>
      </c>
      <c r="K201" s="16">
        <f t="shared" si="66"/>
        <v>1.95649344</v>
      </c>
      <c r="L201" s="16">
        <f t="shared" si="67"/>
        <v>7.8744242999999949</v>
      </c>
      <c r="M201" s="16">
        <f t="shared" si="68"/>
        <v>20.508857211764692</v>
      </c>
      <c r="N201" s="15"/>
      <c r="O201" s="15"/>
      <c r="R201" s="15"/>
      <c r="S201" s="81"/>
    </row>
    <row r="202" spans="1:19" x14ac:dyDescent="0.15">
      <c r="A202">
        <f t="shared" si="58"/>
        <v>13</v>
      </c>
      <c r="B202">
        <f t="shared" si="59"/>
        <v>2042</v>
      </c>
      <c r="C202" s="21">
        <f t="shared" si="69"/>
        <v>8.5269519696372704</v>
      </c>
      <c r="D202" s="17">
        <f t="shared" si="62"/>
        <v>11.485105348081568</v>
      </c>
      <c r="E202" s="16">
        <f t="shared" si="60"/>
        <v>4.0366080000000002</v>
      </c>
      <c r="F202" s="16">
        <f t="shared" si="61"/>
        <v>20.866591866666653</v>
      </c>
      <c r="G202" s="16">
        <f t="shared" si="63"/>
        <v>0</v>
      </c>
      <c r="I202" s="21">
        <f t="shared" si="64"/>
        <v>8.1327122868893387</v>
      </c>
      <c r="J202" s="17">
        <f t="shared" si="65"/>
        <v>4.4837705921309903</v>
      </c>
      <c r="K202" s="16">
        <f t="shared" si="66"/>
        <v>1.8972057600000001</v>
      </c>
      <c r="L202" s="16">
        <f t="shared" si="67"/>
        <v>7.8249719499999957</v>
      </c>
      <c r="M202" s="16">
        <f t="shared" si="68"/>
        <v>20.362147684848473</v>
      </c>
      <c r="N202" s="15"/>
      <c r="O202" s="15"/>
      <c r="R202" s="15"/>
      <c r="S202" s="81"/>
    </row>
    <row r="203" spans="1:19" x14ac:dyDescent="0.15">
      <c r="A203">
        <f t="shared" si="58"/>
        <v>14</v>
      </c>
      <c r="B203">
        <f t="shared" si="59"/>
        <v>2043</v>
      </c>
      <c r="C203" s="21">
        <f t="shared" si="69"/>
        <v>9.2102211746528067</v>
      </c>
      <c r="D203" s="17">
        <f t="shared" si="62"/>
        <v>11.70663515153357</v>
      </c>
      <c r="E203" s="16">
        <f t="shared" si="60"/>
        <v>3.9104640000000002</v>
      </c>
      <c r="F203" s="16">
        <f t="shared" si="61"/>
        <v>20.734718933333323</v>
      </c>
      <c r="G203" s="16">
        <f t="shared" si="63"/>
        <v>0</v>
      </c>
      <c r="I203" s="21">
        <f t="shared" si="64"/>
        <v>8.8406673851445632</v>
      </c>
      <c r="J203" s="17">
        <f t="shared" si="65"/>
        <v>4.5664504814671236</v>
      </c>
      <c r="K203" s="16">
        <f t="shared" si="66"/>
        <v>1.8379180799999999</v>
      </c>
      <c r="L203" s="16">
        <f t="shared" si="67"/>
        <v>7.7755195999999955</v>
      </c>
      <c r="M203" s="16">
        <f t="shared" si="68"/>
        <v>20.214510870833319</v>
      </c>
      <c r="N203" s="15"/>
      <c r="O203" s="15"/>
      <c r="R203" s="15"/>
      <c r="S203" s="81"/>
    </row>
    <row r="204" spans="1:19" x14ac:dyDescent="0.15">
      <c r="A204">
        <f t="shared" si="58"/>
        <v>15</v>
      </c>
      <c r="B204">
        <f t="shared" si="59"/>
        <v>2044</v>
      </c>
      <c r="C204" s="21">
        <f t="shared" si="69"/>
        <v>9.402043058937414</v>
      </c>
      <c r="D204" s="17">
        <f t="shared" si="62"/>
        <v>11.207419723674434</v>
      </c>
      <c r="E204" s="16">
        <f t="shared" si="60"/>
        <v>3.7843200000000001</v>
      </c>
      <c r="F204" s="16">
        <f t="shared" si="61"/>
        <v>20.602845999999989</v>
      </c>
      <c r="G204" s="16">
        <f t="shared" si="63"/>
        <v>0</v>
      </c>
      <c r="I204" s="21">
        <f t="shared" si="64"/>
        <v>9.0541643475375988</v>
      </c>
      <c r="J204" s="17">
        <f t="shared" si="65"/>
        <v>4.3679997876822609</v>
      </c>
      <c r="K204" s="16">
        <f t="shared" si="66"/>
        <v>1.7786303999999999</v>
      </c>
      <c r="L204" s="16">
        <f t="shared" si="67"/>
        <v>7.7260672499999963</v>
      </c>
      <c r="M204" s="16">
        <f t="shared" si="68"/>
        <v>20.065857032258055</v>
      </c>
      <c r="N204" s="15"/>
      <c r="O204" s="15"/>
      <c r="R204" s="15"/>
      <c r="S204" s="81"/>
    </row>
    <row r="205" spans="1:19" x14ac:dyDescent="0.15">
      <c r="A205">
        <f t="shared" si="58"/>
        <v>16</v>
      </c>
      <c r="B205">
        <f t="shared" si="59"/>
        <v>2045</v>
      </c>
      <c r="C205" s="21">
        <f t="shared" si="69"/>
        <v>9.0220792247314918</v>
      </c>
      <c r="D205" s="17">
        <f t="shared" si="62"/>
        <v>11.419855188794733</v>
      </c>
      <c r="E205" s="16">
        <f t="shared" si="60"/>
        <v>3.6581760000000001</v>
      </c>
      <c r="F205" s="16">
        <f t="shared" si="61"/>
        <v>20.470973066666655</v>
      </c>
      <c r="G205" s="16">
        <f t="shared" si="63"/>
        <v>0</v>
      </c>
      <c r="I205" s="21">
        <f t="shared" si="64"/>
        <v>8.694358960634462</v>
      </c>
      <c r="J205" s="17">
        <f t="shared" si="65"/>
        <v>4.4469233077383237</v>
      </c>
      <c r="K205" s="16">
        <f t="shared" si="66"/>
        <v>1.71934272</v>
      </c>
      <c r="L205" s="16">
        <f t="shared" si="67"/>
        <v>7.676614899999997</v>
      </c>
      <c r="M205" s="16">
        <f t="shared" si="68"/>
        <v>19.916084466666657</v>
      </c>
      <c r="N205" s="15"/>
      <c r="O205" s="15"/>
    </row>
    <row r="206" spans="1:19" x14ac:dyDescent="0.15">
      <c r="A206">
        <f t="shared" ref="A206:B221" si="70">A205+1</f>
        <v>17</v>
      </c>
      <c r="B206">
        <f t="shared" si="70"/>
        <v>2046</v>
      </c>
      <c r="C206" s="21">
        <f t="shared" si="69"/>
        <v>9.2092771719181155</v>
      </c>
      <c r="D206" s="17">
        <f t="shared" si="62"/>
        <v>11.571734875800891</v>
      </c>
      <c r="E206" s="16">
        <f t="shared" si="60"/>
        <v>3.5635680000000001</v>
      </c>
      <c r="F206" s="16">
        <f t="shared" si="61"/>
        <v>20.339100133333325</v>
      </c>
      <c r="G206" s="16">
        <f t="shared" si="63"/>
        <v>0</v>
      </c>
      <c r="I206" s="21">
        <f t="shared" si="64"/>
        <v>8.8990843205074075</v>
      </c>
      <c r="J206" s="17">
        <f t="shared" si="65"/>
        <v>4.5032937081963267</v>
      </c>
      <c r="K206" s="16">
        <f t="shared" si="66"/>
        <v>1.67487696</v>
      </c>
      <c r="L206" s="16">
        <f t="shared" si="67"/>
        <v>7.6271625499999969</v>
      </c>
      <c r="M206" s="16">
        <f t="shared" si="68"/>
        <v>19.941551349425279</v>
      </c>
      <c r="N206" s="15"/>
      <c r="O206" s="15"/>
      <c r="P206" s="15"/>
    </row>
    <row r="207" spans="1:19" x14ac:dyDescent="0.15">
      <c r="A207">
        <f t="shared" si="70"/>
        <v>18</v>
      </c>
      <c r="B207">
        <f t="shared" si="70"/>
        <v>2047</v>
      </c>
      <c r="C207" s="21">
        <f t="shared" si="69"/>
        <v>9.4164188342196358</v>
      </c>
      <c r="D207" s="17">
        <f t="shared" si="62"/>
        <v>11.730733923135459</v>
      </c>
      <c r="E207" s="16">
        <f t="shared" si="60"/>
        <v>3.46896</v>
      </c>
      <c r="F207" s="16">
        <f t="shared" si="61"/>
        <v>20.207227199999991</v>
      </c>
      <c r="G207" s="16">
        <f t="shared" si="63"/>
        <v>0</v>
      </c>
      <c r="I207" s="21">
        <f t="shared" si="64"/>
        <v>9.1219642069720983</v>
      </c>
      <c r="J207" s="17">
        <f t="shared" si="65"/>
        <v>4.5623064711757984</v>
      </c>
      <c r="K207" s="16">
        <f t="shared" si="66"/>
        <v>1.6304111999999999</v>
      </c>
      <c r="L207" s="16">
        <f t="shared" si="67"/>
        <v>7.5777101999999976</v>
      </c>
      <c r="M207" s="16">
        <f t="shared" si="68"/>
        <v>19.799124023598811</v>
      </c>
      <c r="N207" s="15"/>
      <c r="O207" s="15"/>
      <c r="P207" s="15"/>
    </row>
    <row r="208" spans="1:19" x14ac:dyDescent="0.15">
      <c r="A208">
        <f t="shared" si="70"/>
        <v>19</v>
      </c>
      <c r="B208">
        <f t="shared" si="70"/>
        <v>2048</v>
      </c>
      <c r="C208" s="21">
        <f t="shared" si="69"/>
        <v>9.5585959298956791</v>
      </c>
      <c r="D208" s="17">
        <f t="shared" si="62"/>
        <v>11.897364924742091</v>
      </c>
      <c r="E208" s="16">
        <f t="shared" si="60"/>
        <v>3.374352</v>
      </c>
      <c r="F208" s="16">
        <f t="shared" si="61"/>
        <v>20.075354266666661</v>
      </c>
      <c r="G208" s="16">
        <f t="shared" si="63"/>
        <v>0</v>
      </c>
      <c r="I208" s="21">
        <f t="shared" si="64"/>
        <v>9.2783507456299077</v>
      </c>
      <c r="J208" s="17">
        <f t="shared" si="65"/>
        <v>4.6241518467782834</v>
      </c>
      <c r="K208" s="16">
        <f t="shared" si="66"/>
        <v>1.5859454399999999</v>
      </c>
      <c r="L208" s="16">
        <f t="shared" si="67"/>
        <v>7.5282578499999975</v>
      </c>
      <c r="M208" s="16">
        <f t="shared" si="68"/>
        <v>19.656121003636358</v>
      </c>
      <c r="N208" s="15"/>
      <c r="O208" s="15"/>
      <c r="P208" s="15"/>
    </row>
    <row r="209" spans="1:16" x14ac:dyDescent="0.15">
      <c r="A209">
        <f t="shared" si="70"/>
        <v>20</v>
      </c>
      <c r="B209">
        <f t="shared" si="70"/>
        <v>2049</v>
      </c>
      <c r="C209" s="21">
        <f t="shared" si="69"/>
        <v>9.7080406023170802</v>
      </c>
      <c r="D209" s="17">
        <f t="shared" si="62"/>
        <v>12.072190893640851</v>
      </c>
      <c r="E209" s="16">
        <f t="shared" si="60"/>
        <v>3.279744</v>
      </c>
      <c r="F209" s="16">
        <f t="shared" si="61"/>
        <v>19.943481333333327</v>
      </c>
      <c r="G209" s="16">
        <f t="shared" si="63"/>
        <v>0</v>
      </c>
      <c r="I209" s="21">
        <f t="shared" si="64"/>
        <v>9.4406882821391775</v>
      </c>
      <c r="J209" s="17">
        <f t="shared" si="65"/>
        <v>4.6890387982300732</v>
      </c>
      <c r="K209" s="16">
        <f t="shared" si="66"/>
        <v>1.5414796799999999</v>
      </c>
      <c r="L209" s="16">
        <f t="shared" si="67"/>
        <v>7.4788054999999982</v>
      </c>
      <c r="M209" s="16">
        <f t="shared" si="68"/>
        <v>19.512493866666659</v>
      </c>
      <c r="N209" s="15"/>
      <c r="O209" s="15"/>
      <c r="P209" s="15"/>
    </row>
    <row r="210" spans="1:16" x14ac:dyDescent="0.15">
      <c r="A210">
        <f t="shared" si="70"/>
        <v>21</v>
      </c>
      <c r="B210">
        <f t="shared" si="70"/>
        <v>2050</v>
      </c>
      <c r="C210" s="21">
        <f t="shared" si="69"/>
        <v>9.8651681333574945</v>
      </c>
      <c r="D210" s="17">
        <f t="shared" si="62"/>
        <v>12.255831617273998</v>
      </c>
      <c r="E210" s="16">
        <f t="shared" si="60"/>
        <v>3.185136</v>
      </c>
      <c r="F210" s="16">
        <f t="shared" si="61"/>
        <v>19.811608399999994</v>
      </c>
      <c r="G210" s="16">
        <f t="shared" si="63"/>
        <v>0</v>
      </c>
      <c r="I210" s="21">
        <f t="shared" si="64"/>
        <v>9.6095667561408149</v>
      </c>
      <c r="J210" s="17">
        <f t="shared" si="65"/>
        <v>4.7571973606794309</v>
      </c>
      <c r="K210" s="16">
        <f t="shared" si="66"/>
        <v>1.4970139200000001</v>
      </c>
      <c r="L210" s="16">
        <f t="shared" si="67"/>
        <v>7.4293531499999981</v>
      </c>
      <c r="M210" s="16">
        <f t="shared" si="68"/>
        <v>19.368188602564096</v>
      </c>
      <c r="N210" s="15"/>
      <c r="O210" s="15"/>
      <c r="P210" s="15"/>
    </row>
    <row r="211" spans="1:16" x14ac:dyDescent="0.15">
      <c r="A211">
        <f t="shared" si="70"/>
        <v>22</v>
      </c>
      <c r="B211">
        <f t="shared" si="70"/>
        <v>2051</v>
      </c>
      <c r="C211" s="21">
        <f t="shared" si="69"/>
        <v>10.030449742403258</v>
      </c>
      <c r="D211" s="17">
        <f t="shared" si="62"/>
        <v>12.448970999026107</v>
      </c>
      <c r="E211" s="16">
        <f t="shared" si="60"/>
        <v>3.0905279999999999</v>
      </c>
      <c r="F211" s="16">
        <f t="shared" si="61"/>
        <v>19.679735466666664</v>
      </c>
      <c r="G211" s="16">
        <f t="shared" si="63"/>
        <v>0</v>
      </c>
      <c r="I211" s="21">
        <f t="shared" si="64"/>
        <v>9.7856024515228661</v>
      </c>
      <c r="J211" s="17">
        <f t="shared" si="65"/>
        <v>4.8288813660141008</v>
      </c>
      <c r="K211" s="16">
        <f t="shared" si="66"/>
        <v>1.4525481600000001</v>
      </c>
      <c r="L211" s="16">
        <f t="shared" si="67"/>
        <v>7.3799007999999988</v>
      </c>
      <c r="M211" s="16">
        <f t="shared" si="68"/>
        <v>19.223144784158411</v>
      </c>
      <c r="N211" s="15"/>
      <c r="O211" s="15"/>
      <c r="P211" s="15"/>
    </row>
    <row r="212" spans="1:16" x14ac:dyDescent="0.15">
      <c r="A212">
        <f t="shared" si="70"/>
        <v>23</v>
      </c>
      <c r="B212">
        <f t="shared" si="70"/>
        <v>2052</v>
      </c>
      <c r="C212" s="21">
        <f t="shared" si="69"/>
        <v>10.204415872660707</v>
      </c>
      <c r="D212" s="17">
        <f t="shared" si="62"/>
        <v>12.652365569189827</v>
      </c>
      <c r="E212" s="16">
        <f t="shared" si="60"/>
        <v>2.9959199999999999</v>
      </c>
      <c r="F212" s="16">
        <f t="shared" si="61"/>
        <v>19.54786253333333</v>
      </c>
      <c r="G212" s="16">
        <f t="shared" si="63"/>
        <v>0</v>
      </c>
      <c r="I212" s="21">
        <f t="shared" si="64"/>
        <v>9.9694472953550672</v>
      </c>
      <c r="J212" s="17">
        <f t="shared" si="65"/>
        <v>4.9043716017205226</v>
      </c>
      <c r="K212" s="16">
        <f t="shared" si="66"/>
        <v>1.4080824000000001</v>
      </c>
      <c r="L212" s="16">
        <f t="shared" si="67"/>
        <v>7.3304484499999996</v>
      </c>
      <c r="M212" s="16">
        <f t="shared" si="68"/>
        <v>19.077294585034014</v>
      </c>
      <c r="N212" s="15"/>
      <c r="O212" s="15"/>
      <c r="P212" s="15"/>
    </row>
    <row r="213" spans="1:16" x14ac:dyDescent="0.15">
      <c r="A213">
        <f t="shared" si="70"/>
        <v>24</v>
      </c>
      <c r="B213">
        <f t="shared" si="70"/>
        <v>2053</v>
      </c>
      <c r="C213" s="21">
        <f t="shared" si="69"/>
        <v>10.387660765899625</v>
      </c>
      <c r="D213" s="17">
        <f t="shared" si="62"/>
        <v>12.866854388635211</v>
      </c>
      <c r="E213" s="16">
        <f t="shared" si="60"/>
        <v>2.9013119999999999</v>
      </c>
      <c r="F213" s="16">
        <f t="shared" si="61"/>
        <v>19.415989600000003</v>
      </c>
      <c r="G213" s="16">
        <f t="shared" si="63"/>
        <v>0</v>
      </c>
      <c r="I213" s="21">
        <f t="shared" si="64"/>
        <v>10.161798036539583</v>
      </c>
      <c r="J213" s="17">
        <f t="shared" si="65"/>
        <v>4.9839794866472937</v>
      </c>
      <c r="K213" s="16">
        <f t="shared" si="66"/>
        <v>1.36361664</v>
      </c>
      <c r="L213" s="16">
        <f t="shared" si="67"/>
        <v>7.2809960999999994</v>
      </c>
      <c r="M213" s="16">
        <f t="shared" si="68"/>
        <v>18.930561611228068</v>
      </c>
      <c r="N213" s="15"/>
      <c r="O213" s="15"/>
    </row>
    <row r="214" spans="1:16" x14ac:dyDescent="0.15">
      <c r="A214">
        <f t="shared" si="70"/>
        <v>25</v>
      </c>
      <c r="B214">
        <f t="shared" si="70"/>
        <v>2054</v>
      </c>
      <c r="C214" s="21">
        <f t="shared" si="69"/>
        <v>10.581078524915606</v>
      </c>
      <c r="D214" s="17">
        <f t="shared" si="62"/>
        <v>13.046444346864851</v>
      </c>
      <c r="E214" s="16">
        <f t="shared" si="60"/>
        <v>2.8210385454545457</v>
      </c>
      <c r="F214" s="16">
        <f t="shared" si="61"/>
        <v>19.284116666666669</v>
      </c>
      <c r="G214" s="16">
        <f t="shared" si="63"/>
        <v>0</v>
      </c>
      <c r="I214" s="21">
        <f t="shared" si="64"/>
        <v>10.36351386787315</v>
      </c>
      <c r="J214" s="17">
        <f t="shared" si="65"/>
        <v>5.0505892189068051</v>
      </c>
      <c r="K214" s="16">
        <f t="shared" si="66"/>
        <v>1.3258881163636362</v>
      </c>
      <c r="L214" s="16">
        <f t="shared" si="67"/>
        <v>7.2315437500000002</v>
      </c>
      <c r="M214" s="16">
        <f t="shared" si="68"/>
        <v>18.878788306719365</v>
      </c>
      <c r="N214" s="15"/>
      <c r="O214" s="15"/>
    </row>
    <row r="215" spans="1:16" x14ac:dyDescent="0.15">
      <c r="A215">
        <f t="shared" si="70"/>
        <v>26</v>
      </c>
      <c r="B215">
        <f t="shared" si="70"/>
        <v>2055</v>
      </c>
      <c r="C215" s="21">
        <f t="shared" si="69"/>
        <v>10.792892260809761</v>
      </c>
      <c r="D215" s="17">
        <f t="shared" si="62"/>
        <v>13.234749242408922</v>
      </c>
      <c r="E215" s="16">
        <f t="shared" si="60"/>
        <v>2.740765090909091</v>
      </c>
      <c r="F215" s="16">
        <f t="shared" si="61"/>
        <v>19.152243733333336</v>
      </c>
      <c r="G215" s="16">
        <f t="shared" si="63"/>
        <v>0</v>
      </c>
      <c r="I215" s="21">
        <f t="shared" si="64"/>
        <v>10.583044336086791</v>
      </c>
      <c r="J215" s="17">
        <f t="shared" si="65"/>
        <v>5.120431312523797</v>
      </c>
      <c r="K215" s="16">
        <f t="shared" si="66"/>
        <v>1.2881595927272727</v>
      </c>
      <c r="L215" s="16">
        <f t="shared" si="67"/>
        <v>7.1820914</v>
      </c>
      <c r="M215" s="16">
        <f t="shared" si="68"/>
        <v>18.735381639566395</v>
      </c>
      <c r="N215" s="15"/>
      <c r="O215" s="15"/>
    </row>
    <row r="216" spans="1:16" x14ac:dyDescent="0.15">
      <c r="A216">
        <f t="shared" si="70"/>
        <v>27</v>
      </c>
      <c r="B216">
        <f t="shared" si="70"/>
        <v>2056</v>
      </c>
      <c r="C216" s="21">
        <f t="shared" si="69"/>
        <v>10.964128141465268</v>
      </c>
      <c r="D216" s="17">
        <f t="shared" si="62"/>
        <v>13.432419212686984</v>
      </c>
      <c r="E216" s="16">
        <f t="shared" si="60"/>
        <v>2.6604916363636359</v>
      </c>
      <c r="F216" s="16">
        <f t="shared" si="61"/>
        <v>19.020370800000006</v>
      </c>
      <c r="G216" s="16">
        <f t="shared" si="63"/>
        <v>0</v>
      </c>
      <c r="I216" s="21">
        <f t="shared" si="64"/>
        <v>10.761474801918046</v>
      </c>
      <c r="J216" s="17">
        <f t="shared" si="65"/>
        <v>5.1937469028037997</v>
      </c>
      <c r="K216" s="16">
        <f t="shared" si="66"/>
        <v>1.2504310690909088</v>
      </c>
      <c r="L216" s="16">
        <f t="shared" si="67"/>
        <v>7.1326390500000008</v>
      </c>
      <c r="M216" s="16">
        <f t="shared" si="68"/>
        <v>18.591299356206417</v>
      </c>
      <c r="N216" s="15"/>
      <c r="O216" s="15"/>
    </row>
    <row r="217" spans="1:16" x14ac:dyDescent="0.15">
      <c r="A217">
        <f t="shared" si="70"/>
        <v>28</v>
      </c>
      <c r="B217">
        <f t="shared" si="70"/>
        <v>2057</v>
      </c>
      <c r="C217" s="21">
        <f t="shared" si="69"/>
        <v>11.143771683658203</v>
      </c>
      <c r="D217" s="17">
        <f t="shared" si="62"/>
        <v>13.640170711503815</v>
      </c>
      <c r="E217" s="16">
        <f t="shared" si="60"/>
        <v>2.5802181818181813</v>
      </c>
      <c r="F217" s="16">
        <f t="shared" si="61"/>
        <v>18.888497866666672</v>
      </c>
      <c r="G217" s="16">
        <f t="shared" si="63"/>
        <v>0</v>
      </c>
      <c r="I217" s="21">
        <f t="shared" si="64"/>
        <v>10.947842208453308</v>
      </c>
      <c r="J217" s="17">
        <f t="shared" si="65"/>
        <v>5.2708017217319627</v>
      </c>
      <c r="K217" s="16">
        <f t="shared" si="66"/>
        <v>1.2127025454545453</v>
      </c>
      <c r="L217" s="16">
        <f t="shared" si="67"/>
        <v>7.0831867000000015</v>
      </c>
      <c r="M217" s="16">
        <f t="shared" si="68"/>
        <v>18.446480301724144</v>
      </c>
      <c r="N217" s="15"/>
      <c r="O217" s="15"/>
    </row>
    <row r="218" spans="1:16" x14ac:dyDescent="0.15">
      <c r="A218">
        <f t="shared" si="70"/>
        <v>29</v>
      </c>
      <c r="B218">
        <f t="shared" si="70"/>
        <v>2058</v>
      </c>
      <c r="C218" s="21">
        <f t="shared" si="69"/>
        <v>11.332401772325353</v>
      </c>
      <c r="D218" s="17">
        <f t="shared" si="62"/>
        <v>13.858795185959659</v>
      </c>
      <c r="E218" s="16">
        <f t="shared" si="60"/>
        <v>2.4999447272727271</v>
      </c>
      <c r="F218" s="16">
        <f t="shared" si="61"/>
        <v>18.756624933333338</v>
      </c>
      <c r="G218" s="16">
        <f t="shared" si="63"/>
        <v>0</v>
      </c>
      <c r="I218" s="21">
        <f t="shared" si="64"/>
        <v>11.142770333974857</v>
      </c>
      <c r="J218" s="17">
        <f t="shared" si="65"/>
        <v>5.3518893162301993</v>
      </c>
      <c r="K218" s="16">
        <f t="shared" si="66"/>
        <v>1.1749740218181814</v>
      </c>
      <c r="L218" s="16">
        <f t="shared" si="67"/>
        <v>7.0337343500000022</v>
      </c>
      <c r="M218" s="16">
        <f t="shared" si="68"/>
        <v>18.300855710814819</v>
      </c>
      <c r="N218" s="15"/>
      <c r="O218" s="15"/>
    </row>
    <row r="219" spans="1:16" x14ac:dyDescent="0.15">
      <c r="A219">
        <f t="shared" si="70"/>
        <v>30</v>
      </c>
      <c r="B219">
        <f t="shared" si="70"/>
        <v>2059</v>
      </c>
      <c r="C219" s="21">
        <f t="shared" si="69"/>
        <v>11.530656683799986</v>
      </c>
      <c r="D219" s="17">
        <f t="shared" si="62"/>
        <v>14.089169152324839</v>
      </c>
      <c r="E219" s="16">
        <f t="shared" si="60"/>
        <v>2.4196712727272724</v>
      </c>
      <c r="F219" s="16">
        <f t="shared" si="61"/>
        <v>18.624752000000008</v>
      </c>
      <c r="G219" s="16">
        <f t="shared" si="63"/>
        <v>0</v>
      </c>
      <c r="I219" s="21">
        <f t="shared" si="64"/>
        <v>11.346936820908972</v>
      </c>
      <c r="J219" s="17">
        <f t="shared" si="65"/>
        <v>5.437334785288801</v>
      </c>
      <c r="K219" s="16">
        <f t="shared" si="66"/>
        <v>1.1372454981818181</v>
      </c>
      <c r="L219" s="16">
        <f t="shared" si="67"/>
        <v>6.984282000000003</v>
      </c>
      <c r="M219" s="16">
        <f t="shared" si="68"/>
        <v>18.154347985932727</v>
      </c>
      <c r="N219" s="15"/>
      <c r="O219" s="15"/>
    </row>
    <row r="220" spans="1:16" x14ac:dyDescent="0.15">
      <c r="A220">
        <f t="shared" si="70"/>
        <v>31</v>
      </c>
      <c r="B220">
        <f t="shared" si="70"/>
        <v>2060</v>
      </c>
      <c r="C220" s="21">
        <f t="shared" si="69"/>
        <v>11.739240754687692</v>
      </c>
      <c r="D220" s="17">
        <f t="shared" si="62"/>
        <v>14.332265941290068</v>
      </c>
      <c r="E220" s="16">
        <f t="shared" si="60"/>
        <v>2.3393978181818178</v>
      </c>
      <c r="F220" s="16">
        <f t="shared" si="61"/>
        <v>18.492879066666674</v>
      </c>
      <c r="G220" s="16">
        <f t="shared" si="63"/>
        <v>0</v>
      </c>
      <c r="I220" s="21">
        <f t="shared" si="64"/>
        <v>11.561080670188121</v>
      </c>
      <c r="J220" s="17">
        <f t="shared" si="65"/>
        <v>5.5274991362677985</v>
      </c>
      <c r="K220" s="16">
        <f t="shared" si="66"/>
        <v>1.0995169745454545</v>
      </c>
      <c r="L220" s="16">
        <f t="shared" si="67"/>
        <v>6.9348296500000028</v>
      </c>
      <c r="M220" s="16">
        <f t="shared" si="68"/>
        <v>18.006869232227498</v>
      </c>
      <c r="N220" s="15"/>
      <c r="O220" s="15"/>
    </row>
    <row r="221" spans="1:16" x14ac:dyDescent="0.15">
      <c r="A221">
        <f t="shared" si="70"/>
        <v>32</v>
      </c>
      <c r="B221">
        <f t="shared" si="70"/>
        <v>2061</v>
      </c>
      <c r="C221" s="21">
        <f t="shared" si="69"/>
        <v>11.958932092911187</v>
      </c>
      <c r="D221" s="17">
        <f t="shared" si="62"/>
        <v>14.589169444435877</v>
      </c>
      <c r="E221" s="16">
        <f t="shared" si="60"/>
        <v>2.2591243636363636</v>
      </c>
      <c r="F221" s="16">
        <f t="shared" si="61"/>
        <v>18.361006133333341</v>
      </c>
      <c r="G221" s="16">
        <f t="shared" si="63"/>
        <v>0</v>
      </c>
      <c r="I221" s="21">
        <f t="shared" si="64"/>
        <v>11.786010634143988</v>
      </c>
      <c r="J221" s="17">
        <f t="shared" si="65"/>
        <v>5.6227843834484439</v>
      </c>
      <c r="K221" s="16">
        <f t="shared" si="66"/>
        <v>1.0617884509090907</v>
      </c>
      <c r="L221" s="16">
        <f t="shared" si="67"/>
        <v>6.8853773000000036</v>
      </c>
      <c r="M221" s="16">
        <f t="shared" si="68"/>
        <v>17.858319490849681</v>
      </c>
      <c r="N221" s="15"/>
      <c r="O221" s="15"/>
    </row>
    <row r="222" spans="1:16" x14ac:dyDescent="0.15">
      <c r="A222">
        <f t="shared" ref="A222:A285" si="71">A221+1</f>
        <v>33</v>
      </c>
      <c r="B222">
        <f>B221+1</f>
        <v>2062</v>
      </c>
      <c r="C222" s="21">
        <f t="shared" si="69"/>
        <v>12.190591479482144</v>
      </c>
      <c r="D222" s="17">
        <f t="shared" si="62"/>
        <v>14.861090271356387</v>
      </c>
      <c r="E222" s="16">
        <f>$J37*1000*$Q$189/1000000000</f>
        <v>2.1788509090909085</v>
      </c>
      <c r="F222" s="16">
        <f t="shared" si="61"/>
        <v>18.22913320000001</v>
      </c>
      <c r="G222" s="16">
        <f t="shared" si="63"/>
        <v>0</v>
      </c>
      <c r="I222" s="21">
        <f t="shared" si="64"/>
        <v>12.022614684827637</v>
      </c>
      <c r="J222" s="17">
        <f t="shared" si="65"/>
        <v>5.7236395406939282</v>
      </c>
      <c r="K222" s="16">
        <f>$J37*1000*$Q$190/1000000000</f>
        <v>1.0240599272727269</v>
      </c>
      <c r="L222" s="16">
        <f t="shared" si="67"/>
        <v>6.8359249500000043</v>
      </c>
      <c r="M222" s="16">
        <f t="shared" si="68"/>
        <v>17.708584595600687</v>
      </c>
      <c r="N222" s="15"/>
      <c r="O222" s="15"/>
    </row>
    <row r="223" spans="1:16" x14ac:dyDescent="0.15">
      <c r="A223">
        <f t="shared" si="71"/>
        <v>34</v>
      </c>
      <c r="B223">
        <f t="shared" ref="B223:B286" si="72">B222+1</f>
        <v>2063</v>
      </c>
      <c r="C223" s="21">
        <f t="shared" si="69"/>
        <v>12.434117435535438</v>
      </c>
      <c r="D223" s="17">
        <f t="shared" si="62"/>
        <v>15.557569720293861</v>
      </c>
      <c r="E223" s="16">
        <f>$J38*1000*$Q$189/1000000000</f>
        <v>2.0183040000000001</v>
      </c>
      <c r="F223" s="16">
        <f t="shared" si="61"/>
        <v>18.097260266666677</v>
      </c>
      <c r="G223" s="16">
        <f t="shared" si="63"/>
        <v>0</v>
      </c>
      <c r="I223" s="21">
        <f t="shared" si="64"/>
        <v>12.271374811310078</v>
      </c>
      <c r="J223" s="17">
        <f t="shared" si="65"/>
        <v>5.982381328037027</v>
      </c>
      <c r="K223" s="16">
        <f>$J38*1000*$Q$190/1000000000</f>
        <v>0.94860288000000004</v>
      </c>
      <c r="L223" s="16">
        <f t="shared" si="67"/>
        <v>6.7864726000000042</v>
      </c>
      <c r="M223" s="16">
        <f t="shared" si="68"/>
        <v>16.88593391157896</v>
      </c>
      <c r="N223" s="15"/>
      <c r="O223" s="15"/>
    </row>
    <row r="224" spans="1:16" x14ac:dyDescent="0.15">
      <c r="A224">
        <f t="shared" si="71"/>
        <v>35</v>
      </c>
      <c r="B224">
        <f t="shared" si="72"/>
        <v>2064</v>
      </c>
      <c r="C224" s="21">
        <f t="shared" si="69"/>
        <v>12.594948609696981</v>
      </c>
      <c r="D224" s="17">
        <f t="shared" si="62"/>
        <v>15.82772874864739</v>
      </c>
      <c r="E224" s="16">
        <f t="shared" si="60"/>
        <v>1.9487073103448276</v>
      </c>
      <c r="F224" s="16">
        <f t="shared" si="61"/>
        <v>17.965387333333346</v>
      </c>
      <c r="G224" s="16">
        <f t="shared" si="63"/>
        <v>0</v>
      </c>
      <c r="I224" s="21">
        <f t="shared" si="64"/>
        <v>12.436467868070928</v>
      </c>
      <c r="J224" s="17">
        <f t="shared" si="65"/>
        <v>6.0825374337246201</v>
      </c>
      <c r="K224" s="16">
        <f t="shared" si="66"/>
        <v>0.91589243586206892</v>
      </c>
      <c r="L224" s="16">
        <f t="shared" si="67"/>
        <v>6.7370202500000049</v>
      </c>
      <c r="M224" s="16">
        <f t="shared" si="68"/>
        <v>17.473216809195414</v>
      </c>
      <c r="N224" s="15"/>
      <c r="O224" s="15"/>
    </row>
    <row r="225" spans="1:15" x14ac:dyDescent="0.15">
      <c r="A225">
        <f t="shared" si="71"/>
        <v>36</v>
      </c>
      <c r="B225">
        <f t="shared" si="72"/>
        <v>2065</v>
      </c>
      <c r="C225" s="21">
        <f t="shared" si="69"/>
        <v>13.370090500525988</v>
      </c>
      <c r="D225" s="17">
        <f t="shared" si="62"/>
        <v>16.113256823947246</v>
      </c>
      <c r="E225" s="16">
        <f t="shared" si="60"/>
        <v>1.8791106206896553</v>
      </c>
      <c r="F225" s="16">
        <f t="shared" si="61"/>
        <v>17.833514400000013</v>
      </c>
      <c r="G225" s="16">
        <f t="shared" si="63"/>
        <v>0</v>
      </c>
      <c r="I225" s="21">
        <f t="shared" si="64"/>
        <v>13.21566321485815</v>
      </c>
      <c r="J225" s="17">
        <f t="shared" si="65"/>
        <v>6.1883913089802167</v>
      </c>
      <c r="K225" s="16">
        <f t="shared" si="66"/>
        <v>0.88318199172413792</v>
      </c>
      <c r="L225" s="16">
        <f t="shared" si="67"/>
        <v>6.6875679000000048</v>
      </c>
      <c r="M225" s="16">
        <f t="shared" si="68"/>
        <v>17.323766357142869</v>
      </c>
      <c r="N225" s="15"/>
      <c r="O225" s="15"/>
    </row>
    <row r="226" spans="1:15" x14ac:dyDescent="0.15">
      <c r="A226">
        <f t="shared" si="71"/>
        <v>37</v>
      </c>
      <c r="B226">
        <f t="shared" si="72"/>
        <v>2066</v>
      </c>
      <c r="C226" s="21">
        <f t="shared" si="69"/>
        <v>13.626919569839501</v>
      </c>
      <c r="D226" s="17">
        <f t="shared" si="62"/>
        <v>16.415503835037761</v>
      </c>
      <c r="E226" s="16">
        <f t="shared" si="60"/>
        <v>1.8095139310344828</v>
      </c>
      <c r="F226" s="16">
        <f t="shared" si="61"/>
        <v>17.701641466666679</v>
      </c>
      <c r="G226" s="16">
        <f t="shared" si="63"/>
        <v>0</v>
      </c>
      <c r="I226" s="21">
        <f t="shared" si="64"/>
        <v>13.476352465593187</v>
      </c>
      <c r="J226" s="17">
        <f t="shared" si="65"/>
        <v>6.3004433983404411</v>
      </c>
      <c r="K226" s="16">
        <f t="shared" si="66"/>
        <v>0.8504715475862068</v>
      </c>
      <c r="L226" s="16">
        <f t="shared" si="67"/>
        <v>6.6381155500000055</v>
      </c>
      <c r="M226" s="16">
        <f t="shared" si="68"/>
        <v>17.173013866666683</v>
      </c>
      <c r="N226" s="15"/>
      <c r="O226" s="15"/>
    </row>
    <row r="227" spans="1:15" x14ac:dyDescent="0.15">
      <c r="A227">
        <f t="shared" si="71"/>
        <v>38</v>
      </c>
      <c r="B227">
        <f t="shared" si="72"/>
        <v>2067</v>
      </c>
      <c r="C227" s="21">
        <f t="shared" si="69"/>
        <v>13.897886644863084</v>
      </c>
      <c r="D227" s="17">
        <f t="shared" si="62"/>
        <v>16.735982522574833</v>
      </c>
      <c r="E227" s="16">
        <f t="shared" si="60"/>
        <v>1.7399172413793105</v>
      </c>
      <c r="F227" s="16">
        <f t="shared" si="61"/>
        <v>17.569768533333349</v>
      </c>
      <c r="G227" s="16">
        <f t="shared" si="63"/>
        <v>0</v>
      </c>
      <c r="I227" s="21">
        <f t="shared" si="64"/>
        <v>13.751000173649878</v>
      </c>
      <c r="J227" s="17">
        <f t="shared" si="65"/>
        <v>6.4192545204236211</v>
      </c>
      <c r="K227" s="16">
        <f t="shared" si="66"/>
        <v>0.81776110344827579</v>
      </c>
      <c r="L227" s="16">
        <f t="shared" si="67"/>
        <v>6.5886632000000054</v>
      </c>
      <c r="M227" s="16">
        <f t="shared" si="68"/>
        <v>17.020809102564115</v>
      </c>
      <c r="N227" s="15"/>
      <c r="O227" s="15"/>
    </row>
    <row r="228" spans="1:15" x14ac:dyDescent="0.15">
      <c r="A228">
        <f t="shared" si="71"/>
        <v>39</v>
      </c>
      <c r="B228">
        <f t="shared" si="72"/>
        <v>2068</v>
      </c>
      <c r="C228" s="21">
        <f t="shared" si="69"/>
        <v>14.184138433525613</v>
      </c>
      <c r="D228" s="17">
        <f t="shared" si="62"/>
        <v>17.076393800979133</v>
      </c>
      <c r="E228" s="16">
        <f t="shared" si="60"/>
        <v>1.670320551724138</v>
      </c>
      <c r="F228" s="16">
        <f t="shared" si="61"/>
        <v>17.437895600000015</v>
      </c>
      <c r="G228" s="16">
        <f t="shared" si="63"/>
        <v>0</v>
      </c>
      <c r="I228" s="21">
        <f t="shared" si="64"/>
        <v>14.040765511387548</v>
      </c>
      <c r="J228" s="17">
        <f t="shared" si="65"/>
        <v>6.5454552555421017</v>
      </c>
      <c r="K228" s="16">
        <f t="shared" si="66"/>
        <v>0.78505065931034479</v>
      </c>
      <c r="L228" s="16">
        <f t="shared" si="67"/>
        <v>6.5392108500000061</v>
      </c>
      <c r="M228" s="16">
        <f t="shared" si="68"/>
        <v>16.866977792000014</v>
      </c>
      <c r="N228" s="15"/>
      <c r="O228" s="15"/>
    </row>
    <row r="229" spans="1:15" x14ac:dyDescent="0.15">
      <c r="A229">
        <f t="shared" si="71"/>
        <v>40</v>
      </c>
      <c r="B229">
        <f t="shared" si="72"/>
        <v>2069</v>
      </c>
      <c r="C229" s="21">
        <f t="shared" si="69"/>
        <v>14.486944800359915</v>
      </c>
      <c r="D229" s="17">
        <f t="shared" si="62"/>
        <v>17.438656956833647</v>
      </c>
      <c r="E229" s="16">
        <f t="shared" si="60"/>
        <v>1.6007238620689657</v>
      </c>
      <c r="F229" s="16">
        <f t="shared" si="61"/>
        <v>17.306022666666685</v>
      </c>
      <c r="G229" s="16">
        <f t="shared" si="63"/>
        <v>0</v>
      </c>
      <c r="I229" s="21">
        <f t="shared" si="64"/>
        <v>14.346929688119767</v>
      </c>
      <c r="J229" s="17">
        <f t="shared" si="65"/>
        <v>6.6797571411596595</v>
      </c>
      <c r="K229" s="16">
        <f t="shared" si="66"/>
        <v>0.75234021517241378</v>
      </c>
      <c r="L229" s="16">
        <f t="shared" si="67"/>
        <v>6.4897585000000069</v>
      </c>
      <c r="M229" s="16">
        <f t="shared" si="68"/>
        <v>16.711316616666682</v>
      </c>
      <c r="N229" s="15"/>
      <c r="O229" s="15"/>
    </row>
    <row r="230" spans="1:15" x14ac:dyDescent="0.15">
      <c r="A230">
        <f t="shared" si="71"/>
        <v>41</v>
      </c>
      <c r="B230">
        <f t="shared" si="72"/>
        <v>2070</v>
      </c>
      <c r="C230" s="21">
        <f t="shared" si="69"/>
        <v>14.807714055978101</v>
      </c>
      <c r="D230" s="17">
        <f t="shared" si="62"/>
        <v>17.824945855667117</v>
      </c>
      <c r="E230" s="16">
        <f t="shared" si="60"/>
        <v>1.5311271724137931</v>
      </c>
      <c r="F230" s="16">
        <f t="shared" si="61"/>
        <v>17.174149733333351</v>
      </c>
      <c r="G230" s="16">
        <f t="shared" si="63"/>
        <v>0</v>
      </c>
      <c r="I230" s="21">
        <f t="shared" si="64"/>
        <v>14.670911362903492</v>
      </c>
      <c r="J230" s="17">
        <f t="shared" si="65"/>
        <v>6.8229660948388995</v>
      </c>
      <c r="K230" s="16">
        <f t="shared" si="66"/>
        <v>0.71962977103448267</v>
      </c>
      <c r="L230" s="16">
        <f t="shared" si="67"/>
        <v>6.4403061500000067</v>
      </c>
      <c r="M230" s="16">
        <f t="shared" si="68"/>
        <v>16.553586898550744</v>
      </c>
      <c r="N230" s="15"/>
      <c r="O230" s="15"/>
    </row>
    <row r="231" spans="1:15" x14ac:dyDescent="0.15">
      <c r="A231">
        <f t="shared" si="71"/>
        <v>42</v>
      </c>
      <c r="B231">
        <f t="shared" si="72"/>
        <v>2071</v>
      </c>
      <c r="C231" s="21">
        <f t="shared" si="69"/>
        <v>15.14801012199877</v>
      </c>
      <c r="D231" s="17">
        <f t="shared" si="62"/>
        <v>18.237732599651014</v>
      </c>
      <c r="E231" s="16">
        <f t="shared" si="60"/>
        <v>1.4615304827586206</v>
      </c>
      <c r="F231" s="16">
        <f t="shared" si="61"/>
        <v>17.042276800000021</v>
      </c>
      <c r="G231" s="16">
        <f t="shared" si="63"/>
        <v>0</v>
      </c>
      <c r="I231" s="21">
        <f t="shared" si="64"/>
        <v>15.014283916853122</v>
      </c>
      <c r="J231" s="17">
        <f t="shared" si="65"/>
        <v>6.9759985994672018</v>
      </c>
      <c r="K231" s="16">
        <f t="shared" si="66"/>
        <v>0.68691932689655177</v>
      </c>
      <c r="L231" s="16">
        <f t="shared" si="67"/>
        <v>6.3908538000000075</v>
      </c>
      <c r="M231" s="16">
        <f t="shared" si="68"/>
        <v>16.393506563636382</v>
      </c>
      <c r="N231" s="15"/>
      <c r="O231" s="15"/>
    </row>
    <row r="232" spans="1:15" x14ac:dyDescent="0.15">
      <c r="A232">
        <f t="shared" si="71"/>
        <v>43</v>
      </c>
      <c r="B232">
        <f t="shared" si="72"/>
        <v>2072</v>
      </c>
      <c r="C232" s="21">
        <f t="shared" si="69"/>
        <v>15.509571631458451</v>
      </c>
      <c r="D232" s="17">
        <f t="shared" si="62"/>
        <v>18.679840488601577</v>
      </c>
      <c r="E232" s="16">
        <f t="shared" si="60"/>
        <v>1.3919337931034483</v>
      </c>
      <c r="F232" s="16">
        <f t="shared" si="61"/>
        <v>16.910403866666691</v>
      </c>
      <c r="G232" s="16">
        <f t="shared" si="63"/>
        <v>0</v>
      </c>
      <c r="I232" s="21">
        <f t="shared" si="64"/>
        <v>15.378794647362472</v>
      </c>
      <c r="J232" s="17">
        <f t="shared" si="65"/>
        <v>7.1399013374986211</v>
      </c>
      <c r="K232" s="16">
        <f t="shared" si="66"/>
        <v>0.65420888275862077</v>
      </c>
      <c r="L232" s="16">
        <f t="shared" si="67"/>
        <v>6.3414014500000073</v>
      </c>
      <c r="M232" s="16">
        <f t="shared" si="68"/>
        <v>16.230739809523829</v>
      </c>
      <c r="N232" s="15"/>
      <c r="O232" s="15"/>
    </row>
    <row r="233" spans="1:15" x14ac:dyDescent="0.15">
      <c r="A233">
        <f t="shared" si="71"/>
        <v>44</v>
      </c>
      <c r="B233">
        <f t="shared" si="72"/>
        <v>2073</v>
      </c>
      <c r="C233" s="21">
        <f t="shared" si="69"/>
        <v>15.894332888984902</v>
      </c>
      <c r="D233" s="17">
        <f t="shared" si="62"/>
        <v>19.154508682377042</v>
      </c>
      <c r="E233" s="16">
        <f t="shared" si="60"/>
        <v>1.322337103448276</v>
      </c>
      <c r="F233" s="16">
        <f t="shared" si="61"/>
        <v>16.778530933333357</v>
      </c>
      <c r="G233" s="16">
        <f t="shared" si="63"/>
        <v>0</v>
      </c>
      <c r="I233" s="21">
        <f t="shared" si="64"/>
        <v>15.76638581047467</v>
      </c>
      <c r="J233" s="17">
        <f t="shared" si="65"/>
        <v>7.3158751632561767</v>
      </c>
      <c r="K233" s="16">
        <f t="shared" si="66"/>
        <v>0.62149843862068976</v>
      </c>
      <c r="L233" s="16">
        <f t="shared" si="67"/>
        <v>6.291949100000009</v>
      </c>
      <c r="M233" s="16">
        <f t="shared" si="68"/>
        <v>16.064883673333355</v>
      </c>
      <c r="N233" s="15"/>
      <c r="O233" s="15"/>
    </row>
    <row r="234" spans="1:15" x14ac:dyDescent="0.15">
      <c r="A234">
        <f t="shared" si="71"/>
        <v>45</v>
      </c>
      <c r="B234">
        <f t="shared" si="72"/>
        <v>2074</v>
      </c>
      <c r="C234" s="21">
        <f t="shared" si="69"/>
        <v>16.304446362742866</v>
      </c>
      <c r="D234" s="17">
        <f t="shared" si="62"/>
        <v>19.665471696226124</v>
      </c>
      <c r="E234" s="16">
        <f t="shared" si="60"/>
        <v>1.2527404137931035</v>
      </c>
      <c r="F234" s="16">
        <f t="shared" si="61"/>
        <v>16.646658000000023</v>
      </c>
      <c r="G234" s="16">
        <f t="shared" si="63"/>
        <v>0</v>
      </c>
      <c r="I234" s="21">
        <f t="shared" si="64"/>
        <v>16.179217185055432</v>
      </c>
      <c r="J234" s="17">
        <f t="shared" si="65"/>
        <v>7.5053045742568409</v>
      </c>
      <c r="K234" s="16">
        <f t="shared" si="66"/>
        <v>0.58878799448275865</v>
      </c>
      <c r="L234" s="16">
        <f t="shared" si="67"/>
        <v>6.2424967500000097</v>
      </c>
      <c r="M234" s="16">
        <f t="shared" si="68"/>
        <v>15.895450357894759</v>
      </c>
      <c r="N234" s="15"/>
      <c r="O234" s="15"/>
    </row>
    <row r="235" spans="1:15" x14ac:dyDescent="0.15">
      <c r="A235">
        <f t="shared" si="71"/>
        <v>46</v>
      </c>
      <c r="B235">
        <f t="shared" si="72"/>
        <v>2075</v>
      </c>
      <c r="C235" s="21">
        <f t="shared" si="69"/>
        <v>16.742305927804257</v>
      </c>
      <c r="D235" s="17">
        <f t="shared" si="62"/>
        <v>20.217057856517879</v>
      </c>
      <c r="E235" s="16">
        <f t="shared" si="60"/>
        <v>1.183143724137931</v>
      </c>
      <c r="F235" s="16">
        <f t="shared" si="61"/>
        <v>16.514785066666693</v>
      </c>
      <c r="G235" s="16">
        <f t="shared" si="63"/>
        <v>0</v>
      </c>
      <c r="I235" s="21">
        <f t="shared" si="64"/>
        <v>16.61968937980577</v>
      </c>
      <c r="J235" s="17">
        <f t="shared" si="65"/>
        <v>7.7097942117221558</v>
      </c>
      <c r="K235" s="16">
        <f t="shared" si="66"/>
        <v>0.55607755034482753</v>
      </c>
      <c r="L235" s="16">
        <f t="shared" si="67"/>
        <v>6.1930444000000096</v>
      </c>
      <c r="M235" s="16">
        <f t="shared" si="68"/>
        <v>15.721843666666688</v>
      </c>
      <c r="N235" s="15"/>
      <c r="O235" s="15"/>
    </row>
    <row r="236" spans="1:15" x14ac:dyDescent="0.15">
      <c r="A236">
        <f t="shared" si="71"/>
        <v>47</v>
      </c>
      <c r="B236">
        <f t="shared" si="72"/>
        <v>2076</v>
      </c>
      <c r="C236" s="21">
        <f t="shared" si="69"/>
        <v>17.210569283208059</v>
      </c>
      <c r="D236" s="17">
        <f t="shared" si="62"/>
        <v>20.814312211193425</v>
      </c>
      <c r="E236" s="16">
        <f t="shared" si="60"/>
        <v>1.1135470344827587</v>
      </c>
      <c r="F236" s="16">
        <f t="shared" si="61"/>
        <v>16.38291213333336</v>
      </c>
      <c r="G236" s="16">
        <f t="shared" si="63"/>
        <v>0</v>
      </c>
      <c r="I236" s="21">
        <f t="shared" si="64"/>
        <v>17.090466306548134</v>
      </c>
      <c r="J236" s="17">
        <f t="shared" si="65"/>
        <v>7.9312144271923604</v>
      </c>
      <c r="K236" s="16">
        <f t="shared" si="66"/>
        <v>0.52336710620689664</v>
      </c>
      <c r="L236" s="16">
        <f t="shared" si="67"/>
        <v>6.1435920500000103</v>
      </c>
      <c r="M236" s="16">
        <f t="shared" si="68"/>
        <v>15.54332712156865</v>
      </c>
      <c r="N236" s="15"/>
      <c r="O236" s="15"/>
    </row>
    <row r="237" spans="1:15" x14ac:dyDescent="0.15">
      <c r="A237">
        <f t="shared" si="71"/>
        <v>48</v>
      </c>
      <c r="B237">
        <f t="shared" si="72"/>
        <v>2077</v>
      </c>
      <c r="C237" s="21">
        <f t="shared" si="69"/>
        <v>17.712176567542702</v>
      </c>
      <c r="D237" s="17">
        <f t="shared" si="62"/>
        <v>21.463151287460377</v>
      </c>
      <c r="E237" s="16">
        <f t="shared" si="60"/>
        <v>1.0439503448275862</v>
      </c>
      <c r="F237" s="16">
        <f t="shared" si="61"/>
        <v>16.251039200000026</v>
      </c>
      <c r="G237" s="16">
        <f t="shared" si="63"/>
        <v>0</v>
      </c>
      <c r="I237" s="21">
        <f t="shared" si="64"/>
        <v>17.594493845609325</v>
      </c>
      <c r="J237" s="17">
        <f t="shared" si="65"/>
        <v>8.1717586558745641</v>
      </c>
      <c r="K237" s="16">
        <f t="shared" si="66"/>
        <v>0.49065666206896558</v>
      </c>
      <c r="L237" s="16">
        <f t="shared" si="67"/>
        <v>6.0941397000000102</v>
      </c>
      <c r="M237" s="16">
        <f t="shared" si="68"/>
        <v>15.358980125000025</v>
      </c>
      <c r="N237" s="15"/>
      <c r="O237" s="15"/>
    </row>
    <row r="238" spans="1:15" x14ac:dyDescent="0.15">
      <c r="A238">
        <f t="shared" si="71"/>
        <v>49</v>
      </c>
      <c r="B238">
        <f t="shared" si="72"/>
        <v>2078</v>
      </c>
      <c r="C238" s="21">
        <f t="shared" si="69"/>
        <v>18.250359743783569</v>
      </c>
      <c r="D238" s="17">
        <f t="shared" si="62"/>
        <v>22.170559758482039</v>
      </c>
      <c r="E238" s="16">
        <f t="shared" si="60"/>
        <v>0.9743536551724139</v>
      </c>
      <c r="F238" s="16">
        <f t="shared" si="61"/>
        <v>16.119166266666696</v>
      </c>
      <c r="G238" s="16">
        <f t="shared" si="63"/>
        <v>0</v>
      </c>
      <c r="I238" s="21">
        <f t="shared" si="64"/>
        <v>18.135009274875074</v>
      </c>
      <c r="J238" s="17">
        <f t="shared" si="65"/>
        <v>8.4340163269201884</v>
      </c>
      <c r="K238" s="16">
        <f t="shared" si="66"/>
        <v>0.45794621793103452</v>
      </c>
      <c r="L238" s="16">
        <f t="shared" si="67"/>
        <v>6.0446873500000109</v>
      </c>
      <c r="M238" s="16">
        <f t="shared" si="68"/>
        <v>15.167636586666692</v>
      </c>
      <c r="N238" s="15"/>
      <c r="O238" s="15"/>
    </row>
    <row r="239" spans="1:15" x14ac:dyDescent="0.15">
      <c r="A239">
        <f t="shared" si="71"/>
        <v>50</v>
      </c>
      <c r="B239">
        <f t="shared" si="72"/>
        <v>2079</v>
      </c>
      <c r="C239" s="21">
        <f t="shared" si="69"/>
        <v>18.828632978652077</v>
      </c>
      <c r="D239" s="17">
        <f t="shared" si="62"/>
        <v>22.944842885553008</v>
      </c>
      <c r="E239" s="16">
        <f t="shared" si="60"/>
        <v>0.9047569655172415</v>
      </c>
      <c r="F239" s="16">
        <f t="shared" si="61"/>
        <v>15.987293333333362</v>
      </c>
      <c r="G239" s="16">
        <f t="shared" si="63"/>
        <v>0</v>
      </c>
      <c r="I239" s="21">
        <f t="shared" si="64"/>
        <v>18.715531688501294</v>
      </c>
      <c r="J239" s="17">
        <f t="shared" si="65"/>
        <v>8.7210664513585971</v>
      </c>
      <c r="K239" s="16">
        <f t="shared" si="66"/>
        <v>0.42523577379310346</v>
      </c>
      <c r="L239" s="16">
        <f t="shared" si="67"/>
        <v>5.9952350000000107</v>
      </c>
      <c r="M239" s="16">
        <f t="shared" si="68"/>
        <v>14.967797247619075</v>
      </c>
      <c r="N239" s="15"/>
      <c r="O239" s="15"/>
    </row>
    <row r="240" spans="1:15" x14ac:dyDescent="0.15">
      <c r="A240">
        <f t="shared" si="71"/>
        <v>51</v>
      </c>
      <c r="B240">
        <f t="shared" si="72"/>
        <v>2080</v>
      </c>
      <c r="C240" s="21">
        <f t="shared" si="69"/>
        <v>19.450746441832163</v>
      </c>
      <c r="D240" s="17">
        <f t="shared" si="62"/>
        <v>23.795954105852729</v>
      </c>
      <c r="E240" s="16">
        <f t="shared" si="60"/>
        <v>0.83516027586206909</v>
      </c>
      <c r="F240" s="16">
        <f t="shared" si="61"/>
        <v>15.85542040000003</v>
      </c>
      <c r="G240" s="16">
        <f t="shared" si="63"/>
        <v>0</v>
      </c>
      <c r="I240" s="21">
        <f t="shared" si="64"/>
        <v>19.339815831232698</v>
      </c>
      <c r="J240" s="17">
        <f t="shared" si="65"/>
        <v>9.0365990687645414</v>
      </c>
      <c r="K240" s="16">
        <f t="shared" si="66"/>
        <v>0.39252532965517245</v>
      </c>
      <c r="L240" s="16">
        <f t="shared" si="67"/>
        <v>5.9457826500000115</v>
      </c>
      <c r="M240" s="16">
        <f t="shared" si="68"/>
        <v>14.757501538461566</v>
      </c>
      <c r="N240" s="15"/>
      <c r="O240" s="15"/>
    </row>
    <row r="241" spans="1:15" x14ac:dyDescent="0.15">
      <c r="A241">
        <f t="shared" si="71"/>
        <v>52</v>
      </c>
      <c r="B241">
        <f t="shared" si="72"/>
        <v>2081</v>
      </c>
      <c r="C241" s="21">
        <f t="shared" si="69"/>
        <v>20.120571685590374</v>
      </c>
      <c r="D241" s="17">
        <f t="shared" si="62"/>
        <v>24.73592522517233</v>
      </c>
      <c r="E241" s="16">
        <f t="shared" si="60"/>
        <v>0.76556358620689668</v>
      </c>
      <c r="F241" s="16">
        <f t="shared" si="61"/>
        <v>15.723547466666698</v>
      </c>
      <c r="G241" s="16">
        <f t="shared" si="63"/>
        <v>0</v>
      </c>
      <c r="I241" s="21">
        <f t="shared" si="64"/>
        <v>20.011737509402817</v>
      </c>
      <c r="J241" s="17">
        <f t="shared" si="65"/>
        <v>9.3850747326859558</v>
      </c>
      <c r="K241" s="16">
        <f t="shared" si="66"/>
        <v>0.35981488551724145</v>
      </c>
      <c r="L241" s="16">
        <f t="shared" si="67"/>
        <v>5.8963303000000122</v>
      </c>
      <c r="M241" s="16">
        <f t="shared" si="68"/>
        <v>14.534135366666696</v>
      </c>
      <c r="N241" s="15"/>
      <c r="O241" s="15"/>
    </row>
    <row r="242" spans="1:15" x14ac:dyDescent="0.15">
      <c r="A242">
        <f t="shared" si="71"/>
        <v>53</v>
      </c>
      <c r="B242">
        <f t="shared" si="72"/>
        <v>2082</v>
      </c>
      <c r="C242" s="21">
        <f t="shared" si="69"/>
        <v>20.841860046104109</v>
      </c>
      <c r="D242" s="17">
        <f t="shared" si="62"/>
        <v>25.779438774158802</v>
      </c>
      <c r="E242" s="16">
        <f t="shared" si="60"/>
        <v>0.69596689655172428</v>
      </c>
      <c r="F242" s="16">
        <f t="shared" si="61"/>
        <v>15.591674533333366</v>
      </c>
      <c r="G242" s="16">
        <f t="shared" si="63"/>
        <v>0</v>
      </c>
      <c r="I242" s="21">
        <f t="shared" si="64"/>
        <v>20.735052020374216</v>
      </c>
      <c r="J242" s="17">
        <f t="shared" si="65"/>
        <v>9.7719367003783955</v>
      </c>
      <c r="K242" s="16">
        <f t="shared" si="66"/>
        <v>0.32710444137931044</v>
      </c>
      <c r="L242" s="16">
        <f t="shared" si="67"/>
        <v>5.8468779500000121</v>
      </c>
      <c r="M242" s="16">
        <f t="shared" si="68"/>
        <v>14.29413406060609</v>
      </c>
      <c r="N242" s="15"/>
      <c r="O242" s="15"/>
    </row>
    <row r="243" spans="1:15" x14ac:dyDescent="0.15">
      <c r="A243">
        <f t="shared" si="71"/>
        <v>54</v>
      </c>
      <c r="B243">
        <f t="shared" si="72"/>
        <v>2083</v>
      </c>
      <c r="C243" s="21">
        <f t="shared" si="69"/>
        <v>21.617763956902152</v>
      </c>
      <c r="D243" s="17">
        <f t="shared" si="62"/>
        <v>26.944600532863184</v>
      </c>
      <c r="E243" s="16">
        <f t="shared" si="60"/>
        <v>0.62637020689655187</v>
      </c>
      <c r="F243" s="16">
        <f t="shared" si="61"/>
        <v>15.459801600000034</v>
      </c>
      <c r="G243" s="16">
        <f t="shared" si="63"/>
        <v>0</v>
      </c>
      <c r="I243" s="21">
        <f t="shared" si="64"/>
        <v>21.512915491215335</v>
      </c>
      <c r="J243" s="17">
        <f t="shared" si="65"/>
        <v>10.203897330971234</v>
      </c>
      <c r="K243" s="16">
        <f t="shared" si="66"/>
        <v>0.29439399724137938</v>
      </c>
      <c r="L243" s="16">
        <f t="shared" si="67"/>
        <v>5.7974256000000128</v>
      </c>
      <c r="M243" s="16">
        <f t="shared" si="68"/>
        <v>14.032507080000029</v>
      </c>
      <c r="N243" s="19"/>
      <c r="O243" s="15"/>
    </row>
    <row r="244" spans="1:15" x14ac:dyDescent="0.15">
      <c r="A244">
        <f t="shared" si="71"/>
        <v>55</v>
      </c>
      <c r="B244">
        <f t="shared" si="72"/>
        <v>2084</v>
      </c>
      <c r="C244" s="21">
        <f t="shared" si="69"/>
        <v>22.449907946063028</v>
      </c>
      <c r="D244" s="17">
        <f t="shared" si="62"/>
        <v>28.253998950285322</v>
      </c>
      <c r="E244" s="16">
        <f t="shared" si="60"/>
        <v>0.55677351724137947</v>
      </c>
      <c r="F244" s="16">
        <f t="shared" si="61"/>
        <v>15.327928666666702</v>
      </c>
      <c r="G244" s="16">
        <f t="shared" si="63"/>
        <v>0</v>
      </c>
      <c r="I244" s="21">
        <f t="shared" si="64"/>
        <v>22.346955898598843</v>
      </c>
      <c r="J244" s="17">
        <f t="shared" si="65"/>
        <v>10.689330844268019</v>
      </c>
      <c r="K244" s="16">
        <f t="shared" si="66"/>
        <v>0.26168355310344837</v>
      </c>
      <c r="L244" s="16">
        <f t="shared" si="67"/>
        <v>5.7479732500000127</v>
      </c>
      <c r="M244" s="16">
        <f t="shared" si="68"/>
        <v>13.915501797916695</v>
      </c>
      <c r="N244" s="15"/>
      <c r="O244" s="15"/>
    </row>
    <row r="245" spans="1:15" x14ac:dyDescent="0.15">
      <c r="A245">
        <f t="shared" si="71"/>
        <v>56</v>
      </c>
      <c r="B245">
        <f t="shared" si="72"/>
        <v>2085</v>
      </c>
      <c r="C245" s="21">
        <f t="shared" si="69"/>
        <v>23.627971124038485</v>
      </c>
      <c r="D245" s="17">
        <f t="shared" si="62"/>
        <v>29.736183962996154</v>
      </c>
      <c r="E245" s="16">
        <f t="shared" si="60"/>
        <v>0.48717682758620712</v>
      </c>
      <c r="F245" s="16">
        <f t="shared" si="61"/>
        <v>15.19605573333337</v>
      </c>
      <c r="G245" s="16">
        <f t="shared" si="63"/>
        <v>0</v>
      </c>
      <c r="I245" s="21">
        <f t="shared" si="64"/>
        <v>23.526855577083499</v>
      </c>
      <c r="J245" s="17">
        <f t="shared" si="65"/>
        <v>11.238821563443146</v>
      </c>
      <c r="K245" s="16">
        <f t="shared" si="66"/>
        <v>0.22897310896551731</v>
      </c>
      <c r="L245" s="16">
        <f t="shared" si="67"/>
        <v>5.6985209000000134</v>
      </c>
      <c r="M245" s="16">
        <f t="shared" si="68"/>
        <v>13.798496515833364</v>
      </c>
      <c r="N245" s="15"/>
      <c r="O245" s="15"/>
    </row>
    <row r="246" spans="1:15" x14ac:dyDescent="0.15">
      <c r="A246">
        <f t="shared" si="71"/>
        <v>57</v>
      </c>
      <c r="B246">
        <f t="shared" si="72"/>
        <v>2086</v>
      </c>
      <c r="C246" s="21">
        <f t="shared" si="69"/>
        <v>24.961645502705341</v>
      </c>
      <c r="D246" s="17">
        <f t="shared" si="62"/>
        <v>31.427772597811828</v>
      </c>
      <c r="E246" s="16">
        <f t="shared" si="60"/>
        <v>0.41758013793103471</v>
      </c>
      <c r="F246" s="16">
        <f t="shared" si="61"/>
        <v>15.064182800000038</v>
      </c>
      <c r="G246" s="16">
        <f t="shared" si="63"/>
        <v>0</v>
      </c>
      <c r="I246" s="21">
        <f t="shared" si="64"/>
        <v>24.86230955663903</v>
      </c>
      <c r="J246" s="17">
        <f t="shared" si="65"/>
        <v>11.86594452550394</v>
      </c>
      <c r="K246" s="16">
        <f t="shared" si="66"/>
        <v>0.19626266482758628</v>
      </c>
      <c r="L246" s="16">
        <f t="shared" si="67"/>
        <v>5.6490685500000142</v>
      </c>
      <c r="M246" s="16">
        <f t="shared" si="68"/>
        <v>13.68149123375003</v>
      </c>
      <c r="N246" s="15"/>
      <c r="O246" s="15"/>
    </row>
    <row r="247" spans="1:15" x14ac:dyDescent="0.15">
      <c r="A247">
        <f t="shared" si="71"/>
        <v>58</v>
      </c>
      <c r="B247">
        <f t="shared" si="72"/>
        <v>2087</v>
      </c>
      <c r="C247" s="21">
        <f t="shared" si="69"/>
        <v>26.483902548422769</v>
      </c>
      <c r="D247" s="17">
        <f t="shared" si="62"/>
        <v>33.376514849321566</v>
      </c>
      <c r="E247" s="16">
        <f t="shared" si="60"/>
        <v>0.34798344827586225</v>
      </c>
      <c r="F247" s="16">
        <f t="shared" si="61"/>
        <v>14.932309866666705</v>
      </c>
      <c r="G247" s="16">
        <f t="shared" si="63"/>
        <v>0</v>
      </c>
      <c r="I247" s="21">
        <f t="shared" si="64"/>
        <v>26.386292132414614</v>
      </c>
      <c r="J247" s="17">
        <f t="shared" si="65"/>
        <v>12.588402094623854</v>
      </c>
      <c r="K247" s="16">
        <f t="shared" si="66"/>
        <v>0.16355222068965528</v>
      </c>
      <c r="L247" s="16">
        <f t="shared" si="67"/>
        <v>5.599616200000014</v>
      </c>
      <c r="M247" s="16">
        <f t="shared" si="68"/>
        <v>13.564485951666699</v>
      </c>
      <c r="N247" s="15"/>
      <c r="O247" s="15"/>
    </row>
    <row r="248" spans="1:15" x14ac:dyDescent="0.15">
      <c r="A248">
        <f t="shared" si="71"/>
        <v>59</v>
      </c>
      <c r="B248">
        <f t="shared" si="72"/>
        <v>2088</v>
      </c>
      <c r="C248" s="21">
        <f t="shared" si="69"/>
        <v>28.23773880356411</v>
      </c>
      <c r="D248" s="17">
        <f t="shared" si="62"/>
        <v>35.645872792596414</v>
      </c>
      <c r="E248" s="16">
        <f t="shared" si="60"/>
        <v>0.27838675862068984</v>
      </c>
      <c r="F248" s="16">
        <f t="shared" si="61"/>
        <v>14.800436933333373</v>
      </c>
      <c r="G248" s="16">
        <f t="shared" si="63"/>
        <v>0</v>
      </c>
      <c r="I248" s="21">
        <f t="shared" si="64"/>
        <v>28.141802501415587</v>
      </c>
      <c r="J248" s="17">
        <f t="shared" si="65"/>
        <v>13.429721577429314</v>
      </c>
      <c r="K248" s="16">
        <f t="shared" si="66"/>
        <v>0.13084177655172421</v>
      </c>
      <c r="L248" s="16">
        <f t="shared" si="67"/>
        <v>5.5501638500000148</v>
      </c>
      <c r="M248" s="16">
        <f t="shared" si="68"/>
        <v>13.447480669583364</v>
      </c>
      <c r="N248" s="15"/>
      <c r="O248" s="15"/>
    </row>
    <row r="249" spans="1:15" x14ac:dyDescent="0.15">
      <c r="A249">
        <f t="shared" si="71"/>
        <v>60</v>
      </c>
      <c r="B249">
        <f t="shared" si="72"/>
        <v>2089</v>
      </c>
      <c r="C249" s="21">
        <f t="shared" si="69"/>
        <v>30.280299275880598</v>
      </c>
      <c r="D249" s="17">
        <f t="shared" si="62"/>
        <v>38.322062411976553</v>
      </c>
      <c r="E249" s="16">
        <f t="shared" si="60"/>
        <v>0.20879006896551747</v>
      </c>
      <c r="F249" s="16">
        <f t="shared" si="61"/>
        <v>14.668564000000041</v>
      </c>
      <c r="G249" s="16">
        <f t="shared" si="63"/>
        <v>0</v>
      </c>
      <c r="I249" s="21">
        <f t="shared" si="64"/>
        <v>30.185988165616962</v>
      </c>
      <c r="J249" s="17">
        <f t="shared" si="65"/>
        <v>14.421865841465996</v>
      </c>
      <c r="K249" s="16">
        <f t="shared" si="66"/>
        <v>9.813133241379321E-2</v>
      </c>
      <c r="L249" s="16">
        <f t="shared" si="67"/>
        <v>5.5007115000000146</v>
      </c>
      <c r="M249" s="16">
        <f t="shared" si="68"/>
        <v>13.33047538750003</v>
      </c>
      <c r="N249" s="15"/>
      <c r="O249" s="15"/>
    </row>
    <row r="250" spans="1:15" x14ac:dyDescent="0.15">
      <c r="A250">
        <f t="shared" si="71"/>
        <v>61</v>
      </c>
      <c r="B250">
        <f t="shared" si="72"/>
        <v>2090</v>
      </c>
      <c r="C250" s="21">
        <f t="shared" si="69"/>
        <v>32.689218453038876</v>
      </c>
      <c r="D250" s="17">
        <f t="shared" si="62"/>
        <v>41.525255525634627</v>
      </c>
      <c r="E250" s="16">
        <f t="shared" si="60"/>
        <v>0.13919337931034506</v>
      </c>
      <c r="F250" s="16">
        <f t="shared" si="61"/>
        <v>14.536691066666709</v>
      </c>
      <c r="G250" s="16">
        <f t="shared" si="63"/>
        <v>0</v>
      </c>
      <c r="I250" s="21">
        <f t="shared" si="64"/>
        <v>32.596485959006081</v>
      </c>
      <c r="J250" s="17">
        <f t="shared" si="65"/>
        <v>15.609386206728372</v>
      </c>
      <c r="K250" s="16">
        <f t="shared" si="66"/>
        <v>6.5420888275862177E-2</v>
      </c>
      <c r="L250" s="16">
        <f t="shared" si="67"/>
        <v>5.4512591500000163</v>
      </c>
      <c r="M250" s="16">
        <f t="shared" si="68"/>
        <v>13.213470105416699</v>
      </c>
      <c r="N250" s="15"/>
      <c r="O250" s="15"/>
    </row>
    <row r="251" spans="1:15" x14ac:dyDescent="0.15">
      <c r="A251">
        <f t="shared" si="71"/>
        <v>62</v>
      </c>
      <c r="B251">
        <f t="shared" si="72"/>
        <v>2091</v>
      </c>
      <c r="C251" s="21">
        <f t="shared" si="69"/>
        <v>35.572707397416295</v>
      </c>
      <c r="D251" s="17">
        <f t="shared" si="62"/>
        <v>45.428122220433032</v>
      </c>
      <c r="E251" s="16">
        <f t="shared" si="60"/>
        <v>6.9596689655172628E-2</v>
      </c>
      <c r="F251" s="16">
        <f t="shared" si="61"/>
        <v>14.404818133333377</v>
      </c>
      <c r="G251" s="16">
        <f t="shared" si="63"/>
        <v>0</v>
      </c>
      <c r="I251" s="21">
        <f t="shared" si="64"/>
        <v>35.481509153770851</v>
      </c>
      <c r="J251" s="17">
        <f t="shared" si="65"/>
        <v>17.056296685904709</v>
      </c>
      <c r="K251" s="16">
        <f t="shared" si="66"/>
        <v>3.2710444137931137E-2</v>
      </c>
      <c r="L251" s="16">
        <f t="shared" si="67"/>
        <v>5.401806800000017</v>
      </c>
      <c r="M251" s="16">
        <f t="shared" si="68"/>
        <v>13.096464823333363</v>
      </c>
      <c r="N251" s="15"/>
      <c r="O251" s="15"/>
    </row>
    <row r="252" spans="1:15" x14ac:dyDescent="0.15">
      <c r="A252">
        <f t="shared" si="71"/>
        <v>63</v>
      </c>
      <c r="B252">
        <f t="shared" si="72"/>
        <v>2092</v>
      </c>
      <c r="C252" s="21">
        <f t="shared" si="69"/>
        <v>39.086250818282082</v>
      </c>
      <c r="D252" s="17">
        <f t="shared" si="62"/>
        <v>50.288013698630294</v>
      </c>
      <c r="E252" s="16">
        <f t="shared" si="60"/>
        <v>0</v>
      </c>
      <c r="F252" s="16">
        <f t="shared" si="61"/>
        <v>14.272945200000043</v>
      </c>
      <c r="G252" s="16">
        <f t="shared" si="63"/>
        <v>0</v>
      </c>
      <c r="I252" s="21">
        <f t="shared" si="64"/>
        <v>38.996544542878475</v>
      </c>
      <c r="J252" s="17">
        <f t="shared" si="65"/>
        <v>18.85800513698636</v>
      </c>
      <c r="K252" s="16">
        <f t="shared" si="66"/>
        <v>0</v>
      </c>
      <c r="L252" s="16">
        <f t="shared" si="67"/>
        <v>5.3523544500000169</v>
      </c>
      <c r="M252" s="16">
        <f t="shared" si="68"/>
        <v>12.979459541250032</v>
      </c>
      <c r="N252" s="15"/>
      <c r="O252" s="15"/>
    </row>
    <row r="253" spans="1:15" x14ac:dyDescent="0.15">
      <c r="A253">
        <f t="shared" si="71"/>
        <v>64</v>
      </c>
      <c r="B253">
        <f t="shared" si="72"/>
        <v>2093</v>
      </c>
      <c r="C253" s="21">
        <f t="shared" si="69"/>
        <v>43.462284930560557</v>
      </c>
      <c r="D253" s="17">
        <f t="shared" si="62"/>
        <v>49.823384444820427</v>
      </c>
      <c r="E253" s="16">
        <f t="shared" si="60"/>
        <v>0</v>
      </c>
      <c r="F253" s="16">
        <f t="shared" si="61"/>
        <v>14.141072266666713</v>
      </c>
      <c r="G253" s="16">
        <f t="shared" si="63"/>
        <v>0</v>
      </c>
      <c r="I253" s="21">
        <f t="shared" si="64"/>
        <v>43.373660432574674</v>
      </c>
      <c r="J253" s="17">
        <f t="shared" si="65"/>
        <v>18.683769166807661</v>
      </c>
      <c r="K253" s="16">
        <f t="shared" si="66"/>
        <v>0</v>
      </c>
      <c r="L253" s="16">
        <f t="shared" si="67"/>
        <v>5.3029021000000176</v>
      </c>
      <c r="M253" s="16">
        <f t="shared" si="68"/>
        <v>12.862454259166698</v>
      </c>
      <c r="N253" s="15"/>
      <c r="O253" s="15"/>
    </row>
    <row r="254" spans="1:15" x14ac:dyDescent="0.15">
      <c r="A254">
        <f t="shared" si="71"/>
        <v>65</v>
      </c>
      <c r="B254">
        <f t="shared" si="72"/>
        <v>2094</v>
      </c>
      <c r="C254" s="21">
        <f t="shared" si="69"/>
        <v>43.070392636085458</v>
      </c>
      <c r="D254" s="17">
        <f t="shared" si="62"/>
        <v>49.358755191010559</v>
      </c>
      <c r="E254" s="16">
        <f t="shared" ref="E254:E317" si="73">$J69*1000*$Q$189/1000000000</f>
        <v>0</v>
      </c>
      <c r="F254" s="16">
        <f t="shared" ref="F254:F317" si="74">$O69*$P$189/1000000</f>
        <v>14.009199333333381</v>
      </c>
      <c r="G254" s="16">
        <f t="shared" ref="G254:G317" si="75">P254*$N$4/1000000</f>
        <v>0</v>
      </c>
      <c r="I254" s="21">
        <f t="shared" si="64"/>
        <v>42.982843775435022</v>
      </c>
      <c r="J254" s="17">
        <f t="shared" si="65"/>
        <v>18.509533196628958</v>
      </c>
      <c r="K254" s="16">
        <f t="shared" si="66"/>
        <v>0</v>
      </c>
      <c r="L254" s="16">
        <f t="shared" si="67"/>
        <v>5.2534497500000175</v>
      </c>
      <c r="M254" s="16">
        <f t="shared" si="68"/>
        <v>12.745448977083367</v>
      </c>
      <c r="N254" s="15"/>
      <c r="O254" s="15"/>
    </row>
    <row r="255" spans="1:15" x14ac:dyDescent="0.15">
      <c r="A255">
        <f t="shared" si="71"/>
        <v>66</v>
      </c>
      <c r="B255">
        <f t="shared" si="72"/>
        <v>2095</v>
      </c>
      <c r="C255" s="21">
        <f t="shared" si="69"/>
        <v>42.678501805722632</v>
      </c>
      <c r="D255" s="17">
        <f t="shared" ref="D255:D318" si="76">(F255+E255)*1000/$G70*1000</f>
        <v>48.894125937200684</v>
      </c>
      <c r="E255" s="16">
        <f t="shared" si="73"/>
        <v>0</v>
      </c>
      <c r="F255" s="16">
        <f t="shared" si="74"/>
        <v>13.877326400000047</v>
      </c>
      <c r="G255" s="16">
        <f t="shared" si="75"/>
        <v>0</v>
      </c>
      <c r="I255" s="21">
        <f t="shared" ref="I255:I318" si="77">(J255*$G70+$D69*$F69)/$F70</f>
        <v>42.592022494453374</v>
      </c>
      <c r="J255" s="17">
        <f t="shared" ref="J255:J318" si="78">(L255+K255)*1000/$G70*1000</f>
        <v>18.335297226450258</v>
      </c>
      <c r="K255" s="16">
        <f t="shared" ref="K255:K318" si="79">$J70*1000*$Q$190/1000000000</f>
        <v>0</v>
      </c>
      <c r="L255" s="16">
        <f t="shared" ref="L255:L318" si="80">$O70*$P$190/1000000</f>
        <v>5.2039974000000182</v>
      </c>
      <c r="M255" s="16">
        <f t="shared" ref="M255:M318" si="81">$N70*$P$189/1000000</f>
        <v>12.628443695000033</v>
      </c>
      <c r="N255" s="15"/>
      <c r="O255" s="15"/>
    </row>
    <row r="256" spans="1:15" x14ac:dyDescent="0.15">
      <c r="A256">
        <f t="shared" si="71"/>
        <v>67</v>
      </c>
      <c r="B256">
        <f t="shared" si="72"/>
        <v>2096</v>
      </c>
      <c r="C256" s="21">
        <f t="shared" ref="C256:C319" si="82">(D256*$G71+$D70*$F70)/$F71</f>
        <v>42.286612427077117</v>
      </c>
      <c r="D256" s="17">
        <f t="shared" si="76"/>
        <v>48.429496683390816</v>
      </c>
      <c r="E256" s="16">
        <f t="shared" si="73"/>
        <v>0</v>
      </c>
      <c r="F256" s="16">
        <f t="shared" si="74"/>
        <v>13.745453466666715</v>
      </c>
      <c r="G256" s="16">
        <f t="shared" si="75"/>
        <v>0</v>
      </c>
      <c r="I256" s="21">
        <f t="shared" si="77"/>
        <v>42.201196628774341</v>
      </c>
      <c r="J256" s="17">
        <f t="shared" si="78"/>
        <v>18.161061256271555</v>
      </c>
      <c r="K256" s="16">
        <f t="shared" si="79"/>
        <v>0</v>
      </c>
      <c r="L256" s="16">
        <f t="shared" si="80"/>
        <v>5.1545450500000181</v>
      </c>
      <c r="M256" s="16">
        <f t="shared" si="81"/>
        <v>12.5114384129167</v>
      </c>
      <c r="N256" s="15"/>
      <c r="O256" s="15"/>
    </row>
    <row r="257" spans="1:15" x14ac:dyDescent="0.15">
      <c r="A257">
        <f t="shared" si="71"/>
        <v>68</v>
      </c>
      <c r="B257">
        <f t="shared" si="72"/>
        <v>2097</v>
      </c>
      <c r="C257" s="21">
        <f t="shared" si="82"/>
        <v>41.894724487893512</v>
      </c>
      <c r="D257" s="17">
        <f t="shared" si="76"/>
        <v>47.964867429580949</v>
      </c>
      <c r="E257" s="16">
        <f t="shared" si="73"/>
        <v>0</v>
      </c>
      <c r="F257" s="16">
        <f t="shared" si="74"/>
        <v>13.613580533333383</v>
      </c>
      <c r="G257" s="16">
        <f t="shared" si="75"/>
        <v>0</v>
      </c>
      <c r="I257" s="21">
        <f t="shared" si="77"/>
        <v>41.810366217101965</v>
      </c>
      <c r="J257" s="17">
        <f t="shared" si="78"/>
        <v>17.986825286092859</v>
      </c>
      <c r="K257" s="16">
        <f t="shared" si="79"/>
        <v>0</v>
      </c>
      <c r="L257" s="16">
        <f t="shared" si="80"/>
        <v>5.1050927000000188</v>
      </c>
      <c r="M257" s="16">
        <f t="shared" si="81"/>
        <v>12.394433130833367</v>
      </c>
      <c r="N257" s="15"/>
      <c r="O257" s="15"/>
    </row>
    <row r="258" spans="1:15" x14ac:dyDescent="0.15">
      <c r="A258">
        <f t="shared" si="71"/>
        <v>69</v>
      </c>
      <c r="B258">
        <f t="shared" si="72"/>
        <v>2098</v>
      </c>
      <c r="C258" s="21">
        <f t="shared" si="82"/>
        <v>41.502837976053975</v>
      </c>
      <c r="D258" s="17">
        <f t="shared" si="76"/>
        <v>47.500238175771081</v>
      </c>
      <c r="E258" s="16">
        <f t="shared" si="73"/>
        <v>0</v>
      </c>
      <c r="F258" s="16">
        <f t="shared" si="74"/>
        <v>13.481707600000052</v>
      </c>
      <c r="G258" s="16">
        <f t="shared" si="75"/>
        <v>0</v>
      </c>
      <c r="I258" s="21">
        <f t="shared" si="77"/>
        <v>41.41953129770588</v>
      </c>
      <c r="J258" s="17">
        <f t="shared" si="78"/>
        <v>17.812589315914156</v>
      </c>
      <c r="K258" s="16">
        <f t="shared" si="79"/>
        <v>0</v>
      </c>
      <c r="L258" s="16">
        <f t="shared" si="80"/>
        <v>5.0556403500000195</v>
      </c>
      <c r="M258" s="16">
        <f t="shared" si="81"/>
        <v>12.277427848750035</v>
      </c>
      <c r="N258" s="15"/>
      <c r="O258" s="15"/>
    </row>
    <row r="259" spans="1:15" x14ac:dyDescent="0.15">
      <c r="A259">
        <f t="shared" si="71"/>
        <v>70</v>
      </c>
      <c r="B259">
        <f t="shared" si="72"/>
        <v>2099</v>
      </c>
      <c r="C259" s="21">
        <f t="shared" si="82"/>
        <v>41.110952879576296</v>
      </c>
      <c r="D259" s="17">
        <f t="shared" si="76"/>
        <v>47.035608921961213</v>
      </c>
      <c r="E259" s="16">
        <f t="shared" si="73"/>
        <v>0</v>
      </c>
      <c r="F259" s="16">
        <f t="shared" si="74"/>
        <v>13.34983466666672</v>
      </c>
      <c r="G259" s="16">
        <f t="shared" si="75"/>
        <v>0</v>
      </c>
      <c r="I259" s="21">
        <f t="shared" si="77"/>
        <v>41.028691908427334</v>
      </c>
      <c r="J259" s="17">
        <f t="shared" si="78"/>
        <v>17.638353345735453</v>
      </c>
      <c r="K259" s="16">
        <f t="shared" si="79"/>
        <v>0</v>
      </c>
      <c r="L259" s="16">
        <f t="shared" si="80"/>
        <v>5.0061880000000194</v>
      </c>
      <c r="M259" s="16">
        <f t="shared" si="81"/>
        <v>12.1604225666667</v>
      </c>
      <c r="N259" s="15"/>
      <c r="O259" s="15"/>
    </row>
    <row r="260" spans="1:15" x14ac:dyDescent="0.15">
      <c r="A260">
        <f t="shared" si="71"/>
        <v>71</v>
      </c>
      <c r="B260">
        <f t="shared" si="72"/>
        <v>2100</v>
      </c>
      <c r="C260" s="21">
        <f t="shared" si="82"/>
        <v>40.719069186612032</v>
      </c>
      <c r="D260" s="17">
        <f t="shared" si="76"/>
        <v>46.570979668151338</v>
      </c>
      <c r="E260" s="16">
        <f t="shared" si="73"/>
        <v>0</v>
      </c>
      <c r="F260" s="16">
        <f t="shared" si="74"/>
        <v>13.217961733333386</v>
      </c>
      <c r="G260" s="16">
        <f t="shared" si="75"/>
        <v>0</v>
      </c>
      <c r="I260" s="21">
        <f t="shared" si="77"/>
        <v>40.637848086685231</v>
      </c>
      <c r="J260" s="17">
        <f t="shared" si="78"/>
        <v>17.464117375556757</v>
      </c>
      <c r="K260" s="16">
        <f t="shared" si="79"/>
        <v>0</v>
      </c>
      <c r="L260" s="16">
        <f t="shared" si="80"/>
        <v>4.9567356500000201</v>
      </c>
      <c r="M260" s="16">
        <f t="shared" si="81"/>
        <v>12.043417284583368</v>
      </c>
      <c r="N260" s="15"/>
      <c r="O260" s="15"/>
    </row>
    <row r="261" spans="1:15" x14ac:dyDescent="0.15">
      <c r="A261">
        <f t="shared" si="71"/>
        <v>72</v>
      </c>
      <c r="B261">
        <f t="shared" si="72"/>
        <v>2101</v>
      </c>
      <c r="C261" s="21">
        <f t="shared" si="82"/>
        <v>40.327186885444547</v>
      </c>
      <c r="D261" s="17">
        <f t="shared" si="76"/>
        <v>46.106350414341478</v>
      </c>
      <c r="E261" s="16">
        <f t="shared" si="73"/>
        <v>0</v>
      </c>
      <c r="F261" s="16">
        <f t="shared" si="74"/>
        <v>13.086088800000054</v>
      </c>
      <c r="G261" s="16">
        <f t="shared" si="75"/>
        <v>0</v>
      </c>
      <c r="I261" s="21">
        <f t="shared" si="77"/>
        <v>40.246999869481925</v>
      </c>
      <c r="J261" s="17">
        <f t="shared" si="78"/>
        <v>17.289881405378051</v>
      </c>
      <c r="K261" s="16">
        <f t="shared" si="79"/>
        <v>0</v>
      </c>
      <c r="L261" s="16">
        <f t="shared" si="80"/>
        <v>4.90728330000002</v>
      </c>
      <c r="M261" s="16">
        <f t="shared" si="81"/>
        <v>11.926412002500035</v>
      </c>
      <c r="N261" s="15"/>
      <c r="O261" s="15"/>
    </row>
    <row r="262" spans="1:15" x14ac:dyDescent="0.15">
      <c r="A262">
        <f t="shared" si="71"/>
        <v>73</v>
      </c>
      <c r="B262">
        <f t="shared" si="72"/>
        <v>2102</v>
      </c>
      <c r="C262" s="21">
        <f t="shared" si="82"/>
        <v>39.935305964487341</v>
      </c>
      <c r="D262" s="17">
        <f t="shared" si="76"/>
        <v>45.64172116053161</v>
      </c>
      <c r="E262" s="16">
        <f t="shared" si="73"/>
        <v>0</v>
      </c>
      <c r="F262" s="16">
        <f t="shared" si="74"/>
        <v>12.954215866666724</v>
      </c>
      <c r="G262" s="16">
        <f t="shared" si="75"/>
        <v>0</v>
      </c>
      <c r="I262" s="21">
        <f t="shared" si="77"/>
        <v>39.856147293409094</v>
      </c>
      <c r="J262" s="17">
        <f t="shared" si="78"/>
        <v>17.115645435199351</v>
      </c>
      <c r="K262" s="16">
        <f t="shared" si="79"/>
        <v>0</v>
      </c>
      <c r="L262" s="16">
        <f t="shared" si="80"/>
        <v>4.8578309500000207</v>
      </c>
      <c r="M262" s="16">
        <f t="shared" si="81"/>
        <v>11.809406720416701</v>
      </c>
      <c r="N262" s="15"/>
      <c r="O262" s="15"/>
    </row>
    <row r="263" spans="1:15" x14ac:dyDescent="0.15">
      <c r="A263">
        <f t="shared" si="71"/>
        <v>74</v>
      </c>
      <c r="B263">
        <f t="shared" si="72"/>
        <v>2103</v>
      </c>
      <c r="C263" s="21">
        <f t="shared" si="82"/>
        <v>39.54342641228213</v>
      </c>
      <c r="D263" s="17">
        <f t="shared" si="76"/>
        <v>45.177091906721735</v>
      </c>
      <c r="E263" s="16">
        <f t="shared" si="73"/>
        <v>0</v>
      </c>
      <c r="F263" s="16">
        <f t="shared" si="74"/>
        <v>12.82234293333339</v>
      </c>
      <c r="G263" s="16">
        <f t="shared" si="75"/>
        <v>0</v>
      </c>
      <c r="I263" s="21">
        <f t="shared" si="77"/>
        <v>39.46529039465338</v>
      </c>
      <c r="J263" s="17">
        <f t="shared" si="78"/>
        <v>16.941409465020651</v>
      </c>
      <c r="K263" s="16">
        <f t="shared" si="79"/>
        <v>0</v>
      </c>
      <c r="L263" s="16">
        <f t="shared" si="80"/>
        <v>4.8083786000000215</v>
      </c>
      <c r="M263" s="16">
        <f t="shared" si="81"/>
        <v>11.69240143833337</v>
      </c>
      <c r="N263" s="15"/>
      <c r="O263" s="15"/>
    </row>
    <row r="264" spans="1:15" x14ac:dyDescent="0.15">
      <c r="A264">
        <f t="shared" si="71"/>
        <v>75</v>
      </c>
      <c r="B264">
        <f t="shared" si="72"/>
        <v>2104</v>
      </c>
      <c r="C264" s="21">
        <f t="shared" si="82"/>
        <v>39.151548217497101</v>
      </c>
      <c r="D264" s="17">
        <f t="shared" si="76"/>
        <v>44.712462652911867</v>
      </c>
      <c r="E264" s="16">
        <f t="shared" si="73"/>
        <v>0</v>
      </c>
      <c r="F264" s="16">
        <f t="shared" si="74"/>
        <v>12.690470000000058</v>
      </c>
      <c r="G264" s="16">
        <f t="shared" si="75"/>
        <v>0</v>
      </c>
      <c r="I264" s="21">
        <f t="shared" si="77"/>
        <v>39.074429209001948</v>
      </c>
      <c r="J264" s="17">
        <f t="shared" si="78"/>
        <v>16.767173494841948</v>
      </c>
      <c r="K264" s="16">
        <f t="shared" si="79"/>
        <v>0</v>
      </c>
      <c r="L264" s="16">
        <f t="shared" si="80"/>
        <v>4.7589262500000213</v>
      </c>
      <c r="M264" s="16">
        <f t="shared" si="81"/>
        <v>11.575396156250035</v>
      </c>
      <c r="N264" s="15"/>
      <c r="O264" s="15"/>
    </row>
    <row r="265" spans="1:15" x14ac:dyDescent="0.15">
      <c r="A265">
        <f t="shared" si="71"/>
        <v>76</v>
      </c>
      <c r="B265">
        <f t="shared" si="72"/>
        <v>2105</v>
      </c>
      <c r="C265" s="21">
        <f t="shared" si="82"/>
        <v>38.759671368925197</v>
      </c>
      <c r="D265" s="17">
        <f t="shared" si="76"/>
        <v>44.247833399101992</v>
      </c>
      <c r="E265" s="16">
        <f t="shared" si="73"/>
        <v>0</v>
      </c>
      <c r="F265" s="16">
        <f t="shared" si="74"/>
        <v>12.558597066666726</v>
      </c>
      <c r="G265" s="16">
        <f t="shared" si="75"/>
        <v>0</v>
      </c>
      <c r="I265" s="21">
        <f t="shared" si="77"/>
        <v>38.683563771848007</v>
      </c>
      <c r="J265" s="17">
        <f t="shared" si="78"/>
        <v>16.592937524663252</v>
      </c>
      <c r="K265" s="16">
        <f t="shared" si="79"/>
        <v>0</v>
      </c>
      <c r="L265" s="16">
        <f t="shared" si="80"/>
        <v>4.709473900000023</v>
      </c>
      <c r="M265" s="16">
        <f t="shared" si="81"/>
        <v>11.458390874166703</v>
      </c>
      <c r="N265" s="15"/>
      <c r="O265" s="15"/>
    </row>
    <row r="266" spans="1:15" x14ac:dyDescent="0.15">
      <c r="A266">
        <f t="shared" si="71"/>
        <v>77</v>
      </c>
      <c r="B266">
        <f t="shared" si="72"/>
        <v>2106</v>
      </c>
      <c r="C266" s="21">
        <f t="shared" si="82"/>
        <v>38.367795855482413</v>
      </c>
      <c r="D266" s="17">
        <f t="shared" si="76"/>
        <v>43.783204145292139</v>
      </c>
      <c r="E266" s="16">
        <f t="shared" si="73"/>
        <v>0</v>
      </c>
      <c r="F266" s="16">
        <f t="shared" si="74"/>
        <v>12.426724133333394</v>
      </c>
      <c r="G266" s="16">
        <f t="shared" si="75"/>
        <v>0</v>
      </c>
      <c r="I266" s="21">
        <f t="shared" si="77"/>
        <v>38.29269411819628</v>
      </c>
      <c r="J266" s="17">
        <f t="shared" si="78"/>
        <v>16.418701554484549</v>
      </c>
      <c r="K266" s="16">
        <f t="shared" si="79"/>
        <v>0</v>
      </c>
      <c r="L266" s="16">
        <f t="shared" si="80"/>
        <v>4.6600215500000228</v>
      </c>
      <c r="M266" s="16">
        <f t="shared" si="81"/>
        <v>11.34138559208337</v>
      </c>
      <c r="N266" s="15"/>
      <c r="O266" s="15"/>
    </row>
    <row r="267" spans="1:15" x14ac:dyDescent="0.15">
      <c r="A267">
        <f t="shared" si="71"/>
        <v>78</v>
      </c>
      <c r="B267">
        <f t="shared" si="72"/>
        <v>2107</v>
      </c>
      <c r="C267" s="21">
        <f t="shared" si="82"/>
        <v>37.975921666206069</v>
      </c>
      <c r="D267" s="17">
        <f t="shared" si="76"/>
        <v>43.318574891482271</v>
      </c>
      <c r="E267" s="16">
        <f t="shared" si="73"/>
        <v>0</v>
      </c>
      <c r="F267" s="16">
        <f t="shared" si="74"/>
        <v>12.294851200000062</v>
      </c>
      <c r="G267" s="16">
        <f t="shared" si="75"/>
        <v>0</v>
      </c>
      <c r="I267" s="21">
        <f t="shared" si="77"/>
        <v>37.901820282668176</v>
      </c>
      <c r="J267" s="17">
        <f t="shared" si="78"/>
        <v>16.24446558430585</v>
      </c>
      <c r="K267" s="16">
        <f t="shared" si="79"/>
        <v>0</v>
      </c>
      <c r="L267" s="16">
        <f t="shared" si="80"/>
        <v>4.6105692000000236</v>
      </c>
      <c r="M267" s="16">
        <f t="shared" si="81"/>
        <v>11.224380310000036</v>
      </c>
      <c r="N267" s="15"/>
      <c r="O267" s="15"/>
    </row>
    <row r="268" spans="1:15" x14ac:dyDescent="0.15">
      <c r="A268">
        <f t="shared" si="71"/>
        <v>79</v>
      </c>
      <c r="B268">
        <f t="shared" si="72"/>
        <v>2108</v>
      </c>
      <c r="C268" s="21">
        <f t="shared" si="82"/>
        <v>37.584048790253149</v>
      </c>
      <c r="D268" s="17">
        <f t="shared" si="76"/>
        <v>42.853945637672389</v>
      </c>
      <c r="E268" s="16">
        <f t="shared" si="73"/>
        <v>0</v>
      </c>
      <c r="F268" s="16">
        <f t="shared" si="74"/>
        <v>12.162978266666729</v>
      </c>
      <c r="G268" s="16">
        <f t="shared" si="75"/>
        <v>0</v>
      </c>
      <c r="I268" s="21">
        <f t="shared" si="77"/>
        <v>37.510942299507171</v>
      </c>
      <c r="J268" s="17">
        <f t="shared" si="78"/>
        <v>16.070229614127147</v>
      </c>
      <c r="K268" s="16">
        <f t="shared" si="79"/>
        <v>0</v>
      </c>
      <c r="L268" s="16">
        <f t="shared" si="80"/>
        <v>4.5611168500000234</v>
      </c>
      <c r="M268" s="16">
        <f t="shared" si="81"/>
        <v>11.107375027916703</v>
      </c>
      <c r="N268" s="15"/>
      <c r="O268" s="15"/>
    </row>
    <row r="269" spans="1:15" x14ac:dyDescent="0.15">
      <c r="A269">
        <f t="shared" si="71"/>
        <v>80</v>
      </c>
      <c r="B269">
        <f t="shared" si="72"/>
        <v>2109</v>
      </c>
      <c r="C269" s="21">
        <f t="shared" si="82"/>
        <v>37.19217721689877</v>
      </c>
      <c r="D269" s="17">
        <f t="shared" si="76"/>
        <v>42.389316383862521</v>
      </c>
      <c r="E269" s="16">
        <f t="shared" si="73"/>
        <v>0</v>
      </c>
      <c r="F269" s="16">
        <f t="shared" si="74"/>
        <v>12.031105333333397</v>
      </c>
      <c r="G269" s="16">
        <f t="shared" si="75"/>
        <v>0</v>
      </c>
      <c r="I269" s="21">
        <f t="shared" si="77"/>
        <v>37.120060202583879</v>
      </c>
      <c r="J269" s="17">
        <f t="shared" si="78"/>
        <v>15.895993643948447</v>
      </c>
      <c r="K269" s="16">
        <f t="shared" si="79"/>
        <v>0</v>
      </c>
      <c r="L269" s="16">
        <f t="shared" si="80"/>
        <v>4.5116645000000242</v>
      </c>
      <c r="M269" s="16">
        <f t="shared" si="81"/>
        <v>10.990369745833371</v>
      </c>
      <c r="N269" s="15"/>
      <c r="O269" s="15"/>
    </row>
    <row r="270" spans="1:15" x14ac:dyDescent="0.15">
      <c r="A270">
        <f t="shared" si="71"/>
        <v>81</v>
      </c>
      <c r="B270">
        <f t="shared" si="72"/>
        <v>2110</v>
      </c>
      <c r="C270" s="21">
        <f t="shared" si="82"/>
        <v>36.800306935534429</v>
      </c>
      <c r="D270" s="17">
        <f t="shared" si="76"/>
        <v>41.924687130052661</v>
      </c>
      <c r="E270" s="16">
        <f t="shared" si="73"/>
        <v>0</v>
      </c>
      <c r="F270" s="16">
        <f t="shared" si="74"/>
        <v>11.899232400000066</v>
      </c>
      <c r="G270" s="16">
        <f t="shared" si="75"/>
        <v>0</v>
      </c>
      <c r="I270" s="21">
        <f t="shared" si="77"/>
        <v>36.729174025401065</v>
      </c>
      <c r="J270" s="17">
        <f t="shared" si="78"/>
        <v>15.721757673769748</v>
      </c>
      <c r="K270" s="16">
        <f t="shared" si="79"/>
        <v>0</v>
      </c>
      <c r="L270" s="16">
        <f t="shared" si="80"/>
        <v>4.4622121500000249</v>
      </c>
      <c r="M270" s="16">
        <f t="shared" si="81"/>
        <v>10.873364463750038</v>
      </c>
      <c r="N270" s="15"/>
      <c r="O270" s="15"/>
    </row>
    <row r="271" spans="1:15" x14ac:dyDescent="0.15">
      <c r="A271">
        <f t="shared" si="71"/>
        <v>82</v>
      </c>
      <c r="B271">
        <f t="shared" si="72"/>
        <v>2111</v>
      </c>
      <c r="C271" s="21">
        <f t="shared" si="82"/>
        <v>36.408437935666555</v>
      </c>
      <c r="D271" s="17">
        <f t="shared" si="76"/>
        <v>41.460057876242786</v>
      </c>
      <c r="E271" s="16">
        <f t="shared" si="73"/>
        <v>0</v>
      </c>
      <c r="F271" s="16">
        <f t="shared" si="74"/>
        <v>11.767359466666733</v>
      </c>
      <c r="G271" s="16">
        <f t="shared" si="75"/>
        <v>0</v>
      </c>
      <c r="I271" s="21">
        <f t="shared" si="77"/>
        <v>36.33828380109874</v>
      </c>
      <c r="J271" s="17">
        <f t="shared" si="78"/>
        <v>15.547521703591043</v>
      </c>
      <c r="K271" s="16">
        <f t="shared" si="79"/>
        <v>0</v>
      </c>
      <c r="L271" s="16">
        <f t="shared" si="80"/>
        <v>4.4127598000000248</v>
      </c>
      <c r="M271" s="16">
        <f t="shared" si="81"/>
        <v>10.756359181666706</v>
      </c>
      <c r="N271" s="15"/>
      <c r="O271" s="15"/>
    </row>
    <row r="272" spans="1:15" x14ac:dyDescent="0.15">
      <c r="A272">
        <f t="shared" si="71"/>
        <v>83</v>
      </c>
      <c r="B272">
        <f t="shared" si="72"/>
        <v>2112</v>
      </c>
      <c r="C272" s="21">
        <f t="shared" si="82"/>
        <v>36.016570206914906</v>
      </c>
      <c r="D272" s="17">
        <f t="shared" si="76"/>
        <v>40.995428622432918</v>
      </c>
      <c r="E272" s="16">
        <f t="shared" si="73"/>
        <v>0</v>
      </c>
      <c r="F272" s="16">
        <f t="shared" si="74"/>
        <v>11.635486533333401</v>
      </c>
      <c r="G272" s="16">
        <f t="shared" si="75"/>
        <v>0</v>
      </c>
      <c r="I272" s="21">
        <f t="shared" si="77"/>
        <v>35.947389562458973</v>
      </c>
      <c r="J272" s="17">
        <f t="shared" si="78"/>
        <v>15.373285733412347</v>
      </c>
      <c r="K272" s="16">
        <f t="shared" si="79"/>
        <v>0</v>
      </c>
      <c r="L272" s="16">
        <f t="shared" si="80"/>
        <v>4.3633074500000255</v>
      </c>
      <c r="M272" s="16">
        <f t="shared" si="81"/>
        <v>10.639353899583371</v>
      </c>
      <c r="N272" s="15"/>
      <c r="O272" s="15"/>
    </row>
    <row r="273" spans="1:15" x14ac:dyDescent="0.15">
      <c r="A273">
        <f t="shared" si="71"/>
        <v>84</v>
      </c>
      <c r="B273">
        <f t="shared" si="72"/>
        <v>2113</v>
      </c>
      <c r="C273" s="21">
        <f t="shared" si="82"/>
        <v>35.624703739011025</v>
      </c>
      <c r="D273" s="17">
        <f t="shared" si="76"/>
        <v>40.530799368623057</v>
      </c>
      <c r="E273" s="16">
        <f t="shared" si="73"/>
        <v>0</v>
      </c>
      <c r="F273" s="16">
        <f t="shared" si="74"/>
        <v>11.503613600000069</v>
      </c>
      <c r="G273" s="16">
        <f t="shared" si="75"/>
        <v>0</v>
      </c>
      <c r="I273" s="21">
        <f t="shared" si="77"/>
        <v>35.55649134191075</v>
      </c>
      <c r="J273" s="17">
        <f t="shared" si="78"/>
        <v>15.199049763233642</v>
      </c>
      <c r="K273" s="16">
        <f t="shared" si="79"/>
        <v>0</v>
      </c>
      <c r="L273" s="16">
        <f t="shared" si="80"/>
        <v>4.3138551000000254</v>
      </c>
      <c r="M273" s="16">
        <f t="shared" si="81"/>
        <v>10.52234861750004</v>
      </c>
      <c r="N273" s="15"/>
      <c r="O273" s="15"/>
    </row>
    <row r="274" spans="1:15" x14ac:dyDescent="0.15">
      <c r="A274">
        <f t="shared" si="71"/>
        <v>85</v>
      </c>
      <c r="B274">
        <f t="shared" si="72"/>
        <v>2114</v>
      </c>
      <c r="C274" s="21">
        <f t="shared" si="82"/>
        <v>35.232838521796793</v>
      </c>
      <c r="D274" s="17">
        <f t="shared" si="76"/>
        <v>40.066170114813183</v>
      </c>
      <c r="E274" s="16">
        <f t="shared" si="73"/>
        <v>0</v>
      </c>
      <c r="F274" s="16">
        <f t="shared" si="74"/>
        <v>11.371740666666737</v>
      </c>
      <c r="G274" s="16">
        <f t="shared" si="75"/>
        <v>0</v>
      </c>
      <c r="I274" s="21">
        <f t="shared" si="77"/>
        <v>35.165589171534712</v>
      </c>
      <c r="J274" s="17">
        <f t="shared" si="78"/>
        <v>15.024813793054941</v>
      </c>
      <c r="K274" s="16">
        <f t="shared" si="79"/>
        <v>0</v>
      </c>
      <c r="L274" s="16">
        <f t="shared" si="80"/>
        <v>4.2644027500000261</v>
      </c>
      <c r="M274" s="16">
        <f t="shared" si="81"/>
        <v>10.405343335416704</v>
      </c>
      <c r="N274" s="15"/>
      <c r="O274" s="15"/>
    </row>
    <row r="275" spans="1:15" x14ac:dyDescent="0.15">
      <c r="A275">
        <f t="shared" si="71"/>
        <v>86</v>
      </c>
      <c r="B275">
        <f t="shared" si="72"/>
        <v>2115</v>
      </c>
      <c r="C275" s="21">
        <f t="shared" si="82"/>
        <v>34.840974545222892</v>
      </c>
      <c r="D275" s="17">
        <f t="shared" si="76"/>
        <v>39.601540861003315</v>
      </c>
      <c r="E275" s="16">
        <f t="shared" si="73"/>
        <v>0</v>
      </c>
      <c r="F275" s="16">
        <f t="shared" si="74"/>
        <v>11.239867733333405</v>
      </c>
      <c r="G275" s="16">
        <f t="shared" si="75"/>
        <v>0</v>
      </c>
      <c r="I275" s="21">
        <f t="shared" si="77"/>
        <v>34.774683083067757</v>
      </c>
      <c r="J275" s="17">
        <f t="shared" si="78"/>
        <v>14.850577822876243</v>
      </c>
      <c r="K275" s="16">
        <f t="shared" si="79"/>
        <v>0</v>
      </c>
      <c r="L275" s="16">
        <f t="shared" si="80"/>
        <v>4.2149504000000269</v>
      </c>
      <c r="M275" s="16">
        <f t="shared" si="81"/>
        <v>10.288338053333369</v>
      </c>
      <c r="N275" s="15"/>
      <c r="O275" s="15"/>
    </row>
    <row r="276" spans="1:15" x14ac:dyDescent="0.15">
      <c r="A276">
        <f t="shared" si="71"/>
        <v>87</v>
      </c>
      <c r="B276">
        <f t="shared" si="72"/>
        <v>2116</v>
      </c>
      <c r="C276" s="21">
        <f t="shared" si="82"/>
        <v>34.449111799347357</v>
      </c>
      <c r="D276" s="17">
        <f t="shared" si="76"/>
        <v>39.136911607193447</v>
      </c>
      <c r="E276" s="16">
        <f t="shared" si="73"/>
        <v>0</v>
      </c>
      <c r="F276" s="16">
        <f t="shared" si="74"/>
        <v>11.107994800000071</v>
      </c>
      <c r="G276" s="16">
        <f t="shared" si="75"/>
        <v>0</v>
      </c>
      <c r="I276" s="21">
        <f t="shared" si="77"/>
        <v>34.383773107907707</v>
      </c>
      <c r="J276" s="17">
        <f t="shared" si="78"/>
        <v>14.67634185269754</v>
      </c>
      <c r="K276" s="16">
        <f t="shared" si="79"/>
        <v>0</v>
      </c>
      <c r="L276" s="16">
        <f t="shared" si="80"/>
        <v>4.1654980500000267</v>
      </c>
      <c r="M276" s="16">
        <f t="shared" si="81"/>
        <v>10.171332771250036</v>
      </c>
      <c r="N276" s="15"/>
      <c r="O276" s="15"/>
    </row>
    <row r="277" spans="1:15" x14ac:dyDescent="0.15">
      <c r="A277">
        <f t="shared" si="71"/>
        <v>88</v>
      </c>
      <c r="B277">
        <f t="shared" si="72"/>
        <v>2117</v>
      </c>
      <c r="C277" s="21">
        <f t="shared" si="82"/>
        <v>34.057250274334237</v>
      </c>
      <c r="D277" s="17">
        <f t="shared" si="76"/>
        <v>38.672282353383572</v>
      </c>
      <c r="E277" s="16">
        <f t="shared" si="73"/>
        <v>0</v>
      </c>
      <c r="F277" s="16">
        <f t="shared" si="74"/>
        <v>10.976121866666739</v>
      </c>
      <c r="G277" s="16">
        <f t="shared" si="75"/>
        <v>0</v>
      </c>
      <c r="I277" s="21">
        <f t="shared" si="77"/>
        <v>33.992859277117844</v>
      </c>
      <c r="J277" s="17">
        <f t="shared" si="78"/>
        <v>14.502105882518842</v>
      </c>
      <c r="K277" s="16">
        <f t="shared" si="79"/>
        <v>0</v>
      </c>
      <c r="L277" s="16">
        <f t="shared" si="80"/>
        <v>4.1160457000000275</v>
      </c>
      <c r="M277" s="16">
        <f t="shared" si="81"/>
        <v>10.054327489166702</v>
      </c>
      <c r="N277" s="15"/>
      <c r="O277" s="15"/>
    </row>
    <row r="278" spans="1:15" x14ac:dyDescent="0.15">
      <c r="A278">
        <f t="shared" si="71"/>
        <v>89</v>
      </c>
      <c r="B278">
        <f t="shared" si="72"/>
        <v>2118</v>
      </c>
      <c r="C278" s="21">
        <f t="shared" si="82"/>
        <v>33.66538996045206</v>
      </c>
      <c r="D278" s="17">
        <f t="shared" si="76"/>
        <v>38.207653099573704</v>
      </c>
      <c r="E278" s="16">
        <f t="shared" si="73"/>
        <v>0</v>
      </c>
      <c r="F278" s="16">
        <f t="shared" si="74"/>
        <v>10.844248933333407</v>
      </c>
      <c r="G278" s="16">
        <f t="shared" si="75"/>
        <v>0</v>
      </c>
      <c r="I278" s="21">
        <f t="shared" si="77"/>
        <v>33.601941621431259</v>
      </c>
      <c r="J278" s="17">
        <f t="shared" si="78"/>
        <v>14.327869912340141</v>
      </c>
      <c r="K278" s="16">
        <f t="shared" si="79"/>
        <v>0</v>
      </c>
      <c r="L278" s="16">
        <f t="shared" si="80"/>
        <v>4.0665933500000282</v>
      </c>
      <c r="M278" s="16">
        <f t="shared" si="81"/>
        <v>9.9373222070833691</v>
      </c>
      <c r="N278" s="15"/>
      <c r="O278" s="15"/>
    </row>
    <row r="279" spans="1:15" x14ac:dyDescent="0.15">
      <c r="A279">
        <f t="shared" si="71"/>
        <v>90</v>
      </c>
      <c r="B279">
        <f t="shared" si="72"/>
        <v>2119</v>
      </c>
      <c r="C279" s="21">
        <f t="shared" si="82"/>
        <v>33.27353084807249</v>
      </c>
      <c r="D279" s="17">
        <f t="shared" si="76"/>
        <v>37.743023845763837</v>
      </c>
      <c r="E279" s="16">
        <f t="shared" si="73"/>
        <v>0</v>
      </c>
      <c r="F279" s="16">
        <f t="shared" si="74"/>
        <v>10.712376000000075</v>
      </c>
      <c r="G279" s="16">
        <f t="shared" si="75"/>
        <v>0</v>
      </c>
      <c r="I279" s="21">
        <f t="shared" si="77"/>
        <v>33.211020171255271</v>
      </c>
      <c r="J279" s="17">
        <f t="shared" si="78"/>
        <v>14.15363394216144</v>
      </c>
      <c r="K279" s="16">
        <f t="shared" si="79"/>
        <v>0</v>
      </c>
      <c r="L279" s="16">
        <f t="shared" si="80"/>
        <v>4.0171410000000281</v>
      </c>
      <c r="M279" s="16">
        <f t="shared" si="81"/>
        <v>9.8203169250000339</v>
      </c>
      <c r="N279" s="15"/>
      <c r="O279" s="15"/>
    </row>
    <row r="280" spans="1:15" x14ac:dyDescent="0.15">
      <c r="A280">
        <f t="shared" si="71"/>
        <v>91</v>
      </c>
      <c r="B280">
        <f t="shared" si="72"/>
        <v>2120</v>
      </c>
      <c r="C280" s="21">
        <f t="shared" si="82"/>
        <v>32.881672927669065</v>
      </c>
      <c r="D280" s="17">
        <f t="shared" si="76"/>
        <v>37.278394591953962</v>
      </c>
      <c r="E280" s="16">
        <f t="shared" si="73"/>
        <v>0</v>
      </c>
      <c r="F280" s="16">
        <f t="shared" si="74"/>
        <v>10.580503066666743</v>
      </c>
      <c r="G280" s="16">
        <f t="shared" si="75"/>
        <v>0</v>
      </c>
      <c r="I280" s="21">
        <f t="shared" si="77"/>
        <v>32.82009495667581</v>
      </c>
      <c r="J280" s="17">
        <f t="shared" si="78"/>
        <v>13.979397971982738</v>
      </c>
      <c r="K280" s="16">
        <f t="shared" si="79"/>
        <v>0</v>
      </c>
      <c r="L280" s="16">
        <f t="shared" si="80"/>
        <v>3.9676886500000288</v>
      </c>
      <c r="M280" s="16">
        <f t="shared" si="81"/>
        <v>9.7033116429167006</v>
      </c>
      <c r="N280" s="15"/>
      <c r="O280" s="15"/>
    </row>
    <row r="281" spans="1:15" x14ac:dyDescent="0.15">
      <c r="A281">
        <f t="shared" si="71"/>
        <v>92</v>
      </c>
      <c r="B281">
        <f t="shared" si="72"/>
        <v>2121</v>
      </c>
      <c r="C281" s="21">
        <f t="shared" si="82"/>
        <v>32.48981618981567</v>
      </c>
      <c r="D281" s="17">
        <f t="shared" si="76"/>
        <v>36.813765338144094</v>
      </c>
      <c r="E281" s="16">
        <f t="shared" si="73"/>
        <v>0</v>
      </c>
      <c r="F281" s="16">
        <f t="shared" si="74"/>
        <v>10.44863013333341</v>
      </c>
      <c r="G281" s="16">
        <f t="shared" si="75"/>
        <v>0</v>
      </c>
      <c r="I281" s="21">
        <f t="shared" si="77"/>
        <v>32.42916600746149</v>
      </c>
      <c r="J281" s="17">
        <f t="shared" si="78"/>
        <v>13.805162001804035</v>
      </c>
      <c r="K281" s="16">
        <f t="shared" si="79"/>
        <v>0</v>
      </c>
      <c r="L281" s="16">
        <f t="shared" si="80"/>
        <v>3.9182363000000286</v>
      </c>
      <c r="M281" s="16">
        <f t="shared" si="81"/>
        <v>9.5863063608333654</v>
      </c>
      <c r="N281" s="15"/>
      <c r="O281" s="15"/>
    </row>
    <row r="282" spans="1:15" x14ac:dyDescent="0.15">
      <c r="A282">
        <f t="shared" si="71"/>
        <v>93</v>
      </c>
      <c r="B282">
        <f t="shared" si="72"/>
        <v>2122</v>
      </c>
      <c r="C282" s="21">
        <f t="shared" si="82"/>
        <v>32.097960625185401</v>
      </c>
      <c r="D282" s="17">
        <f t="shared" si="76"/>
        <v>36.349136084334233</v>
      </c>
      <c r="E282" s="16">
        <f t="shared" si="73"/>
        <v>0</v>
      </c>
      <c r="F282" s="16">
        <f t="shared" si="74"/>
        <v>10.316757200000078</v>
      </c>
      <c r="G282" s="16">
        <f t="shared" si="75"/>
        <v>0</v>
      </c>
      <c r="I282" s="21">
        <f t="shared" si="77"/>
        <v>32.038233353067945</v>
      </c>
      <c r="J282" s="17">
        <f t="shared" si="78"/>
        <v>13.630926031625334</v>
      </c>
      <c r="K282" s="16">
        <f t="shared" si="79"/>
        <v>0</v>
      </c>
      <c r="L282" s="16">
        <f t="shared" si="80"/>
        <v>3.8687839500000285</v>
      </c>
      <c r="M282" s="16">
        <f t="shared" si="81"/>
        <v>9.4693010787500302</v>
      </c>
      <c r="N282" s="15"/>
      <c r="O282" s="15"/>
    </row>
    <row r="283" spans="1:15" x14ac:dyDescent="0.15">
      <c r="A283">
        <f t="shared" si="71"/>
        <v>94</v>
      </c>
      <c r="B283">
        <f t="shared" si="72"/>
        <v>2123</v>
      </c>
      <c r="C283" s="21">
        <f t="shared" si="82"/>
        <v>31.706106224549099</v>
      </c>
      <c r="D283" s="17">
        <f t="shared" si="76"/>
        <v>35.884506830524352</v>
      </c>
      <c r="E283" s="16">
        <f t="shared" si="73"/>
        <v>0</v>
      </c>
      <c r="F283" s="16">
        <f t="shared" si="74"/>
        <v>10.184884266666744</v>
      </c>
      <c r="G283" s="16">
        <f t="shared" si="75"/>
        <v>0</v>
      </c>
      <c r="I283" s="21">
        <f t="shared" si="77"/>
        <v>31.647297022641819</v>
      </c>
      <c r="J283" s="17">
        <f t="shared" si="78"/>
        <v>13.456690061446629</v>
      </c>
      <c r="K283" s="16">
        <f t="shared" si="79"/>
        <v>0</v>
      </c>
      <c r="L283" s="16">
        <f t="shared" si="80"/>
        <v>3.8193316000000284</v>
      </c>
      <c r="M283" s="16">
        <f t="shared" si="81"/>
        <v>9.3522957966666969</v>
      </c>
      <c r="N283" s="15"/>
      <c r="O283" s="15"/>
    </row>
    <row r="284" spans="1:15" x14ac:dyDescent="0.15">
      <c r="A284">
        <f t="shared" si="71"/>
        <v>95</v>
      </c>
      <c r="B284">
        <f t="shared" si="72"/>
        <v>2124</v>
      </c>
      <c r="C284" s="21">
        <f t="shared" si="82"/>
        <v>31.314252978774213</v>
      </c>
      <c r="D284" s="17">
        <f t="shared" si="76"/>
        <v>35.419877576714477</v>
      </c>
      <c r="E284" s="16">
        <f t="shared" si="73"/>
        <v>0</v>
      </c>
      <c r="F284" s="16">
        <f t="shared" si="74"/>
        <v>10.05301133333341</v>
      </c>
      <c r="G284" s="16">
        <f t="shared" si="75"/>
        <v>0</v>
      </c>
      <c r="I284" s="21">
        <f t="shared" si="77"/>
        <v>31.256357045024863</v>
      </c>
      <c r="J284" s="17">
        <f t="shared" si="78"/>
        <v>13.282454091267928</v>
      </c>
      <c r="K284" s="16">
        <f t="shared" si="79"/>
        <v>0</v>
      </c>
      <c r="L284" s="16">
        <f t="shared" si="80"/>
        <v>3.7698792500000287</v>
      </c>
      <c r="M284" s="16">
        <f t="shared" si="81"/>
        <v>9.2352905145833617</v>
      </c>
      <c r="N284" s="15"/>
      <c r="O284" s="15"/>
    </row>
    <row r="285" spans="1:15" x14ac:dyDescent="0.15">
      <c r="A285">
        <f t="shared" si="71"/>
        <v>96</v>
      </c>
      <c r="B285">
        <f t="shared" si="72"/>
        <v>2125</v>
      </c>
      <c r="C285" s="21">
        <f t="shared" si="82"/>
        <v>30.922400878823467</v>
      </c>
      <c r="D285" s="17">
        <f t="shared" si="76"/>
        <v>34.955248322904602</v>
      </c>
      <c r="E285" s="16">
        <f t="shared" si="73"/>
        <v>0</v>
      </c>
      <c r="F285" s="16">
        <f t="shared" si="74"/>
        <v>9.9211384000000766</v>
      </c>
      <c r="G285" s="16">
        <f t="shared" si="75"/>
        <v>0</v>
      </c>
      <c r="I285" s="21">
        <f t="shared" si="77"/>
        <v>30.865413448757906</v>
      </c>
      <c r="J285" s="17">
        <f t="shared" si="78"/>
        <v>13.108218121089228</v>
      </c>
      <c r="K285" s="16">
        <f t="shared" si="79"/>
        <v>0</v>
      </c>
      <c r="L285" s="16">
        <f t="shared" si="80"/>
        <v>3.720426900000029</v>
      </c>
      <c r="M285" s="16">
        <f t="shared" si="81"/>
        <v>9.1182852325000283</v>
      </c>
      <c r="N285" s="15"/>
      <c r="O285" s="15"/>
    </row>
    <row r="286" spans="1:15" x14ac:dyDescent="0.15">
      <c r="A286">
        <f t="shared" ref="A286:A339" si="83">A285+1</f>
        <v>97</v>
      </c>
      <c r="B286">
        <f t="shared" si="72"/>
        <v>2126</v>
      </c>
      <c r="C286" s="21">
        <f t="shared" si="82"/>
        <v>30.530549915753628</v>
      </c>
      <c r="D286" s="17">
        <f t="shared" si="76"/>
        <v>34.490619069094727</v>
      </c>
      <c r="E286" s="16">
        <f t="shared" si="73"/>
        <v>0</v>
      </c>
      <c r="F286" s="16">
        <f t="shared" si="74"/>
        <v>9.7892654666667429</v>
      </c>
      <c r="G286" s="16">
        <f t="shared" si="75"/>
        <v>0</v>
      </c>
      <c r="I286" s="21">
        <f t="shared" si="77"/>
        <v>30.474466262084736</v>
      </c>
      <c r="J286" s="17">
        <f t="shared" si="78"/>
        <v>12.933982150910525</v>
      </c>
      <c r="K286" s="16">
        <f t="shared" si="79"/>
        <v>0</v>
      </c>
      <c r="L286" s="16">
        <f t="shared" si="80"/>
        <v>3.6709745500000288</v>
      </c>
      <c r="M286" s="16">
        <f t="shared" si="81"/>
        <v>9.0012799504166949</v>
      </c>
      <c r="N286" s="15"/>
      <c r="O286" s="15"/>
    </row>
    <row r="287" spans="1:15" x14ac:dyDescent="0.15">
      <c r="A287">
        <f t="shared" si="83"/>
        <v>98</v>
      </c>
      <c r="B287">
        <f t="shared" ref="B287:B339" si="84">B286+1</f>
        <v>2127</v>
      </c>
      <c r="C287" s="21">
        <f t="shared" si="82"/>
        <v>30.138700080714283</v>
      </c>
      <c r="D287" s="17">
        <f t="shared" si="76"/>
        <v>34.025989815284859</v>
      </c>
      <c r="E287" s="16">
        <f t="shared" si="73"/>
        <v>0</v>
      </c>
      <c r="F287" s="16">
        <f t="shared" si="74"/>
        <v>9.6573925333334092</v>
      </c>
      <c r="G287" s="16">
        <f t="shared" si="75"/>
        <v>0</v>
      </c>
      <c r="I287" s="21">
        <f t="shared" si="77"/>
        <v>30.083515512955984</v>
      </c>
      <c r="J287" s="17">
        <f t="shared" si="78"/>
        <v>12.75974618073182</v>
      </c>
      <c r="K287" s="16">
        <f t="shared" si="79"/>
        <v>0</v>
      </c>
      <c r="L287" s="16">
        <f t="shared" si="80"/>
        <v>3.6215222000000287</v>
      </c>
      <c r="M287" s="16">
        <f t="shared" si="81"/>
        <v>8.8842746683333615</v>
      </c>
      <c r="N287" s="15"/>
      <c r="O287" s="15"/>
    </row>
    <row r="288" spans="1:15" x14ac:dyDescent="0.15">
      <c r="A288">
        <f t="shared" si="83"/>
        <v>99</v>
      </c>
      <c r="B288">
        <f t="shared" si="84"/>
        <v>2128</v>
      </c>
      <c r="C288" s="21">
        <f t="shared" si="82"/>
        <v>29.746851364946671</v>
      </c>
      <c r="D288" s="17">
        <f t="shared" si="76"/>
        <v>33.561360561474984</v>
      </c>
      <c r="E288" s="16">
        <f t="shared" si="73"/>
        <v>0</v>
      </c>
      <c r="F288" s="16">
        <f t="shared" si="74"/>
        <v>9.5255196000000755</v>
      </c>
      <c r="G288" s="16">
        <f t="shared" si="75"/>
        <v>0</v>
      </c>
      <c r="I288" s="21">
        <f t="shared" si="77"/>
        <v>29.69256122903294</v>
      </c>
      <c r="J288" s="17">
        <f t="shared" si="78"/>
        <v>12.585510210553119</v>
      </c>
      <c r="K288" s="16">
        <f t="shared" si="79"/>
        <v>0</v>
      </c>
      <c r="L288" s="16">
        <f t="shared" si="80"/>
        <v>3.5720698500000285</v>
      </c>
      <c r="M288" s="16">
        <f t="shared" si="81"/>
        <v>8.7672693862500264</v>
      </c>
      <c r="N288" s="15"/>
      <c r="O288" s="15"/>
    </row>
    <row r="289" spans="1:15" x14ac:dyDescent="0.15">
      <c r="A289">
        <f t="shared" si="83"/>
        <v>100</v>
      </c>
      <c r="B289">
        <f t="shared" si="84"/>
        <v>2129</v>
      </c>
      <c r="C289" s="21">
        <f t="shared" si="82"/>
        <v>29.355003759782445</v>
      </c>
      <c r="D289" s="17">
        <f t="shared" si="76"/>
        <v>33.09673130766511</v>
      </c>
      <c r="E289" s="16">
        <f t="shared" si="73"/>
        <v>0</v>
      </c>
      <c r="F289" s="16">
        <f t="shared" si="74"/>
        <v>9.3936466666667418</v>
      </c>
      <c r="G289" s="16">
        <f t="shared" si="75"/>
        <v>0</v>
      </c>
      <c r="I289" s="21">
        <f t="shared" si="77"/>
        <v>29.30160343769121</v>
      </c>
      <c r="J289" s="17">
        <f t="shared" si="78"/>
        <v>12.411274240374418</v>
      </c>
      <c r="K289" s="16">
        <f t="shared" si="79"/>
        <v>0</v>
      </c>
      <c r="L289" s="16">
        <f t="shared" si="80"/>
        <v>3.5226175000000288</v>
      </c>
      <c r="M289" s="16">
        <f t="shared" si="81"/>
        <v>8.650264104166693</v>
      </c>
      <c r="N289" s="15"/>
      <c r="O289" s="15"/>
    </row>
    <row r="290" spans="1:15" x14ac:dyDescent="0.15">
      <c r="A290">
        <f t="shared" si="83"/>
        <v>101</v>
      </c>
      <c r="B290">
        <f t="shared" si="84"/>
        <v>2130</v>
      </c>
      <c r="C290" s="21">
        <f t="shared" si="82"/>
        <v>28.96315725664256</v>
      </c>
      <c r="D290" s="17">
        <f t="shared" si="76"/>
        <v>32.632102053855235</v>
      </c>
      <c r="E290" s="16">
        <f t="shared" si="73"/>
        <v>0</v>
      </c>
      <c r="F290" s="16">
        <f t="shared" si="74"/>
        <v>9.261773733333408</v>
      </c>
      <c r="G290" s="16">
        <f t="shared" si="75"/>
        <v>0</v>
      </c>
      <c r="I290" s="21">
        <f t="shared" si="77"/>
        <v>28.910642166024484</v>
      </c>
      <c r="J290" s="17">
        <f t="shared" si="78"/>
        <v>12.237038270195715</v>
      </c>
      <c r="K290" s="16">
        <f t="shared" si="79"/>
        <v>0</v>
      </c>
      <c r="L290" s="16">
        <f t="shared" si="80"/>
        <v>3.4731651500000287</v>
      </c>
      <c r="M290" s="16">
        <f t="shared" si="81"/>
        <v>8.5332588220833578</v>
      </c>
      <c r="N290" s="15"/>
      <c r="O290" s="15"/>
    </row>
    <row r="291" spans="1:15" x14ac:dyDescent="0.15">
      <c r="A291">
        <f t="shared" si="83"/>
        <v>102</v>
      </c>
      <c r="B291">
        <f t="shared" si="84"/>
        <v>2131</v>
      </c>
      <c r="C291" s="21">
        <f t="shared" si="82"/>
        <v>28.5713118470361</v>
      </c>
      <c r="D291" s="17">
        <f t="shared" si="76"/>
        <v>32.167472800045374</v>
      </c>
      <c r="E291" s="16">
        <f t="shared" si="73"/>
        <v>0</v>
      </c>
      <c r="F291" s="16">
        <f t="shared" si="74"/>
        <v>9.1299008000000779</v>
      </c>
      <c r="G291" s="16">
        <f t="shared" si="75"/>
        <v>0</v>
      </c>
      <c r="I291" s="21">
        <f t="shared" si="77"/>
        <v>28.519677440848106</v>
      </c>
      <c r="J291" s="17">
        <f t="shared" si="78"/>
        <v>12.062802300017012</v>
      </c>
      <c r="K291" s="16">
        <f t="shared" si="79"/>
        <v>0</v>
      </c>
      <c r="L291" s="16">
        <f t="shared" si="80"/>
        <v>3.4237128000000285</v>
      </c>
      <c r="M291" s="16">
        <f t="shared" si="81"/>
        <v>8.4162535400000227</v>
      </c>
      <c r="N291" s="15"/>
      <c r="O291" s="15"/>
    </row>
    <row r="292" spans="1:15" x14ac:dyDescent="0.15">
      <c r="A292">
        <f t="shared" si="83"/>
        <v>103</v>
      </c>
      <c r="B292">
        <f t="shared" si="84"/>
        <v>2132</v>
      </c>
      <c r="C292" s="21">
        <f t="shared" si="82"/>
        <v>28.17946752255914</v>
      </c>
      <c r="D292" s="17">
        <f t="shared" si="76"/>
        <v>31.702843546235496</v>
      </c>
      <c r="E292" s="16">
        <f t="shared" si="73"/>
        <v>0</v>
      </c>
      <c r="F292" s="16">
        <f t="shared" si="74"/>
        <v>8.9980278666667441</v>
      </c>
      <c r="G292" s="16">
        <f t="shared" si="75"/>
        <v>0</v>
      </c>
      <c r="I292" s="21">
        <f t="shared" si="77"/>
        <v>28.128709288702623</v>
      </c>
      <c r="J292" s="17">
        <f t="shared" si="78"/>
        <v>11.888566329838309</v>
      </c>
      <c r="K292" s="16">
        <f t="shared" si="79"/>
        <v>0</v>
      </c>
      <c r="L292" s="16">
        <f t="shared" si="80"/>
        <v>3.3742604500000284</v>
      </c>
      <c r="M292" s="16">
        <f t="shared" si="81"/>
        <v>8.2992482579166893</v>
      </c>
      <c r="N292" s="15"/>
      <c r="O292" s="15"/>
    </row>
    <row r="293" spans="1:15" x14ac:dyDescent="0.15">
      <c r="A293">
        <f t="shared" si="83"/>
        <v>104</v>
      </c>
      <c r="B293">
        <f t="shared" si="84"/>
        <v>2133</v>
      </c>
      <c r="C293" s="21">
        <f t="shared" si="82"/>
        <v>27.787624274893673</v>
      </c>
      <c r="D293" s="17">
        <f t="shared" si="76"/>
        <v>31.238214292425621</v>
      </c>
      <c r="E293" s="16">
        <f t="shared" si="73"/>
        <v>0</v>
      </c>
      <c r="F293" s="16">
        <f t="shared" si="74"/>
        <v>8.8661549333334104</v>
      </c>
      <c r="G293" s="16">
        <f t="shared" si="75"/>
        <v>0</v>
      </c>
      <c r="I293" s="21">
        <f t="shared" si="77"/>
        <v>27.737737735857358</v>
      </c>
      <c r="J293" s="17">
        <f t="shared" si="78"/>
        <v>11.714330359659609</v>
      </c>
      <c r="K293" s="16">
        <f t="shared" si="79"/>
        <v>0</v>
      </c>
      <c r="L293" s="16">
        <f t="shared" si="80"/>
        <v>3.3248081000000287</v>
      </c>
      <c r="M293" s="16">
        <f t="shared" si="81"/>
        <v>8.1822429758333559</v>
      </c>
      <c r="N293" s="15"/>
      <c r="O293" s="15"/>
    </row>
    <row r="294" spans="1:15" x14ac:dyDescent="0.15">
      <c r="A294">
        <f t="shared" si="83"/>
        <v>105</v>
      </c>
      <c r="B294">
        <f t="shared" si="84"/>
        <v>2134</v>
      </c>
      <c r="C294" s="21">
        <f t="shared" si="82"/>
        <v>27.395782095806467</v>
      </c>
      <c r="D294" s="17">
        <f t="shared" si="76"/>
        <v>30.773585038615753</v>
      </c>
      <c r="E294" s="16">
        <f t="shared" si="73"/>
        <v>0</v>
      </c>
      <c r="F294" s="16">
        <f t="shared" si="74"/>
        <v>8.7342820000000767</v>
      </c>
      <c r="G294" s="16">
        <f t="shared" si="75"/>
        <v>0</v>
      </c>
      <c r="I294" s="21">
        <f t="shared" si="77"/>
        <v>27.346762808313805</v>
      </c>
      <c r="J294" s="17">
        <f t="shared" si="78"/>
        <v>11.540094389480906</v>
      </c>
      <c r="K294" s="16">
        <f t="shared" si="79"/>
        <v>0</v>
      </c>
      <c r="L294" s="16">
        <f t="shared" si="80"/>
        <v>3.275355750000029</v>
      </c>
      <c r="M294" s="16">
        <f t="shared" si="81"/>
        <v>8.0652376937500208</v>
      </c>
      <c r="N294" s="15"/>
      <c r="O294" s="15"/>
    </row>
    <row r="295" spans="1:15" x14ac:dyDescent="0.15">
      <c r="A295">
        <f t="shared" si="83"/>
        <v>106</v>
      </c>
      <c r="B295">
        <f t="shared" si="84"/>
        <v>2135</v>
      </c>
      <c r="C295" s="21">
        <f t="shared" si="82"/>
        <v>27.003940977148023</v>
      </c>
      <c r="D295" s="17">
        <f t="shared" si="76"/>
        <v>30.308955784805878</v>
      </c>
      <c r="E295" s="16">
        <f t="shared" si="73"/>
        <v>0</v>
      </c>
      <c r="F295" s="16">
        <f t="shared" si="74"/>
        <v>8.602409066666743</v>
      </c>
      <c r="G295" s="16">
        <f t="shared" si="75"/>
        <v>0</v>
      </c>
      <c r="I295" s="21">
        <f t="shared" si="77"/>
        <v>26.955784531809069</v>
      </c>
      <c r="J295" s="17">
        <f t="shared" si="78"/>
        <v>11.365858419302203</v>
      </c>
      <c r="K295" s="16">
        <f t="shared" si="79"/>
        <v>0</v>
      </c>
      <c r="L295" s="16">
        <f t="shared" si="80"/>
        <v>3.2259034000000288</v>
      </c>
      <c r="M295" s="16">
        <f t="shared" si="81"/>
        <v>7.9482324116666874</v>
      </c>
      <c r="N295" s="15"/>
      <c r="O295" s="15"/>
    </row>
    <row r="296" spans="1:15" x14ac:dyDescent="0.15">
      <c r="A296">
        <f t="shared" si="83"/>
        <v>107</v>
      </c>
      <c r="B296">
        <f t="shared" si="84"/>
        <v>2136</v>
      </c>
      <c r="C296" s="21">
        <f t="shared" si="82"/>
        <v>26.612100910851503</v>
      </c>
      <c r="D296" s="17">
        <f t="shared" si="76"/>
        <v>29.844326530996</v>
      </c>
      <c r="E296" s="16">
        <f t="shared" si="73"/>
        <v>0</v>
      </c>
      <c r="F296" s="16">
        <f t="shared" si="74"/>
        <v>8.4705361333334093</v>
      </c>
      <c r="G296" s="16">
        <f t="shared" si="75"/>
        <v>0</v>
      </c>
      <c r="I296" s="21">
        <f t="shared" si="77"/>
        <v>26.564802931819202</v>
      </c>
      <c r="J296" s="17">
        <f t="shared" si="78"/>
        <v>11.191622449123502</v>
      </c>
      <c r="K296" s="16">
        <f t="shared" si="79"/>
        <v>0</v>
      </c>
      <c r="L296" s="16">
        <f t="shared" si="80"/>
        <v>3.1764510500000287</v>
      </c>
      <c r="M296" s="16">
        <f t="shared" si="81"/>
        <v>7.8312271295833531</v>
      </c>
      <c r="N296" s="15"/>
      <c r="O296" s="15"/>
    </row>
    <row r="297" spans="1:15" x14ac:dyDescent="0.15">
      <c r="A297">
        <f t="shared" si="83"/>
        <v>108</v>
      </c>
      <c r="B297">
        <f t="shared" si="84"/>
        <v>2137</v>
      </c>
      <c r="C297" s="21">
        <f t="shared" si="82"/>
        <v>26.220261888931681</v>
      </c>
      <c r="D297" s="17">
        <f t="shared" si="76"/>
        <v>29.379697277186136</v>
      </c>
      <c r="E297" s="16">
        <f t="shared" si="73"/>
        <v>0</v>
      </c>
      <c r="F297" s="16">
        <f t="shared" si="74"/>
        <v>8.3386632000000773</v>
      </c>
      <c r="G297" s="16">
        <f t="shared" si="75"/>
        <v>0</v>
      </c>
      <c r="I297" s="21">
        <f t="shared" si="77"/>
        <v>26.173818033562505</v>
      </c>
      <c r="J297" s="17">
        <f t="shared" si="78"/>
        <v>11.017386478944799</v>
      </c>
      <c r="K297" s="16">
        <f t="shared" si="79"/>
        <v>0</v>
      </c>
      <c r="L297" s="16">
        <f t="shared" si="80"/>
        <v>3.1269987000000286</v>
      </c>
      <c r="M297" s="16">
        <f t="shared" si="81"/>
        <v>7.7142218475000188</v>
      </c>
      <c r="N297" s="15"/>
      <c r="O297" s="15"/>
    </row>
    <row r="298" spans="1:15" x14ac:dyDescent="0.15">
      <c r="A298">
        <f t="shared" si="83"/>
        <v>109</v>
      </c>
      <c r="B298">
        <f t="shared" si="84"/>
        <v>2138</v>
      </c>
      <c r="C298" s="21">
        <f t="shared" si="82"/>
        <v>25.828423903483912</v>
      </c>
      <c r="D298" s="17">
        <f t="shared" si="76"/>
        <v>28.915068023376257</v>
      </c>
      <c r="E298" s="16">
        <f t="shared" si="73"/>
        <v>0</v>
      </c>
      <c r="F298" s="16">
        <f t="shared" si="74"/>
        <v>8.2067902666667436</v>
      </c>
      <c r="G298" s="16">
        <f t="shared" si="75"/>
        <v>0</v>
      </c>
      <c r="I298" s="21">
        <f t="shared" si="77"/>
        <v>25.782829862002806</v>
      </c>
      <c r="J298" s="17">
        <f t="shared" si="78"/>
        <v>10.843150508766096</v>
      </c>
      <c r="K298" s="16">
        <f t="shared" si="79"/>
        <v>0</v>
      </c>
      <c r="L298" s="16">
        <f t="shared" si="80"/>
        <v>3.0775463500000284</v>
      </c>
      <c r="M298" s="16">
        <f t="shared" si="81"/>
        <v>7.5972165654166846</v>
      </c>
      <c r="N298" s="15"/>
      <c r="O298" s="15"/>
    </row>
    <row r="299" spans="1:15" x14ac:dyDescent="0.15">
      <c r="A299">
        <f t="shared" si="83"/>
        <v>110</v>
      </c>
      <c r="B299">
        <f t="shared" si="84"/>
        <v>2139</v>
      </c>
      <c r="C299" s="21">
        <f t="shared" si="82"/>
        <v>25.436586946683114</v>
      </c>
      <c r="D299" s="17">
        <f t="shared" si="76"/>
        <v>28.450438769566389</v>
      </c>
      <c r="E299" s="16">
        <f t="shared" si="73"/>
        <v>0</v>
      </c>
      <c r="F299" s="16">
        <f t="shared" si="74"/>
        <v>8.0749173333334099</v>
      </c>
      <c r="G299" s="16">
        <f t="shared" si="75"/>
        <v>0</v>
      </c>
      <c r="I299" s="21">
        <f t="shared" si="77"/>
        <v>25.39183844185261</v>
      </c>
      <c r="J299" s="17">
        <f t="shared" si="78"/>
        <v>10.668914538587392</v>
      </c>
      <c r="K299" s="16">
        <f t="shared" si="79"/>
        <v>0</v>
      </c>
      <c r="L299" s="16">
        <f t="shared" si="80"/>
        <v>3.0280940000000283</v>
      </c>
      <c r="M299" s="16">
        <f t="shared" si="81"/>
        <v>7.4802112833333503</v>
      </c>
      <c r="N299" s="15"/>
      <c r="O299" s="15"/>
    </row>
    <row r="300" spans="1:15" x14ac:dyDescent="0.15">
      <c r="A300">
        <f t="shared" si="83"/>
        <v>111</v>
      </c>
      <c r="B300">
        <f t="shared" si="84"/>
        <v>2140</v>
      </c>
      <c r="C300" s="21">
        <f t="shared" si="82"/>
        <v>25.044751010782793</v>
      </c>
      <c r="D300" s="17">
        <f t="shared" si="76"/>
        <v>27.985809515756515</v>
      </c>
      <c r="E300" s="16">
        <f t="shared" si="73"/>
        <v>0</v>
      </c>
      <c r="F300" s="16">
        <f t="shared" si="74"/>
        <v>7.9430444000000771</v>
      </c>
      <c r="G300" s="16">
        <f t="shared" si="75"/>
        <v>0</v>
      </c>
      <c r="I300" s="21">
        <f t="shared" si="77"/>
        <v>25.000843797576294</v>
      </c>
      <c r="J300" s="17">
        <f t="shared" si="78"/>
        <v>10.494678568408691</v>
      </c>
      <c r="K300" s="16">
        <f t="shared" si="79"/>
        <v>0</v>
      </c>
      <c r="L300" s="16">
        <f t="shared" si="80"/>
        <v>2.9786416500000286</v>
      </c>
      <c r="M300" s="16">
        <f t="shared" si="81"/>
        <v>7.3632060012500169</v>
      </c>
      <c r="N300" s="15"/>
      <c r="O300" s="15"/>
    </row>
    <row r="301" spans="1:15" x14ac:dyDescent="0.15">
      <c r="A301">
        <f t="shared" si="83"/>
        <v>112</v>
      </c>
      <c r="B301">
        <f t="shared" si="84"/>
        <v>2141</v>
      </c>
      <c r="C301" s="21">
        <f t="shared" si="82"/>
        <v>24.652916088114033</v>
      </c>
      <c r="D301" s="17">
        <f t="shared" si="76"/>
        <v>27.52118026194664</v>
      </c>
      <c r="E301" s="16">
        <f t="shared" si="73"/>
        <v>0</v>
      </c>
      <c r="F301" s="16">
        <f t="shared" si="74"/>
        <v>7.8111714666667433</v>
      </c>
      <c r="G301" s="16">
        <f t="shared" si="75"/>
        <v>0</v>
      </c>
      <c r="I301" s="21">
        <f t="shared" si="77"/>
        <v>24.609845953393211</v>
      </c>
      <c r="J301" s="17">
        <f t="shared" si="78"/>
        <v>10.32044259822999</v>
      </c>
      <c r="K301" s="16">
        <f t="shared" si="79"/>
        <v>0</v>
      </c>
      <c r="L301" s="16">
        <f t="shared" si="80"/>
        <v>2.9291893000000289</v>
      </c>
      <c r="M301" s="16">
        <f t="shared" si="81"/>
        <v>7.2462007191666817</v>
      </c>
      <c r="N301" s="15"/>
      <c r="O301" s="15"/>
    </row>
    <row r="302" spans="1:15" x14ac:dyDescent="0.15">
      <c r="A302">
        <f t="shared" si="83"/>
        <v>113</v>
      </c>
      <c r="B302">
        <f t="shared" si="84"/>
        <v>2142</v>
      </c>
      <c r="C302" s="21">
        <f t="shared" si="82"/>
        <v>24.261082171084549</v>
      </c>
      <c r="D302" s="17">
        <f t="shared" si="76"/>
        <v>27.056551008136768</v>
      </c>
      <c r="E302" s="16">
        <f t="shared" si="73"/>
        <v>0</v>
      </c>
      <c r="F302" s="16">
        <f t="shared" si="74"/>
        <v>7.6792985333334096</v>
      </c>
      <c r="G302" s="16">
        <f t="shared" si="75"/>
        <v>0</v>
      </c>
      <c r="I302" s="21">
        <f t="shared" si="77"/>
        <v>24.218844933280739</v>
      </c>
      <c r="J302" s="17">
        <f t="shared" si="78"/>
        <v>10.146206628051287</v>
      </c>
      <c r="K302" s="16">
        <f t="shared" si="79"/>
        <v>0</v>
      </c>
      <c r="L302" s="16">
        <f t="shared" si="80"/>
        <v>2.8797369500000287</v>
      </c>
      <c r="M302" s="16">
        <f t="shared" si="81"/>
        <v>7.1291954370833475</v>
      </c>
      <c r="N302" s="15"/>
      <c r="O302" s="15"/>
    </row>
    <row r="303" spans="1:15" x14ac:dyDescent="0.15">
      <c r="A303">
        <f t="shared" si="83"/>
        <v>114</v>
      </c>
      <c r="B303">
        <f t="shared" si="84"/>
        <v>2143</v>
      </c>
      <c r="C303" s="21">
        <f t="shared" si="82"/>
        <v>23.869249252177706</v>
      </c>
      <c r="D303" s="17">
        <f t="shared" si="76"/>
        <v>26.591921754326894</v>
      </c>
      <c r="E303" s="16">
        <f t="shared" si="73"/>
        <v>0</v>
      </c>
      <c r="F303" s="16">
        <f t="shared" si="74"/>
        <v>7.5474256000000759</v>
      </c>
      <c r="G303" s="16">
        <f t="shared" si="75"/>
        <v>0</v>
      </c>
      <c r="I303" s="21">
        <f t="shared" si="77"/>
        <v>23.827840760977292</v>
      </c>
      <c r="J303" s="17">
        <f t="shared" si="78"/>
        <v>9.9719706578725855</v>
      </c>
      <c r="K303" s="16">
        <f t="shared" si="79"/>
        <v>0</v>
      </c>
      <c r="L303" s="16">
        <f t="shared" si="80"/>
        <v>2.8302846000000286</v>
      </c>
      <c r="M303" s="16">
        <f t="shared" si="81"/>
        <v>7.0121901550000141</v>
      </c>
      <c r="N303" s="15"/>
      <c r="O303" s="15"/>
    </row>
    <row r="304" spans="1:15" x14ac:dyDescent="0.15">
      <c r="A304">
        <f t="shared" si="83"/>
        <v>115</v>
      </c>
      <c r="B304">
        <f t="shared" si="84"/>
        <v>2144</v>
      </c>
      <c r="C304" s="21">
        <f t="shared" si="82"/>
        <v>23.477417323951599</v>
      </c>
      <c r="D304" s="17">
        <f t="shared" si="76"/>
        <v>26.127292500517015</v>
      </c>
      <c r="E304" s="16">
        <f t="shared" si="73"/>
        <v>0</v>
      </c>
      <c r="F304" s="16">
        <f t="shared" si="74"/>
        <v>7.4155526666667422</v>
      </c>
      <c r="G304" s="16">
        <f t="shared" si="75"/>
        <v>0</v>
      </c>
      <c r="I304" s="21">
        <f t="shared" si="77"/>
        <v>23.436833459985305</v>
      </c>
      <c r="J304" s="17">
        <f t="shared" si="78"/>
        <v>9.7977346876938842</v>
      </c>
      <c r="K304" s="16">
        <f t="shared" si="79"/>
        <v>0</v>
      </c>
      <c r="L304" s="16">
        <f t="shared" si="80"/>
        <v>2.7808322500000284</v>
      </c>
      <c r="M304" s="16">
        <f t="shared" si="81"/>
        <v>6.8951848729166798</v>
      </c>
      <c r="N304" s="15"/>
      <c r="O304" s="15"/>
    </row>
    <row r="305" spans="1:15" x14ac:dyDescent="0.15">
      <c r="A305">
        <f t="shared" si="83"/>
        <v>116</v>
      </c>
      <c r="B305">
        <f t="shared" si="84"/>
        <v>2145</v>
      </c>
      <c r="C305" s="21">
        <f t="shared" si="82"/>
        <v>23.085586379038112</v>
      </c>
      <c r="D305" s="17">
        <f t="shared" si="76"/>
        <v>25.662663246707151</v>
      </c>
      <c r="E305" s="16">
        <f t="shared" si="73"/>
        <v>0</v>
      </c>
      <c r="F305" s="16">
        <f t="shared" si="74"/>
        <v>7.2836797333334093</v>
      </c>
      <c r="G305" s="16">
        <f t="shared" si="75"/>
        <v>0</v>
      </c>
      <c r="I305" s="21">
        <f t="shared" si="77"/>
        <v>23.045823053574125</v>
      </c>
      <c r="J305" s="17">
        <f t="shared" si="78"/>
        <v>9.6234987175151812</v>
      </c>
      <c r="K305" s="16">
        <f t="shared" si="79"/>
        <v>0</v>
      </c>
      <c r="L305" s="16">
        <f t="shared" si="80"/>
        <v>2.7313799000000287</v>
      </c>
      <c r="M305" s="16">
        <f t="shared" si="81"/>
        <v>6.7781795908333455</v>
      </c>
      <c r="N305" s="15"/>
      <c r="O305" s="15"/>
    </row>
    <row r="306" spans="1:15" x14ac:dyDescent="0.15">
      <c r="A306">
        <f t="shared" si="83"/>
        <v>117</v>
      </c>
      <c r="B306">
        <f t="shared" si="84"/>
        <v>2146</v>
      </c>
      <c r="C306" s="21">
        <f t="shared" si="82"/>
        <v>22.693756410142036</v>
      </c>
      <c r="D306" s="17">
        <f t="shared" si="76"/>
        <v>25.198033992897276</v>
      </c>
      <c r="E306" s="16">
        <f t="shared" si="73"/>
        <v>0</v>
      </c>
      <c r="F306" s="16">
        <f t="shared" si="74"/>
        <v>7.1518068000000765</v>
      </c>
      <c r="G306" s="16">
        <f t="shared" si="75"/>
        <v>0</v>
      </c>
      <c r="I306" s="21">
        <f t="shared" si="77"/>
        <v>22.654809564782955</v>
      </c>
      <c r="J306" s="17">
        <f t="shared" si="78"/>
        <v>9.4492627473364781</v>
      </c>
      <c r="K306" s="16">
        <f t="shared" si="79"/>
        <v>0</v>
      </c>
      <c r="L306" s="16">
        <f t="shared" si="80"/>
        <v>2.6819275500000286</v>
      </c>
      <c r="M306" s="16">
        <f t="shared" si="81"/>
        <v>6.6611743087500113</v>
      </c>
      <c r="N306" s="15"/>
      <c r="O306" s="15"/>
    </row>
    <row r="307" spans="1:15" x14ac:dyDescent="0.15">
      <c r="A307">
        <f t="shared" si="83"/>
        <v>118</v>
      </c>
      <c r="B307">
        <f t="shared" si="84"/>
        <v>2147</v>
      </c>
      <c r="C307" s="21">
        <f t="shared" si="82"/>
        <v>22.301927410040129</v>
      </c>
      <c r="D307" s="17">
        <f t="shared" si="76"/>
        <v>24.733404739087401</v>
      </c>
      <c r="E307" s="16">
        <f t="shared" si="73"/>
        <v>0</v>
      </c>
      <c r="F307" s="16">
        <f t="shared" si="74"/>
        <v>7.0199338666667428</v>
      </c>
      <c r="G307" s="16">
        <f t="shared" si="75"/>
        <v>0</v>
      </c>
      <c r="I307" s="21">
        <f t="shared" si="77"/>
        <v>22.263793016423627</v>
      </c>
      <c r="J307" s="17">
        <f t="shared" si="78"/>
        <v>9.2750267771577768</v>
      </c>
      <c r="K307" s="16">
        <f t="shared" si="79"/>
        <v>0</v>
      </c>
      <c r="L307" s="16">
        <f t="shared" si="80"/>
        <v>2.6324752000000284</v>
      </c>
      <c r="M307" s="16">
        <f t="shared" si="81"/>
        <v>6.544169026666677</v>
      </c>
      <c r="N307" s="15"/>
      <c r="O307" s="15"/>
    </row>
    <row r="308" spans="1:15" x14ac:dyDescent="0.15">
      <c r="A308">
        <f t="shared" si="83"/>
        <v>119</v>
      </c>
      <c r="B308">
        <f t="shared" si="84"/>
        <v>2148</v>
      </c>
      <c r="C308" s="21">
        <f t="shared" si="82"/>
        <v>21.910099371580262</v>
      </c>
      <c r="D308" s="17">
        <f t="shared" si="76"/>
        <v>24.26877548527753</v>
      </c>
      <c r="E308" s="16">
        <f t="shared" si="73"/>
        <v>0</v>
      </c>
      <c r="F308" s="16">
        <f t="shared" si="74"/>
        <v>6.88806093333341</v>
      </c>
      <c r="G308" s="16">
        <f t="shared" si="75"/>
        <v>0</v>
      </c>
      <c r="I308" s="21">
        <f t="shared" si="77"/>
        <v>21.872773431083445</v>
      </c>
      <c r="J308" s="17">
        <f t="shared" si="78"/>
        <v>9.1007908069790737</v>
      </c>
      <c r="K308" s="16">
        <f t="shared" si="79"/>
        <v>0</v>
      </c>
      <c r="L308" s="16">
        <f t="shared" si="80"/>
        <v>2.5830228500000283</v>
      </c>
      <c r="M308" s="16">
        <f t="shared" si="81"/>
        <v>6.4271637445833427</v>
      </c>
      <c r="N308" s="15"/>
      <c r="O308" s="15"/>
    </row>
    <row r="309" spans="1:15" x14ac:dyDescent="0.15">
      <c r="A309">
        <f t="shared" si="83"/>
        <v>120</v>
      </c>
      <c r="B309">
        <f t="shared" si="84"/>
        <v>2149</v>
      </c>
      <c r="C309" s="21">
        <f t="shared" si="82"/>
        <v>21.518272287680521</v>
      </c>
      <c r="D309" s="17">
        <f t="shared" si="76"/>
        <v>23.804146231467659</v>
      </c>
      <c r="E309" s="16">
        <f t="shared" si="73"/>
        <v>0</v>
      </c>
      <c r="F309" s="16">
        <f t="shared" si="74"/>
        <v>6.7561880000000762</v>
      </c>
      <c r="G309" s="16">
        <f t="shared" si="75"/>
        <v>0</v>
      </c>
      <c r="I309" s="21">
        <f t="shared" si="77"/>
        <v>21.481750831127908</v>
      </c>
      <c r="J309" s="17">
        <f t="shared" si="78"/>
        <v>8.9265548368003707</v>
      </c>
      <c r="K309" s="16">
        <f t="shared" si="79"/>
        <v>0</v>
      </c>
      <c r="L309" s="16">
        <f t="shared" si="80"/>
        <v>2.5335705000000286</v>
      </c>
      <c r="M309" s="16">
        <f t="shared" si="81"/>
        <v>6.3101584625000084</v>
      </c>
      <c r="N309" s="15"/>
      <c r="O309" s="15"/>
    </row>
    <row r="310" spans="1:15" x14ac:dyDescent="0.15">
      <c r="A310">
        <f t="shared" si="83"/>
        <v>121</v>
      </c>
      <c r="B310">
        <f t="shared" si="84"/>
        <v>2150</v>
      </c>
      <c r="C310" s="21">
        <f t="shared" si="82"/>
        <v>21.126446151328381</v>
      </c>
      <c r="D310" s="17">
        <f t="shared" si="76"/>
        <v>23.339516977657784</v>
      </c>
      <c r="E310" s="16">
        <f t="shared" si="73"/>
        <v>0</v>
      </c>
      <c r="F310" s="16">
        <f t="shared" si="74"/>
        <v>6.6243150666667425</v>
      </c>
      <c r="G310" s="16">
        <f t="shared" si="75"/>
        <v>0</v>
      </c>
      <c r="I310" s="21">
        <f t="shared" si="77"/>
        <v>21.090725238703467</v>
      </c>
      <c r="J310" s="17">
        <f t="shared" si="78"/>
        <v>8.7523188666216694</v>
      </c>
      <c r="K310" s="16">
        <f t="shared" si="79"/>
        <v>0</v>
      </c>
      <c r="L310" s="16">
        <f t="shared" si="80"/>
        <v>2.4841181500000284</v>
      </c>
      <c r="M310" s="16">
        <f t="shared" si="81"/>
        <v>6.1931531804166742</v>
      </c>
      <c r="N310" s="15"/>
      <c r="O310" s="15"/>
    </row>
    <row r="311" spans="1:15" x14ac:dyDescent="0.15">
      <c r="A311">
        <f t="shared" si="83"/>
        <v>122</v>
      </c>
      <c r="B311">
        <f t="shared" si="84"/>
        <v>2151</v>
      </c>
      <c r="C311" s="21">
        <f t="shared" si="82"/>
        <v>20.734620955579818</v>
      </c>
      <c r="D311" s="17">
        <f t="shared" si="76"/>
        <v>22.874887723847909</v>
      </c>
      <c r="E311" s="16">
        <f t="shared" si="73"/>
        <v>0</v>
      </c>
      <c r="F311" s="16">
        <f t="shared" si="74"/>
        <v>6.4924421333334088</v>
      </c>
      <c r="G311" s="16">
        <f t="shared" si="75"/>
        <v>0</v>
      </c>
      <c r="I311" s="21">
        <f t="shared" si="77"/>
        <v>20.699696675740149</v>
      </c>
      <c r="J311" s="17">
        <f t="shared" si="78"/>
        <v>8.5780828964429681</v>
      </c>
      <c r="K311" s="16">
        <f t="shared" si="79"/>
        <v>0</v>
      </c>
      <c r="L311" s="16">
        <f t="shared" si="80"/>
        <v>2.4346658000000287</v>
      </c>
      <c r="M311" s="16">
        <f t="shared" si="81"/>
        <v>6.0761478983333408</v>
      </c>
      <c r="N311" s="15"/>
      <c r="O311" s="15"/>
    </row>
    <row r="312" spans="1:15" x14ac:dyDescent="0.15">
      <c r="A312">
        <f t="shared" si="83"/>
        <v>123</v>
      </c>
      <c r="B312">
        <f t="shared" si="84"/>
        <v>2152</v>
      </c>
      <c r="C312" s="21">
        <f t="shared" si="82"/>
        <v>20.342796693558501</v>
      </c>
      <c r="D312" s="17">
        <f t="shared" si="76"/>
        <v>22.410258470038038</v>
      </c>
      <c r="E312" s="16">
        <f t="shared" si="73"/>
        <v>0</v>
      </c>
      <c r="F312" s="16">
        <f t="shared" si="74"/>
        <v>6.360569200000076</v>
      </c>
      <c r="G312" s="16">
        <f t="shared" si="75"/>
        <v>0</v>
      </c>
      <c r="I312" s="21">
        <f t="shared" si="77"/>
        <v>20.30866516395422</v>
      </c>
      <c r="J312" s="17">
        <f t="shared" si="78"/>
        <v>8.403846926264265</v>
      </c>
      <c r="K312" s="16">
        <f t="shared" si="79"/>
        <v>0</v>
      </c>
      <c r="L312" s="16">
        <f t="shared" si="80"/>
        <v>2.3852134500000286</v>
      </c>
      <c r="M312" s="16">
        <f t="shared" si="81"/>
        <v>5.9591426162500065</v>
      </c>
      <c r="N312" s="15"/>
      <c r="O312" s="15"/>
    </row>
    <row r="313" spans="1:15" x14ac:dyDescent="0.15">
      <c r="A313">
        <f t="shared" si="83"/>
        <v>124</v>
      </c>
      <c r="B313">
        <f t="shared" si="84"/>
        <v>2153</v>
      </c>
      <c r="C313" s="21">
        <f t="shared" si="82"/>
        <v>19.950973358454956</v>
      </c>
      <c r="D313" s="17">
        <f t="shared" si="76"/>
        <v>21.945629216228166</v>
      </c>
      <c r="E313" s="16">
        <f t="shared" si="73"/>
        <v>0</v>
      </c>
      <c r="F313" s="16">
        <f t="shared" si="74"/>
        <v>6.2286962666667431</v>
      </c>
      <c r="G313" s="16">
        <f t="shared" si="75"/>
        <v>0</v>
      </c>
      <c r="I313" s="21">
        <f t="shared" si="77"/>
        <v>19.91763072485081</v>
      </c>
      <c r="J313" s="17">
        <f t="shared" si="78"/>
        <v>8.2296109560855619</v>
      </c>
      <c r="K313" s="16">
        <f t="shared" si="79"/>
        <v>0</v>
      </c>
      <c r="L313" s="16">
        <f t="shared" si="80"/>
        <v>2.3357611000000285</v>
      </c>
      <c r="M313" s="16">
        <f t="shared" si="81"/>
        <v>5.8421373341666722</v>
      </c>
      <c r="N313" s="15"/>
      <c r="O313" s="15"/>
    </row>
    <row r="314" spans="1:15" x14ac:dyDescent="0.15">
      <c r="A314">
        <f t="shared" si="83"/>
        <v>125</v>
      </c>
      <c r="B314">
        <f t="shared" si="84"/>
        <v>2154</v>
      </c>
      <c r="C314" s="21">
        <f t="shared" si="82"/>
        <v>19.559150943525783</v>
      </c>
      <c r="D314" s="17">
        <f t="shared" si="76"/>
        <v>21.480999962418291</v>
      </c>
      <c r="E314" s="16">
        <f t="shared" si="73"/>
        <v>0</v>
      </c>
      <c r="F314" s="16">
        <f t="shared" si="74"/>
        <v>6.0968233333334094</v>
      </c>
      <c r="G314" s="16">
        <f t="shared" si="75"/>
        <v>0</v>
      </c>
      <c r="I314" s="21">
        <f t="shared" si="77"/>
        <v>19.526593379726432</v>
      </c>
      <c r="J314" s="17">
        <f t="shared" si="78"/>
        <v>8.0553749859068589</v>
      </c>
      <c r="K314" s="16">
        <f t="shared" si="79"/>
        <v>0</v>
      </c>
      <c r="L314" s="16">
        <f t="shared" si="80"/>
        <v>2.2863087500000283</v>
      </c>
      <c r="M314" s="16">
        <f t="shared" si="81"/>
        <v>5.725132052083338</v>
      </c>
      <c r="N314" s="15"/>
      <c r="O314" s="15"/>
    </row>
    <row r="315" spans="1:15" x14ac:dyDescent="0.15">
      <c r="A315">
        <f t="shared" si="83"/>
        <v>126</v>
      </c>
      <c r="B315">
        <f t="shared" si="84"/>
        <v>2155</v>
      </c>
      <c r="C315" s="21">
        <f t="shared" si="82"/>
        <v>19.167329442092814</v>
      </c>
      <c r="D315" s="17">
        <f t="shared" si="76"/>
        <v>21.01637070860842</v>
      </c>
      <c r="E315" s="16">
        <f t="shared" si="73"/>
        <v>0</v>
      </c>
      <c r="F315" s="16">
        <f t="shared" si="74"/>
        <v>5.9649504000000757</v>
      </c>
      <c r="G315" s="16">
        <f t="shared" si="75"/>
        <v>0</v>
      </c>
      <c r="I315" s="21">
        <f t="shared" si="77"/>
        <v>19.135553149671509</v>
      </c>
      <c r="J315" s="17">
        <f t="shared" si="78"/>
        <v>7.8811390157281576</v>
      </c>
      <c r="K315" s="16">
        <f t="shared" si="79"/>
        <v>0</v>
      </c>
      <c r="L315" s="16">
        <f t="shared" si="80"/>
        <v>2.2368564000000282</v>
      </c>
      <c r="M315" s="16">
        <f t="shared" si="81"/>
        <v>5.6081267700000037</v>
      </c>
      <c r="N315" s="15"/>
      <c r="O315" s="15"/>
    </row>
    <row r="316" spans="1:15" x14ac:dyDescent="0.15">
      <c r="A316">
        <f t="shared" si="83"/>
        <v>127</v>
      </c>
      <c r="B316">
        <f t="shared" si="84"/>
        <v>2156</v>
      </c>
      <c r="C316" s="21">
        <f t="shared" si="82"/>
        <v>18.775508847542348</v>
      </c>
      <c r="D316" s="17">
        <f t="shared" si="76"/>
        <v>20.551741454798549</v>
      </c>
      <c r="E316" s="16">
        <f t="shared" si="73"/>
        <v>0</v>
      </c>
      <c r="F316" s="16">
        <f t="shared" si="74"/>
        <v>5.8330774666667429</v>
      </c>
      <c r="G316" s="16">
        <f t="shared" si="75"/>
        <v>0</v>
      </c>
      <c r="I316" s="21">
        <f t="shared" si="77"/>
        <v>18.744510055572881</v>
      </c>
      <c r="J316" s="17">
        <f t="shared" si="78"/>
        <v>7.7069030455494545</v>
      </c>
      <c r="K316" s="16">
        <f t="shared" si="79"/>
        <v>0</v>
      </c>
      <c r="L316" s="16">
        <f t="shared" si="80"/>
        <v>2.1874040500000285</v>
      </c>
      <c r="M316" s="16">
        <f t="shared" si="81"/>
        <v>5.4911214879166694</v>
      </c>
      <c r="N316" s="15"/>
      <c r="O316" s="15"/>
    </row>
    <row r="317" spans="1:15" x14ac:dyDescent="0.15">
      <c r="A317">
        <f t="shared" si="83"/>
        <v>128</v>
      </c>
      <c r="B317">
        <f t="shared" si="84"/>
        <v>2157</v>
      </c>
      <c r="C317" s="21">
        <f t="shared" si="82"/>
        <v>18.383689153324386</v>
      </c>
      <c r="D317" s="17">
        <f t="shared" si="76"/>
        <v>20.087112200988674</v>
      </c>
      <c r="E317" s="16">
        <f t="shared" si="73"/>
        <v>0</v>
      </c>
      <c r="F317" s="16">
        <f t="shared" si="74"/>
        <v>5.7012045333334092</v>
      </c>
      <c r="G317" s="16">
        <f t="shared" si="75"/>
        <v>0</v>
      </c>
      <c r="I317" s="21">
        <f t="shared" si="77"/>
        <v>18.353464118116243</v>
      </c>
      <c r="J317" s="17">
        <f t="shared" si="78"/>
        <v>7.5326670753707541</v>
      </c>
      <c r="K317" s="16">
        <f t="shared" si="79"/>
        <v>0</v>
      </c>
      <c r="L317" s="16">
        <f t="shared" si="80"/>
        <v>2.1379517000000288</v>
      </c>
      <c r="M317" s="16">
        <f t="shared" si="81"/>
        <v>5.3741162058333352</v>
      </c>
      <c r="N317" s="15"/>
      <c r="O317" s="15"/>
    </row>
    <row r="318" spans="1:15" x14ac:dyDescent="0.15">
      <c r="A318">
        <f t="shared" si="83"/>
        <v>129</v>
      </c>
      <c r="B318">
        <f t="shared" si="84"/>
        <v>2158</v>
      </c>
      <c r="C318" s="21">
        <f t="shared" si="82"/>
        <v>17.991870352951857</v>
      </c>
      <c r="D318" s="17">
        <f t="shared" si="76"/>
        <v>19.622482947178799</v>
      </c>
      <c r="E318" s="16">
        <f t="shared" ref="E318:E339" si="85">$J133*1000*$Q$189/1000000000</f>
        <v>0</v>
      </c>
      <c r="F318" s="16">
        <f t="shared" ref="F318:F339" si="86">$O133*$P$189/1000000</f>
        <v>5.5693316000000763</v>
      </c>
      <c r="G318" s="16">
        <f t="shared" ref="G318:G339" si="87">P318*$N$4/1000000</f>
        <v>0</v>
      </c>
      <c r="I318" s="21">
        <f t="shared" si="77"/>
        <v>17.962415357788583</v>
      </c>
      <c r="J318" s="17">
        <f t="shared" si="78"/>
        <v>7.358431105192051</v>
      </c>
      <c r="K318" s="16">
        <f t="shared" si="79"/>
        <v>0</v>
      </c>
      <c r="L318" s="16">
        <f t="shared" si="80"/>
        <v>2.0884993500000286</v>
      </c>
      <c r="M318" s="16">
        <f t="shared" si="81"/>
        <v>5.2571109237500009</v>
      </c>
      <c r="N318" s="15"/>
      <c r="O318" s="15"/>
    </row>
    <row r="319" spans="1:15" x14ac:dyDescent="0.15">
      <c r="A319">
        <f t="shared" si="83"/>
        <v>130</v>
      </c>
      <c r="B319">
        <f t="shared" si="84"/>
        <v>2159</v>
      </c>
      <c r="C319" s="21">
        <f t="shared" si="82"/>
        <v>17.600052439999846</v>
      </c>
      <c r="D319" s="17">
        <f t="shared" ref="D319:D339" si="88">(F319+E319)*1000/$G134*1000</f>
        <v>19.157853693368928</v>
      </c>
      <c r="E319" s="16">
        <f t="shared" si="85"/>
        <v>0</v>
      </c>
      <c r="F319" s="16">
        <f t="shared" si="86"/>
        <v>5.4374586666667426</v>
      </c>
      <c r="G319" s="16">
        <f t="shared" si="87"/>
        <v>0</v>
      </c>
      <c r="I319" s="21">
        <f t="shared" ref="I319:I339" si="89">(J319*$G134+$D133*$F133)/$F134</f>
        <v>17.571363794880515</v>
      </c>
      <c r="J319" s="17">
        <f t="shared" ref="J319:J339" si="90">(L319+K319)*1000/$G134*1000</f>
        <v>7.1841951350133479</v>
      </c>
      <c r="K319" s="16">
        <f t="shared" ref="K319:K339" si="91">$J134*1000*$Q$190/1000000000</f>
        <v>0</v>
      </c>
      <c r="L319" s="16">
        <f t="shared" ref="L319:L339" si="92">$O134*$P$190/1000000</f>
        <v>2.0390470000000285</v>
      </c>
      <c r="M319" s="16">
        <f t="shared" ref="M319:M339" si="93">$N134*$P$189/1000000</f>
        <v>5.1401056416666675</v>
      </c>
      <c r="N319" s="15"/>
      <c r="O319" s="15"/>
    </row>
    <row r="320" spans="1:15" x14ac:dyDescent="0.15">
      <c r="A320">
        <f t="shared" si="83"/>
        <v>131</v>
      </c>
      <c r="B320">
        <f t="shared" si="84"/>
        <v>2160</v>
      </c>
      <c r="C320" s="21">
        <f t="shared" ref="C320:C339" si="94">(D320*$G135+$D134*$F134)/$F135</f>
        <v>17.20823540810488</v>
      </c>
      <c r="D320" s="17">
        <f t="shared" si="88"/>
        <v>18.693224439559053</v>
      </c>
      <c r="E320" s="16">
        <f t="shared" si="85"/>
        <v>0</v>
      </c>
      <c r="F320" s="16">
        <f t="shared" si="86"/>
        <v>5.3055857333334089</v>
      </c>
      <c r="G320" s="16">
        <f t="shared" si="87"/>
        <v>0</v>
      </c>
      <c r="I320" s="21">
        <f t="shared" si="89"/>
        <v>17.180309449488675</v>
      </c>
      <c r="J320" s="17">
        <f t="shared" si="90"/>
        <v>7.0099591648346466</v>
      </c>
      <c r="K320" s="16">
        <f t="shared" si="91"/>
        <v>0</v>
      </c>
      <c r="L320" s="16">
        <f t="shared" si="92"/>
        <v>1.9895946500000286</v>
      </c>
      <c r="M320" s="16">
        <f t="shared" si="93"/>
        <v>5.0231003595833341</v>
      </c>
      <c r="N320" s="15"/>
      <c r="O320" s="15"/>
    </row>
    <row r="321" spans="1:15" x14ac:dyDescent="0.15">
      <c r="A321">
        <f t="shared" si="83"/>
        <v>132</v>
      </c>
      <c r="B321">
        <f t="shared" si="84"/>
        <v>2161</v>
      </c>
      <c r="C321" s="21">
        <f t="shared" si="94"/>
        <v>16.816419250964174</v>
      </c>
      <c r="D321" s="17">
        <f t="shared" si="88"/>
        <v>18.228595185749182</v>
      </c>
      <c r="E321" s="16">
        <f t="shared" si="85"/>
        <v>0</v>
      </c>
      <c r="F321" s="16">
        <f t="shared" si="86"/>
        <v>5.1737128000000761</v>
      </c>
      <c r="G321" s="16">
        <f t="shared" si="87"/>
        <v>0</v>
      </c>
      <c r="I321" s="21">
        <f t="shared" si="89"/>
        <v>16.789252341517997</v>
      </c>
      <c r="J321" s="17">
        <f t="shared" si="90"/>
        <v>6.8357231946559436</v>
      </c>
      <c r="K321" s="16">
        <f t="shared" si="91"/>
        <v>0</v>
      </c>
      <c r="L321" s="16">
        <f t="shared" si="92"/>
        <v>1.9401423000000284</v>
      </c>
      <c r="M321" s="16">
        <f t="shared" si="93"/>
        <v>4.9060950775000007</v>
      </c>
      <c r="N321" s="15"/>
      <c r="O321" s="15"/>
    </row>
    <row r="322" spans="1:15" x14ac:dyDescent="0.15">
      <c r="A322">
        <f t="shared" si="83"/>
        <v>133</v>
      </c>
      <c r="B322">
        <f t="shared" si="84"/>
        <v>2162</v>
      </c>
      <c r="C322" s="21">
        <f t="shared" si="94"/>
        <v>16.424603962334913</v>
      </c>
      <c r="D322" s="17">
        <f t="shared" si="88"/>
        <v>17.76396593193931</v>
      </c>
      <c r="E322" s="16">
        <f t="shared" si="85"/>
        <v>0</v>
      </c>
      <c r="F322" s="16">
        <f t="shared" si="86"/>
        <v>5.0418398666667423</v>
      </c>
      <c r="G322" s="16">
        <f t="shared" si="87"/>
        <v>0</v>
      </c>
      <c r="I322" s="21">
        <f t="shared" si="89"/>
        <v>16.398192490684021</v>
      </c>
      <c r="J322" s="17">
        <f t="shared" si="90"/>
        <v>6.6614872244772405</v>
      </c>
      <c r="K322" s="16">
        <f t="shared" si="91"/>
        <v>0</v>
      </c>
      <c r="L322" s="16">
        <f t="shared" si="92"/>
        <v>1.8906899500000285</v>
      </c>
      <c r="M322" s="16">
        <f t="shared" si="93"/>
        <v>4.7890897954166674</v>
      </c>
      <c r="N322" s="15"/>
      <c r="O322" s="15"/>
    </row>
    <row r="323" spans="1:15" x14ac:dyDescent="0.15">
      <c r="A323">
        <f t="shared" si="83"/>
        <v>134</v>
      </c>
      <c r="B323">
        <f t="shared" si="84"/>
        <v>2163</v>
      </c>
      <c r="C323" s="21">
        <f t="shared" si="94"/>
        <v>16.032789536033565</v>
      </c>
      <c r="D323" s="17">
        <f t="shared" si="88"/>
        <v>17.299336678129432</v>
      </c>
      <c r="E323" s="16">
        <f t="shared" si="85"/>
        <v>0</v>
      </c>
      <c r="F323" s="16">
        <f t="shared" si="86"/>
        <v>4.9099669333334086</v>
      </c>
      <c r="G323" s="16">
        <f t="shared" si="87"/>
        <v>0</v>
      </c>
      <c r="I323" s="21">
        <f t="shared" si="89"/>
        <v>16.007129916515126</v>
      </c>
      <c r="J323" s="17">
        <f t="shared" si="90"/>
        <v>6.4872512542985392</v>
      </c>
      <c r="K323" s="16">
        <f t="shared" si="91"/>
        <v>0</v>
      </c>
      <c r="L323" s="16">
        <f t="shared" si="92"/>
        <v>1.8412376000000286</v>
      </c>
      <c r="M323" s="16">
        <f t="shared" si="93"/>
        <v>4.672084513333334</v>
      </c>
      <c r="N323" s="15"/>
      <c r="O323" s="15"/>
    </row>
    <row r="324" spans="1:15" x14ac:dyDescent="0.15">
      <c r="A324">
        <f t="shared" si="83"/>
        <v>135</v>
      </c>
      <c r="B324">
        <f t="shared" si="84"/>
        <v>2164</v>
      </c>
      <c r="C324" s="21">
        <f t="shared" si="94"/>
        <v>15.640975965935128</v>
      </c>
      <c r="D324" s="17">
        <f t="shared" si="88"/>
        <v>16.834707424319568</v>
      </c>
      <c r="E324" s="16">
        <f t="shared" si="85"/>
        <v>0</v>
      </c>
      <c r="F324" s="16">
        <f t="shared" si="86"/>
        <v>4.7780940000000767</v>
      </c>
      <c r="G324" s="16">
        <f t="shared" si="87"/>
        <v>0</v>
      </c>
      <c r="I324" s="21">
        <f t="shared" si="89"/>
        <v>15.616064638354734</v>
      </c>
      <c r="J324" s="17">
        <f t="shared" si="90"/>
        <v>6.3130152841198361</v>
      </c>
      <c r="K324" s="16">
        <f t="shared" si="91"/>
        <v>0</v>
      </c>
      <c r="L324" s="16">
        <f t="shared" si="92"/>
        <v>1.7917852500000284</v>
      </c>
      <c r="M324" s="16">
        <f t="shared" si="93"/>
        <v>4.5550792312499997</v>
      </c>
      <c r="N324" s="15"/>
      <c r="O324" s="15"/>
    </row>
    <row r="325" spans="1:15" x14ac:dyDescent="0.15">
      <c r="A325">
        <f t="shared" si="83"/>
        <v>136</v>
      </c>
      <c r="B325">
        <f t="shared" si="84"/>
        <v>2165</v>
      </c>
      <c r="C325" s="21">
        <f t="shared" si="94"/>
        <v>15.249163245972506</v>
      </c>
      <c r="D325" s="17">
        <f t="shared" si="88"/>
        <v>16.370078170509693</v>
      </c>
      <c r="E325" s="16">
        <f t="shared" si="85"/>
        <v>0</v>
      </c>
      <c r="F325" s="16">
        <f t="shared" si="86"/>
        <v>4.6462210666667429</v>
      </c>
      <c r="G325" s="16">
        <f t="shared" si="87"/>
        <v>0</v>
      </c>
      <c r="I325" s="21">
        <f t="shared" si="89"/>
        <v>15.224996675363535</v>
      </c>
      <c r="J325" s="17">
        <f t="shared" si="90"/>
        <v>6.1387793139411349</v>
      </c>
      <c r="K325" s="16">
        <f t="shared" si="91"/>
        <v>0</v>
      </c>
      <c r="L325" s="16">
        <f t="shared" si="92"/>
        <v>1.7423329000000285</v>
      </c>
      <c r="M325" s="16">
        <f t="shared" si="93"/>
        <v>4.4380739491666654</v>
      </c>
      <c r="N325" s="15"/>
      <c r="O325" s="15"/>
    </row>
    <row r="326" spans="1:15" x14ac:dyDescent="0.15">
      <c r="A326">
        <f t="shared" si="83"/>
        <v>137</v>
      </c>
      <c r="B326">
        <f t="shared" si="84"/>
        <v>2166</v>
      </c>
      <c r="C326" s="21">
        <f t="shared" si="94"/>
        <v>14.857351370135762</v>
      </c>
      <c r="D326" s="17">
        <f t="shared" si="88"/>
        <v>15.90544891669982</v>
      </c>
      <c r="E326" s="16">
        <f t="shared" si="85"/>
        <v>0</v>
      </c>
      <c r="F326" s="16">
        <f t="shared" si="86"/>
        <v>4.5143481333334092</v>
      </c>
      <c r="G326" s="16">
        <f t="shared" si="87"/>
        <v>0</v>
      </c>
      <c r="I326" s="21">
        <f t="shared" si="89"/>
        <v>14.833926046521597</v>
      </c>
      <c r="J326" s="17">
        <f t="shared" si="90"/>
        <v>5.9645433437624309</v>
      </c>
      <c r="K326" s="16">
        <f t="shared" si="91"/>
        <v>0</v>
      </c>
      <c r="L326" s="16">
        <f t="shared" si="92"/>
        <v>1.6928805500000284</v>
      </c>
      <c r="M326" s="16">
        <f t="shared" si="93"/>
        <v>4.321068667083332</v>
      </c>
      <c r="N326" s="15"/>
      <c r="O326" s="15"/>
    </row>
    <row r="327" spans="1:15" x14ac:dyDescent="0.15">
      <c r="A327">
        <f t="shared" si="83"/>
        <v>138</v>
      </c>
      <c r="B327">
        <f t="shared" si="84"/>
        <v>2167</v>
      </c>
      <c r="C327" s="21">
        <f t="shared" si="94"/>
        <v>14.465540332471484</v>
      </c>
      <c r="D327" s="17">
        <f t="shared" si="88"/>
        <v>15.440819662889943</v>
      </c>
      <c r="E327" s="16">
        <f t="shared" si="85"/>
        <v>0</v>
      </c>
      <c r="F327" s="16">
        <f t="shared" si="86"/>
        <v>4.3824752000000755</v>
      </c>
      <c r="G327" s="16">
        <f t="shared" si="87"/>
        <v>0</v>
      </c>
      <c r="I327" s="21">
        <f t="shared" si="89"/>
        <v>14.442852770630509</v>
      </c>
      <c r="J327" s="17">
        <f t="shared" si="90"/>
        <v>5.7903073735837296</v>
      </c>
      <c r="K327" s="16">
        <f t="shared" si="91"/>
        <v>0</v>
      </c>
      <c r="L327" s="16">
        <f t="shared" si="92"/>
        <v>1.6434282000000284</v>
      </c>
      <c r="M327" s="16">
        <f t="shared" si="93"/>
        <v>4.2040633849999987</v>
      </c>
      <c r="N327" s="15"/>
      <c r="O327" s="15"/>
    </row>
    <row r="328" spans="1:15" x14ac:dyDescent="0.15">
      <c r="A328">
        <f t="shared" si="83"/>
        <v>139</v>
      </c>
      <c r="B328">
        <f t="shared" si="84"/>
        <v>2168</v>
      </c>
      <c r="C328" s="21">
        <f t="shared" si="94"/>
        <v>14.073730127082117</v>
      </c>
      <c r="D328" s="17">
        <f t="shared" si="88"/>
        <v>14.976190409080068</v>
      </c>
      <c r="E328" s="16">
        <f t="shared" si="85"/>
        <v>0</v>
      </c>
      <c r="F328" s="16">
        <f t="shared" si="86"/>
        <v>4.2506022666667418</v>
      </c>
      <c r="G328" s="16">
        <f t="shared" si="87"/>
        <v>0</v>
      </c>
      <c r="I328" s="21">
        <f t="shared" si="89"/>
        <v>14.051776866315469</v>
      </c>
      <c r="J328" s="17">
        <f t="shared" si="90"/>
        <v>5.6160714034050274</v>
      </c>
      <c r="K328" s="16">
        <f t="shared" si="91"/>
        <v>0</v>
      </c>
      <c r="L328" s="16">
        <f t="shared" si="92"/>
        <v>1.5939758500000285</v>
      </c>
      <c r="M328" s="16">
        <f t="shared" si="93"/>
        <v>4.0870581029166653</v>
      </c>
      <c r="N328" s="15"/>
      <c r="O328" s="15"/>
    </row>
    <row r="329" spans="1:15" x14ac:dyDescent="0.15">
      <c r="A329">
        <f t="shared" si="83"/>
        <v>140</v>
      </c>
      <c r="B329">
        <f t="shared" si="84"/>
        <v>2169</v>
      </c>
      <c r="C329" s="21">
        <f t="shared" si="94"/>
        <v>13.681920748125297</v>
      </c>
      <c r="D329" s="17">
        <f t="shared" si="88"/>
        <v>14.511561155270201</v>
      </c>
      <c r="E329" s="16">
        <f t="shared" si="85"/>
        <v>0</v>
      </c>
      <c r="F329" s="16">
        <f t="shared" si="86"/>
        <v>4.118729333333409</v>
      </c>
      <c r="G329" s="16">
        <f t="shared" si="87"/>
        <v>0</v>
      </c>
      <c r="I329" s="21">
        <f t="shared" si="89"/>
        <v>13.660698352027348</v>
      </c>
      <c r="J329" s="17">
        <f t="shared" si="90"/>
        <v>5.4418354332263243</v>
      </c>
      <c r="K329" s="16">
        <f t="shared" si="91"/>
        <v>0</v>
      </c>
      <c r="L329" s="16">
        <f t="shared" si="92"/>
        <v>1.5445235000000284</v>
      </c>
      <c r="M329" s="16">
        <f t="shared" si="93"/>
        <v>3.9700528208333319</v>
      </c>
      <c r="N329" s="15"/>
      <c r="O329" s="15"/>
    </row>
    <row r="330" spans="1:15" x14ac:dyDescent="0.15">
      <c r="A330">
        <f t="shared" si="83"/>
        <v>141</v>
      </c>
      <c r="B330">
        <f t="shared" si="84"/>
        <v>2170</v>
      </c>
      <c r="C330" s="21">
        <f t="shared" si="94"/>
        <v>13.29011218981322</v>
      </c>
      <c r="D330" s="17">
        <f t="shared" si="88"/>
        <v>14.046931901460328</v>
      </c>
      <c r="E330" s="16">
        <f t="shared" si="85"/>
        <v>0</v>
      </c>
      <c r="F330" s="16">
        <f t="shared" si="86"/>
        <v>3.9868564000000757</v>
      </c>
      <c r="G330" s="16">
        <f t="shared" si="87"/>
        <v>0</v>
      </c>
      <c r="I330" s="21">
        <f t="shared" si="89"/>
        <v>13.269617246044731</v>
      </c>
      <c r="J330" s="17">
        <f t="shared" si="90"/>
        <v>5.2675994630476213</v>
      </c>
      <c r="K330" s="16">
        <f t="shared" si="91"/>
        <v>0</v>
      </c>
      <c r="L330" s="16">
        <f t="shared" si="92"/>
        <v>1.4950711500000282</v>
      </c>
      <c r="M330" s="16">
        <f t="shared" si="93"/>
        <v>3.8530475387499985</v>
      </c>
      <c r="N330" s="15"/>
      <c r="O330" s="15"/>
    </row>
    <row r="331" spans="1:15" x14ac:dyDescent="0.15">
      <c r="A331">
        <f t="shared" si="83"/>
        <v>142</v>
      </c>
      <c r="B331">
        <f t="shared" si="84"/>
        <v>2171</v>
      </c>
      <c r="C331" s="21">
        <f t="shared" si="94"/>
        <v>12.898304446412</v>
      </c>
      <c r="D331" s="17">
        <f t="shared" si="88"/>
        <v>13.582302647650454</v>
      </c>
      <c r="E331" s="16">
        <f t="shared" si="85"/>
        <v>0</v>
      </c>
      <c r="F331" s="16">
        <f t="shared" si="86"/>
        <v>3.8549834666667424</v>
      </c>
      <c r="G331" s="16">
        <f t="shared" si="87"/>
        <v>0</v>
      </c>
      <c r="I331" s="21">
        <f t="shared" si="89"/>
        <v>12.878533566475916</v>
      </c>
      <c r="J331" s="17">
        <f t="shared" si="90"/>
        <v>5.0933634928689209</v>
      </c>
      <c r="K331" s="16">
        <f t="shared" si="91"/>
        <v>0</v>
      </c>
      <c r="L331" s="16">
        <f t="shared" si="92"/>
        <v>1.4456188000000285</v>
      </c>
      <c r="M331" s="16">
        <f t="shared" si="93"/>
        <v>3.7360422566666647</v>
      </c>
      <c r="N331" s="15"/>
      <c r="O331" s="15"/>
    </row>
    <row r="332" spans="1:15" x14ac:dyDescent="0.15">
      <c r="A332">
        <f t="shared" si="83"/>
        <v>143</v>
      </c>
      <c r="B332">
        <f t="shared" si="84"/>
        <v>2172</v>
      </c>
      <c r="C332" s="21">
        <f t="shared" si="94"/>
        <v>12.506497512241046</v>
      </c>
      <c r="D332" s="17">
        <f t="shared" si="88"/>
        <v>13.117673393840581</v>
      </c>
      <c r="E332" s="16">
        <f t="shared" si="85"/>
        <v>0</v>
      </c>
      <c r="F332" s="16">
        <f t="shared" si="86"/>
        <v>3.7231105333334091</v>
      </c>
      <c r="G332" s="16">
        <f t="shared" si="87"/>
        <v>0</v>
      </c>
      <c r="I332" s="21">
        <f t="shared" si="89"/>
        <v>12.487447331260896</v>
      </c>
      <c r="J332" s="17">
        <f t="shared" si="90"/>
        <v>4.9191275226902178</v>
      </c>
      <c r="K332" s="16">
        <f t="shared" si="91"/>
        <v>0</v>
      </c>
      <c r="L332" s="16">
        <f t="shared" si="92"/>
        <v>1.3961664500000284</v>
      </c>
      <c r="M332" s="16">
        <f t="shared" si="93"/>
        <v>3.6190369745833308</v>
      </c>
      <c r="N332" s="15"/>
      <c r="O332" s="15"/>
    </row>
    <row r="333" spans="1:15" x14ac:dyDescent="0.15">
      <c r="A333">
        <f t="shared" si="83"/>
        <v>144</v>
      </c>
      <c r="B333">
        <f t="shared" si="84"/>
        <v>2173</v>
      </c>
      <c r="C333" s="21">
        <f t="shared" si="94"/>
        <v>12.11469138167244</v>
      </c>
      <c r="D333" s="17">
        <f t="shared" si="88"/>
        <v>12.653044140030708</v>
      </c>
      <c r="E333" s="16">
        <f t="shared" si="85"/>
        <v>0</v>
      </c>
      <c r="F333" s="16">
        <f t="shared" si="86"/>
        <v>3.5912376000000759</v>
      </c>
      <c r="G333" s="16">
        <f t="shared" si="87"/>
        <v>0</v>
      </c>
      <c r="I333" s="21">
        <f t="shared" si="89"/>
        <v>12.096358558173307</v>
      </c>
      <c r="J333" s="17">
        <f t="shared" si="90"/>
        <v>4.7448915525115147</v>
      </c>
      <c r="K333" s="16">
        <f t="shared" si="91"/>
        <v>0</v>
      </c>
      <c r="L333" s="16">
        <f t="shared" si="92"/>
        <v>1.3467141000000284</v>
      </c>
      <c r="M333" s="16">
        <f t="shared" si="93"/>
        <v>3.5020316924999975</v>
      </c>
      <c r="N333" s="15"/>
      <c r="O333" s="15"/>
    </row>
    <row r="334" spans="1:15" x14ac:dyDescent="0.15">
      <c r="A334">
        <f t="shared" si="83"/>
        <v>145</v>
      </c>
      <c r="B334">
        <f t="shared" si="84"/>
        <v>2174</v>
      </c>
      <c r="C334" s="21">
        <f t="shared" si="94"/>
        <v>11.722886049130327</v>
      </c>
      <c r="D334" s="17">
        <f t="shared" si="88"/>
        <v>12.188414886220837</v>
      </c>
      <c r="E334" s="16">
        <f t="shared" si="85"/>
        <v>0</v>
      </c>
      <c r="F334" s="16">
        <f t="shared" si="86"/>
        <v>3.4593646666667426</v>
      </c>
      <c r="G334" s="16">
        <f t="shared" si="87"/>
        <v>0</v>
      </c>
      <c r="I334" s="21">
        <f t="shared" si="89"/>
        <v>11.70526726482235</v>
      </c>
      <c r="J334" s="17">
        <f t="shared" si="90"/>
        <v>4.5706555823328125</v>
      </c>
      <c r="K334" s="16">
        <f t="shared" si="91"/>
        <v>0</v>
      </c>
      <c r="L334" s="16">
        <f t="shared" si="92"/>
        <v>1.2972617500000283</v>
      </c>
      <c r="M334" s="16">
        <f t="shared" si="93"/>
        <v>3.3850264104166636</v>
      </c>
      <c r="N334" s="15"/>
      <c r="O334" s="15"/>
    </row>
    <row r="335" spans="1:15" x14ac:dyDescent="0.15">
      <c r="A335">
        <f t="shared" si="83"/>
        <v>146</v>
      </c>
      <c r="B335">
        <f t="shared" si="84"/>
        <v>2175</v>
      </c>
      <c r="C335" s="21">
        <f t="shared" si="94"/>
        <v>11.331081509090332</v>
      </c>
      <c r="D335" s="17">
        <f t="shared" si="88"/>
        <v>11.72378563241096</v>
      </c>
      <c r="E335" s="16">
        <f t="shared" si="85"/>
        <v>0</v>
      </c>
      <c r="F335" s="16">
        <f t="shared" si="86"/>
        <v>3.3274917333334089</v>
      </c>
      <c r="G335" s="16">
        <f t="shared" si="87"/>
        <v>0</v>
      </c>
      <c r="I335" s="21">
        <f t="shared" si="89"/>
        <v>11.314173468654706</v>
      </c>
      <c r="J335" s="17">
        <f t="shared" si="90"/>
        <v>4.3964196121541104</v>
      </c>
      <c r="K335" s="16">
        <f t="shared" si="91"/>
        <v>0</v>
      </c>
      <c r="L335" s="16">
        <f t="shared" si="92"/>
        <v>1.2478094000000284</v>
      </c>
      <c r="M335" s="16">
        <f t="shared" si="93"/>
        <v>3.2680211283333302</v>
      </c>
      <c r="N335" s="15"/>
      <c r="O335" s="15"/>
    </row>
    <row r="336" spans="1:15" x14ac:dyDescent="0.15">
      <c r="A336">
        <f t="shared" si="83"/>
        <v>147</v>
      </c>
      <c r="B336">
        <f t="shared" si="84"/>
        <v>2176</v>
      </c>
      <c r="C336" s="21">
        <f t="shared" si="94"/>
        <v>10.939277756078935</v>
      </c>
      <c r="D336" s="17">
        <f t="shared" si="88"/>
        <v>11.259156378601089</v>
      </c>
      <c r="E336" s="16">
        <f t="shared" si="85"/>
        <v>0</v>
      </c>
      <c r="F336" s="16">
        <f t="shared" si="86"/>
        <v>3.1956188000000756</v>
      </c>
      <c r="G336" s="16">
        <f t="shared" si="87"/>
        <v>0</v>
      </c>
      <c r="I336" s="21">
        <f t="shared" si="89"/>
        <v>10.923077186956375</v>
      </c>
      <c r="J336" s="17">
        <f t="shared" si="90"/>
        <v>4.2221836419754082</v>
      </c>
      <c r="K336" s="16">
        <f t="shared" si="91"/>
        <v>0</v>
      </c>
      <c r="L336" s="16">
        <f t="shared" si="92"/>
        <v>1.1983570500000285</v>
      </c>
      <c r="M336" s="16">
        <f t="shared" si="93"/>
        <v>3.1510158462499969</v>
      </c>
      <c r="N336" s="15"/>
      <c r="O336" s="15"/>
    </row>
    <row r="337" spans="1:15" x14ac:dyDescent="0.15">
      <c r="A337">
        <f t="shared" si="83"/>
        <v>148</v>
      </c>
      <c r="B337">
        <f t="shared" si="84"/>
        <v>2177</v>
      </c>
      <c r="C337" s="21">
        <f t="shared" si="94"/>
        <v>10.547474784672914</v>
      </c>
      <c r="D337" s="17">
        <f t="shared" si="88"/>
        <v>10.794527124791218</v>
      </c>
      <c r="E337" s="16">
        <f t="shared" si="85"/>
        <v>0</v>
      </c>
      <c r="F337" s="16">
        <f t="shared" si="86"/>
        <v>3.0637458666667428</v>
      </c>
      <c r="G337" s="16">
        <f t="shared" si="87"/>
        <v>0</v>
      </c>
      <c r="I337" s="21">
        <f t="shared" si="89"/>
        <v>10.531978436854549</v>
      </c>
      <c r="J337" s="17">
        <f t="shared" si="90"/>
        <v>4.047947671796706</v>
      </c>
      <c r="K337" s="16">
        <f t="shared" si="91"/>
        <v>0</v>
      </c>
      <c r="L337" s="16">
        <f t="shared" si="92"/>
        <v>1.1489047000000283</v>
      </c>
      <c r="M337" s="16">
        <f t="shared" si="93"/>
        <v>3.034010564166663</v>
      </c>
      <c r="N337" s="15"/>
      <c r="O337" s="15"/>
    </row>
    <row r="338" spans="1:15" x14ac:dyDescent="0.15">
      <c r="A338">
        <f t="shared" si="83"/>
        <v>149</v>
      </c>
      <c r="B338">
        <f t="shared" si="84"/>
        <v>2178</v>
      </c>
      <c r="C338" s="21">
        <f>(D338*$G153+$D152*$F152)/$F153</f>
        <v>10.15567258949876</v>
      </c>
      <c r="D338" s="17">
        <f t="shared" si="88"/>
        <v>10.329897870981343</v>
      </c>
      <c r="E338" s="16">
        <f t="shared" si="85"/>
        <v>0</v>
      </c>
      <c r="F338" s="16">
        <f t="shared" si="86"/>
        <v>2.931872933333409</v>
      </c>
      <c r="G338" s="16">
        <f t="shared" si="87"/>
        <v>0</v>
      </c>
      <c r="I338" s="21">
        <f t="shared" si="89"/>
        <v>10.140877235319422</v>
      </c>
      <c r="J338" s="17">
        <f t="shared" si="90"/>
        <v>3.8737117016180043</v>
      </c>
      <c r="K338" s="16">
        <f t="shared" si="91"/>
        <v>0</v>
      </c>
      <c r="L338" s="16">
        <f t="shared" si="92"/>
        <v>1.0994523500000284</v>
      </c>
      <c r="M338" s="16">
        <f t="shared" si="93"/>
        <v>2.9170052820833297</v>
      </c>
      <c r="N338" s="15"/>
      <c r="O338" s="15"/>
    </row>
    <row r="339" spans="1:15" x14ac:dyDescent="0.15">
      <c r="A339">
        <f t="shared" si="83"/>
        <v>150</v>
      </c>
      <c r="B339">
        <f t="shared" si="84"/>
        <v>2179</v>
      </c>
      <c r="C339" s="21">
        <f t="shared" si="94"/>
        <v>9.7638711652321053</v>
      </c>
      <c r="D339" s="17">
        <f t="shared" si="88"/>
        <v>9.8652686171712052</v>
      </c>
      <c r="E339" s="16">
        <f t="shared" si="85"/>
        <v>0</v>
      </c>
      <c r="F339" s="16">
        <f t="shared" si="86"/>
        <v>2.8</v>
      </c>
      <c r="G339" s="16">
        <f t="shared" si="87"/>
        <v>0</v>
      </c>
      <c r="I339" s="21">
        <f t="shared" si="89"/>
        <v>9.7497735991659749</v>
      </c>
      <c r="J339" s="17">
        <f t="shared" si="90"/>
        <v>3.6994757314392017</v>
      </c>
      <c r="K339" s="16">
        <f t="shared" si="91"/>
        <v>0</v>
      </c>
      <c r="L339" s="16">
        <f t="shared" si="92"/>
        <v>1.05</v>
      </c>
      <c r="M339" s="16">
        <f t="shared" si="93"/>
        <v>2.8</v>
      </c>
      <c r="N339" s="15"/>
      <c r="O339" s="15"/>
    </row>
    <row r="340" spans="1:15" x14ac:dyDescent="0.15">
      <c r="H340" s="15"/>
      <c r="J340" s="15"/>
      <c r="O340" s="15"/>
    </row>
    <row r="341" spans="1:15" x14ac:dyDescent="0.15">
      <c r="J341" s="15"/>
    </row>
    <row r="342" spans="1:15" x14ac:dyDescent="0.15">
      <c r="H342" s="15"/>
    </row>
  </sheetData>
  <phoneticPr fontId="8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80"/>
  <sheetViews>
    <sheetView topLeftCell="A38" workbookViewId="0">
      <selection activeCell="C3" sqref="C3"/>
    </sheetView>
  </sheetViews>
  <sheetFormatPr baseColWidth="10" defaultRowHeight="13" x14ac:dyDescent="0.15"/>
  <cols>
    <col min="1" max="1" width="20.5" style="32" customWidth="1"/>
    <col min="2" max="2" width="31.33203125" style="32" customWidth="1"/>
    <col min="3" max="3" width="11" customWidth="1"/>
    <col min="4" max="5" width="10.6640625"/>
    <col min="6" max="6" width="6.83203125" customWidth="1"/>
    <col min="7" max="7" width="40.5" style="32" customWidth="1"/>
    <col min="8" max="8" width="9.5" customWidth="1"/>
    <col min="9" max="9" width="27.1640625" customWidth="1"/>
    <col min="10" max="10" width="9" customWidth="1"/>
    <col min="11" max="11" width="9.1640625" customWidth="1"/>
    <col min="12" max="12" width="8.5" customWidth="1"/>
    <col min="16" max="16" width="11.5" customWidth="1"/>
    <col min="17" max="17" width="39.33203125" customWidth="1"/>
  </cols>
  <sheetData>
    <row r="1" spans="1:40" ht="15" x14ac:dyDescent="0.2">
      <c r="C1" s="61" t="s">
        <v>793</v>
      </c>
      <c r="D1" s="61" t="s">
        <v>980</v>
      </c>
      <c r="E1" s="61" t="s">
        <v>975</v>
      </c>
      <c r="G1" s="32" t="s">
        <v>623</v>
      </c>
      <c r="H1" s="25"/>
      <c r="I1" s="25"/>
      <c r="J1" s="24"/>
      <c r="K1" s="24"/>
      <c r="L1" s="24"/>
      <c r="M1" s="24"/>
      <c r="N1" s="24"/>
      <c r="O1" s="24"/>
      <c r="P1" s="24"/>
      <c r="Q1" s="25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</row>
    <row r="2" spans="1:40" ht="56" customHeight="1" x14ac:dyDescent="0.2">
      <c r="A2" s="187" t="s">
        <v>624</v>
      </c>
      <c r="B2" s="26" t="s">
        <v>625</v>
      </c>
      <c r="C2" s="33">
        <f>E2*5/12</f>
        <v>2982.0833333333335</v>
      </c>
      <c r="D2" s="33">
        <f>E2-C2</f>
        <v>4174.9166666666661</v>
      </c>
      <c r="E2" s="34">
        <v>7157</v>
      </c>
      <c r="G2" s="32" t="s">
        <v>931</v>
      </c>
      <c r="H2" s="25"/>
      <c r="I2" s="25"/>
      <c r="J2" s="24"/>
      <c r="K2" s="24"/>
      <c r="L2" s="24"/>
      <c r="M2" s="24"/>
      <c r="N2" s="24"/>
      <c r="O2" s="24"/>
      <c r="P2" s="24"/>
      <c r="Q2" s="25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</row>
    <row r="3" spans="1:40" ht="26" customHeight="1" x14ac:dyDescent="0.2">
      <c r="A3" s="187"/>
      <c r="B3" s="26" t="s">
        <v>626</v>
      </c>
      <c r="C3" s="35">
        <v>0.27</v>
      </c>
      <c r="D3" s="36">
        <f>C3</f>
        <v>0.27</v>
      </c>
      <c r="E3" s="36">
        <f>D3</f>
        <v>0.27</v>
      </c>
      <c r="H3" s="25"/>
      <c r="I3" s="25"/>
      <c r="J3" s="24"/>
      <c r="K3" s="24"/>
      <c r="L3" s="24"/>
      <c r="M3" s="24"/>
      <c r="N3" s="24"/>
      <c r="O3" s="24"/>
      <c r="P3" s="24"/>
      <c r="Q3" s="25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15" x14ac:dyDescent="0.2">
      <c r="A4" s="187"/>
      <c r="B4" s="26" t="s">
        <v>627</v>
      </c>
      <c r="C4" s="35">
        <v>0.02</v>
      </c>
      <c r="D4" s="36">
        <f>C4</f>
        <v>0.02</v>
      </c>
      <c r="E4" s="36">
        <f>D4</f>
        <v>0.02</v>
      </c>
      <c r="H4" s="25"/>
      <c r="I4" s="25"/>
      <c r="J4" s="24"/>
      <c r="K4" s="24"/>
      <c r="L4" s="24"/>
      <c r="M4" s="24"/>
      <c r="N4" s="24"/>
      <c r="O4" s="24"/>
      <c r="P4" s="24"/>
      <c r="Q4" s="25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19" customHeight="1" x14ac:dyDescent="0.2">
      <c r="A5" s="187"/>
      <c r="B5" s="26" t="s">
        <v>934</v>
      </c>
      <c r="C5" s="33">
        <f>C2*C3*C4*1000</f>
        <v>16103.250000000004</v>
      </c>
      <c r="D5" s="33">
        <f>D2*D3*D4*1000</f>
        <v>22544.55</v>
      </c>
      <c r="E5" s="33">
        <f>E2*E3*E4*1000</f>
        <v>38647.800000000003</v>
      </c>
      <c r="H5" s="25"/>
      <c r="I5" s="25"/>
      <c r="J5" s="24"/>
      <c r="K5" s="24"/>
      <c r="L5" s="24"/>
      <c r="M5" s="24"/>
      <c r="N5" s="24"/>
      <c r="O5" s="24"/>
      <c r="P5" s="24"/>
      <c r="Q5" s="25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18" customHeight="1" x14ac:dyDescent="0.2">
      <c r="A6" s="187"/>
      <c r="B6" s="26" t="s">
        <v>932</v>
      </c>
      <c r="C6" s="37">
        <f>E6*5/12</f>
        <v>6.458333333333333</v>
      </c>
      <c r="D6" s="37">
        <f>E6-C6</f>
        <v>9.0416666666666679</v>
      </c>
      <c r="E6" s="37">
        <v>15.5</v>
      </c>
      <c r="H6" s="25"/>
      <c r="I6" s="25"/>
      <c r="J6" s="24"/>
      <c r="K6" s="24"/>
      <c r="L6" s="24"/>
      <c r="M6" s="24"/>
      <c r="N6" s="24"/>
      <c r="O6" s="24"/>
      <c r="P6" s="24"/>
      <c r="Q6" s="25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17" customHeight="1" x14ac:dyDescent="0.2">
      <c r="A7" s="187"/>
      <c r="B7" s="26" t="s">
        <v>933</v>
      </c>
      <c r="C7" s="37">
        <f>E7*5/12</f>
        <v>4.583333333333333</v>
      </c>
      <c r="D7" s="37">
        <f>E7-C7</f>
        <v>6.416666666666667</v>
      </c>
      <c r="E7" s="37">
        <v>11</v>
      </c>
      <c r="H7" s="25"/>
      <c r="I7" s="25"/>
      <c r="J7" s="24"/>
      <c r="K7" s="24"/>
      <c r="L7" s="24"/>
      <c r="M7" s="24"/>
      <c r="N7" s="24"/>
      <c r="O7" s="24"/>
      <c r="P7" s="24"/>
      <c r="Q7" s="25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15" x14ac:dyDescent="0.2">
      <c r="H8" s="25"/>
      <c r="I8" s="25"/>
      <c r="J8" s="24"/>
      <c r="K8" s="24"/>
      <c r="L8" s="24"/>
      <c r="M8" s="24"/>
      <c r="N8" s="24"/>
      <c r="O8" s="24"/>
      <c r="P8" s="24"/>
      <c r="Q8" s="25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75" customHeight="1" x14ac:dyDescent="0.2">
      <c r="A9" s="188" t="s">
        <v>628</v>
      </c>
      <c r="B9" s="26" t="s">
        <v>629</v>
      </c>
      <c r="C9" s="35">
        <v>0</v>
      </c>
      <c r="D9" s="38">
        <f>0.3333</f>
        <v>0.33329999999999999</v>
      </c>
      <c r="E9" s="38">
        <f>(C9+D9)/2</f>
        <v>0.16664999999999999</v>
      </c>
      <c r="G9" s="32" t="s">
        <v>974</v>
      </c>
      <c r="H9" s="25"/>
      <c r="I9" s="25"/>
      <c r="J9" s="24"/>
      <c r="K9" s="24"/>
      <c r="L9" s="24"/>
      <c r="M9" s="24"/>
      <c r="N9" s="24"/>
      <c r="O9" s="24"/>
      <c r="P9" s="24"/>
      <c r="Q9" s="25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" customHeight="1" x14ac:dyDescent="0.2">
      <c r="A10" s="188"/>
      <c r="B10" s="26" t="s">
        <v>630</v>
      </c>
      <c r="C10" s="35">
        <f>C7/(C6+C7)/100%</f>
        <v>0.41509433962264153</v>
      </c>
      <c r="D10" s="35">
        <f>D7/(D6+D7)/100%*0.6667</f>
        <v>0.27674339622641503</v>
      </c>
      <c r="E10" s="38">
        <f>(C10+D10)/2</f>
        <v>0.34591886792452831</v>
      </c>
      <c r="F10" t="s">
        <v>631</v>
      </c>
      <c r="H10" s="25"/>
      <c r="I10" s="25"/>
      <c r="J10" s="24"/>
      <c r="K10" s="24"/>
      <c r="L10" s="24"/>
      <c r="M10" s="24"/>
      <c r="N10" s="24"/>
      <c r="O10" s="24"/>
      <c r="P10" s="24"/>
      <c r="Q10" s="25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17" customHeight="1" x14ac:dyDescent="0.2">
      <c r="A11" s="188"/>
      <c r="B11" s="26" t="s">
        <v>632</v>
      </c>
      <c r="C11" s="35">
        <f>C6/(C6+C7)/100%</f>
        <v>0.58490566037735847</v>
      </c>
      <c r="D11" s="35">
        <f>D6/(D6+D7)/100%*0.6667</f>
        <v>0.38995660377358488</v>
      </c>
      <c r="E11" s="38">
        <f>(C11+D11)/2</f>
        <v>0.48743113207547167</v>
      </c>
      <c r="F11" s="39">
        <f>SUM(D9:D11)</f>
        <v>0.99999999999999989</v>
      </c>
      <c r="H11" s="25"/>
      <c r="I11" s="25"/>
      <c r="J11" s="24"/>
      <c r="K11" s="24"/>
      <c r="L11" s="24"/>
      <c r="M11" s="24"/>
      <c r="N11" s="24"/>
      <c r="O11" s="24"/>
      <c r="P11" s="24"/>
      <c r="Q11" s="25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15" x14ac:dyDescent="0.2">
      <c r="D12" s="39"/>
      <c r="E12" s="39"/>
      <c r="H12" s="25"/>
      <c r="I12" s="25"/>
      <c r="J12" s="24"/>
      <c r="K12" s="24"/>
      <c r="L12" s="24"/>
      <c r="M12" s="24"/>
      <c r="N12" s="24"/>
      <c r="O12" s="24"/>
      <c r="P12" s="24"/>
      <c r="Q12" s="25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4" customHeight="1" x14ac:dyDescent="0.2">
      <c r="A13" s="187" t="s">
        <v>791</v>
      </c>
      <c r="B13" s="26" t="s">
        <v>801</v>
      </c>
      <c r="C13" s="35">
        <v>0.09</v>
      </c>
      <c r="D13" s="40">
        <f>C13</f>
        <v>0.09</v>
      </c>
      <c r="E13" s="40"/>
      <c r="F13" s="41" t="s">
        <v>631</v>
      </c>
      <c r="H13" s="25"/>
      <c r="I13" s="25"/>
      <c r="J13" s="24"/>
      <c r="K13" s="24"/>
      <c r="L13" s="24"/>
      <c r="M13" s="24"/>
      <c r="N13" s="24"/>
      <c r="O13" s="24"/>
      <c r="P13" s="24"/>
      <c r="Q13" s="25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15" customHeight="1" x14ac:dyDescent="0.2">
      <c r="A14" s="187"/>
      <c r="B14" s="26" t="s">
        <v>802</v>
      </c>
      <c r="C14" s="35">
        <v>0.16</v>
      </c>
      <c r="D14" s="40">
        <f>C14</f>
        <v>0.16</v>
      </c>
      <c r="E14" s="40"/>
      <c r="F14" s="65">
        <f>SUM(C13:C14)+C17+C18</f>
        <v>1</v>
      </c>
      <c r="H14" s="25"/>
      <c r="I14" s="25"/>
      <c r="J14" s="24"/>
      <c r="K14" s="24"/>
      <c r="L14" s="24"/>
      <c r="M14" s="24"/>
      <c r="N14" s="24"/>
      <c r="O14" s="24"/>
      <c r="P14" s="24"/>
      <c r="Q14" s="25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59" customHeight="1" x14ac:dyDescent="0.2">
      <c r="A15" s="187"/>
      <c r="B15" s="67" t="s">
        <v>1109</v>
      </c>
      <c r="C15" s="35">
        <v>0</v>
      </c>
      <c r="D15" s="42">
        <v>0.05</v>
      </c>
      <c r="E15" s="42"/>
      <c r="F15" s="41"/>
      <c r="G15" s="32" t="s">
        <v>1110</v>
      </c>
      <c r="H15" s="25"/>
      <c r="I15" s="25"/>
      <c r="J15" s="24"/>
      <c r="K15" s="24"/>
      <c r="L15" s="24"/>
      <c r="M15" s="24"/>
      <c r="N15" s="24"/>
      <c r="O15" s="24"/>
      <c r="P15" s="24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60" customHeight="1" x14ac:dyDescent="0.2">
      <c r="A16" s="187"/>
      <c r="B16" s="67" t="s">
        <v>1215</v>
      </c>
      <c r="C16" s="43">
        <f>C15*C14</f>
        <v>0</v>
      </c>
      <c r="D16" s="44">
        <f>D15*D14</f>
        <v>8.0000000000000002E-3</v>
      </c>
      <c r="E16" s="44"/>
      <c r="F16" s="41"/>
      <c r="H16" s="25"/>
      <c r="I16" s="25"/>
      <c r="J16" s="24"/>
      <c r="K16" s="24"/>
      <c r="L16" s="24"/>
      <c r="M16" s="24"/>
      <c r="N16" s="24"/>
      <c r="O16" s="24"/>
      <c r="P16" s="24"/>
      <c r="Q16" s="25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4" customHeight="1" x14ac:dyDescent="0.2">
      <c r="A17" s="187"/>
      <c r="B17" s="26" t="s">
        <v>790</v>
      </c>
      <c r="C17" s="43">
        <f>1-C13-C14-C18</f>
        <v>0.59</v>
      </c>
      <c r="D17" s="43">
        <f>1-D13-D14-D18</f>
        <v>0.59799999999999998</v>
      </c>
      <c r="E17" s="44"/>
      <c r="F17" s="41"/>
      <c r="H17" s="25"/>
      <c r="I17" s="25"/>
      <c r="J17" s="24"/>
      <c r="K17" s="24"/>
      <c r="L17" s="24"/>
      <c r="M17" s="24"/>
      <c r="N17" s="24"/>
      <c r="O17" s="24"/>
      <c r="P17" s="24"/>
      <c r="Q17" s="25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32" customHeight="1" x14ac:dyDescent="0.2">
      <c r="A18" s="187"/>
      <c r="B18" s="67" t="s">
        <v>863</v>
      </c>
      <c r="C18" s="35">
        <f>C14-C16</f>
        <v>0.16</v>
      </c>
      <c r="D18" s="42">
        <f>D14-D16</f>
        <v>0.152</v>
      </c>
      <c r="E18" s="44"/>
      <c r="F18" s="41"/>
      <c r="H18" s="25"/>
      <c r="I18" s="25"/>
      <c r="J18" s="24"/>
      <c r="K18" s="24"/>
      <c r="L18" s="24"/>
      <c r="M18" s="24"/>
      <c r="N18" s="24"/>
      <c r="O18" s="24"/>
      <c r="P18" s="24"/>
      <c r="Q18" s="25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33" customHeight="1" x14ac:dyDescent="0.2">
      <c r="A19" s="187"/>
      <c r="B19" s="67" t="s">
        <v>1112</v>
      </c>
      <c r="C19" s="69">
        <f>C16*C5*C11+C11*C17*C5</f>
        <v>5557.140424528302</v>
      </c>
      <c r="D19" s="69">
        <f>D16*D5*D11+D11*D17*D5</f>
        <v>5327.5860678718855</v>
      </c>
      <c r="E19" s="46"/>
      <c r="F19" s="41"/>
      <c r="G19" s="32" t="s">
        <v>869</v>
      </c>
      <c r="H19" s="25"/>
      <c r="I19" s="25"/>
      <c r="J19" s="24"/>
      <c r="K19" s="24"/>
      <c r="L19" s="24"/>
      <c r="M19" s="24"/>
      <c r="N19" s="24"/>
      <c r="O19" s="24"/>
      <c r="P19" s="24"/>
      <c r="Q19" s="25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0" customHeight="1" x14ac:dyDescent="0.2">
      <c r="A20" s="187"/>
      <c r="B20" s="68" t="s">
        <v>1113</v>
      </c>
      <c r="C20" s="63">
        <f>C19/2</f>
        <v>2778.570212264151</v>
      </c>
      <c r="D20" s="63">
        <f>D19/2</f>
        <v>2663.7930339359427</v>
      </c>
      <c r="E20" s="48"/>
      <c r="F20" s="41"/>
      <c r="H20" s="25"/>
      <c r="I20" s="25"/>
      <c r="J20" s="24"/>
      <c r="K20" s="24"/>
      <c r="L20" s="24"/>
      <c r="M20" s="24"/>
      <c r="N20" s="24"/>
      <c r="O20" s="24"/>
      <c r="P20" s="24"/>
      <c r="Q20" s="25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35" hidden="1" customHeight="1" x14ac:dyDescent="0.2">
      <c r="A21" s="187"/>
      <c r="D21" s="7"/>
      <c r="E21" s="42"/>
      <c r="F21" s="41"/>
      <c r="H21" s="25"/>
      <c r="I21" s="25"/>
      <c r="J21" s="24"/>
      <c r="K21" s="24"/>
      <c r="L21" s="24"/>
      <c r="M21" s="24"/>
      <c r="N21" s="24"/>
      <c r="O21" s="24"/>
      <c r="P21" s="24"/>
      <c r="Q21" s="25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15" x14ac:dyDescent="0.2">
      <c r="A22" s="66"/>
      <c r="C22" s="49"/>
      <c r="D22" s="7"/>
      <c r="H22" s="25"/>
      <c r="I22" s="25"/>
      <c r="J22" s="24"/>
      <c r="K22" s="24"/>
      <c r="L22" s="24"/>
      <c r="M22" s="24"/>
      <c r="N22" s="24"/>
      <c r="O22" s="24"/>
      <c r="P22" s="24"/>
      <c r="Q22" s="25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32" customHeight="1" x14ac:dyDescent="0.2">
      <c r="A23" s="187" t="s">
        <v>1114</v>
      </c>
      <c r="B23" s="67" t="s">
        <v>1115</v>
      </c>
      <c r="C23" s="33">
        <f>C13*C5</f>
        <v>1449.2925000000002</v>
      </c>
      <c r="D23" s="33">
        <f>D13*D5</f>
        <v>2029.0094999999999</v>
      </c>
      <c r="E23" s="34"/>
      <c r="H23" s="25"/>
      <c r="I23" s="25"/>
      <c r="J23" s="24"/>
      <c r="K23" s="24"/>
      <c r="L23" s="24"/>
      <c r="M23" s="24"/>
      <c r="N23" s="24"/>
      <c r="O23" s="24"/>
      <c r="P23" s="24"/>
      <c r="Q23" s="25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43" customHeight="1" x14ac:dyDescent="0.2">
      <c r="A24" s="187"/>
      <c r="B24" s="27" t="s">
        <v>1116</v>
      </c>
      <c r="C24" s="36">
        <v>0</v>
      </c>
      <c r="D24" s="36">
        <f>C24</f>
        <v>0</v>
      </c>
      <c r="E24" s="36"/>
      <c r="H24" s="25"/>
      <c r="I24" s="25"/>
      <c r="J24" s="24"/>
      <c r="K24" s="24"/>
      <c r="L24" s="24"/>
      <c r="M24" s="24"/>
      <c r="N24" s="24"/>
      <c r="O24" s="24"/>
      <c r="P24" s="24"/>
      <c r="Q24" s="25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89" customHeight="1" x14ac:dyDescent="0.2">
      <c r="A25" s="187"/>
      <c r="B25" s="27" t="s">
        <v>1117</v>
      </c>
      <c r="C25" s="35">
        <v>0</v>
      </c>
      <c r="D25" s="38">
        <v>0.2</v>
      </c>
      <c r="E25" s="38"/>
      <c r="G25" s="32" t="s">
        <v>705</v>
      </c>
      <c r="H25" s="25"/>
      <c r="I25" s="25"/>
      <c r="J25" s="24"/>
      <c r="K25" s="24"/>
      <c r="L25" s="24"/>
      <c r="M25" s="24"/>
      <c r="N25" s="24"/>
      <c r="O25" s="24"/>
      <c r="P25" s="24"/>
      <c r="Q25" s="25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54" customHeight="1" x14ac:dyDescent="0.2">
      <c r="A26" s="187"/>
      <c r="B26" s="27" t="s">
        <v>1118</v>
      </c>
      <c r="C26" s="35">
        <v>0</v>
      </c>
      <c r="D26" s="36">
        <v>0.1</v>
      </c>
      <c r="E26" s="36"/>
      <c r="G26" s="32" t="s">
        <v>705</v>
      </c>
      <c r="H26" s="25"/>
      <c r="I26" s="25"/>
      <c r="J26" s="24"/>
      <c r="K26" s="24"/>
      <c r="L26" s="24"/>
      <c r="M26" s="24"/>
      <c r="N26" s="24"/>
      <c r="O26" s="24"/>
      <c r="P26" s="24"/>
      <c r="Q26" s="25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43" customHeight="1" x14ac:dyDescent="0.2">
      <c r="A27" s="187"/>
      <c r="B27" s="67" t="s">
        <v>1111</v>
      </c>
      <c r="C27" s="34">
        <v>0</v>
      </c>
      <c r="D27" s="33">
        <f>(D23+C23)*(1-D24)*(1-D25)</f>
        <v>2782.6416000000004</v>
      </c>
      <c r="E27" s="34"/>
      <c r="H27" s="25"/>
      <c r="I27" s="25"/>
      <c r="J27" s="24"/>
      <c r="K27" s="24"/>
      <c r="L27" s="24"/>
      <c r="M27" s="24"/>
      <c r="N27" s="24"/>
      <c r="O27" s="24"/>
      <c r="P27" s="24"/>
      <c r="Q27" s="25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8" customHeight="1" x14ac:dyDescent="0.2">
      <c r="A28" s="187"/>
      <c r="B28" s="68" t="s">
        <v>1113</v>
      </c>
      <c r="C28" s="47">
        <f>C26*C27</f>
        <v>0</v>
      </c>
      <c r="D28" s="63">
        <f>D26*D27</f>
        <v>278.26416000000006</v>
      </c>
      <c r="E28" s="47"/>
      <c r="H28" s="25"/>
      <c r="I28" s="25"/>
      <c r="J28" s="24"/>
      <c r="K28" s="24"/>
      <c r="L28" s="24"/>
      <c r="M28" s="24"/>
      <c r="N28" s="24"/>
      <c r="O28" s="24"/>
      <c r="P28" s="24"/>
      <c r="Q28" s="25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15" x14ac:dyDescent="0.2">
      <c r="H29" s="25"/>
      <c r="I29" s="25"/>
      <c r="J29" s="24"/>
      <c r="K29" s="24"/>
      <c r="L29" s="24"/>
      <c r="M29" s="24"/>
      <c r="N29" s="24"/>
      <c r="O29" s="24"/>
      <c r="P29" s="24"/>
      <c r="Q29" s="25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15" x14ac:dyDescent="0.2">
      <c r="H30" s="25"/>
      <c r="I30" s="25"/>
      <c r="J30" s="24"/>
      <c r="K30" s="24"/>
      <c r="L30" s="24"/>
      <c r="M30" s="24"/>
      <c r="N30" s="24"/>
      <c r="O30" s="24"/>
      <c r="P30" s="24"/>
      <c r="Q30" s="25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33" customHeight="1" x14ac:dyDescent="0.2">
      <c r="A31" s="187" t="s">
        <v>852</v>
      </c>
      <c r="B31" s="67" t="s">
        <v>853</v>
      </c>
      <c r="C31" s="33">
        <f>C10*C5</f>
        <v>6684.3679245283038</v>
      </c>
      <c r="D31" s="33">
        <f>D10*D5</f>
        <v>6239.0553333962243</v>
      </c>
      <c r="E31" s="34"/>
      <c r="H31" s="25"/>
      <c r="I31" s="25"/>
      <c r="J31" s="24"/>
      <c r="K31" s="24"/>
      <c r="L31" s="24"/>
      <c r="M31" s="24"/>
      <c r="N31" s="24"/>
      <c r="O31" s="24"/>
      <c r="P31" s="24"/>
      <c r="Q31" s="25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44" customHeight="1" x14ac:dyDescent="0.2">
      <c r="A32" s="187"/>
      <c r="B32" s="27" t="s">
        <v>854</v>
      </c>
      <c r="C32" s="36">
        <v>0</v>
      </c>
      <c r="D32" s="38">
        <f>C32</f>
        <v>0</v>
      </c>
      <c r="E32" s="38"/>
      <c r="H32" s="25"/>
      <c r="I32" s="25"/>
      <c r="J32" s="24"/>
      <c r="K32" s="24"/>
      <c r="L32" s="24"/>
      <c r="M32" s="24"/>
      <c r="N32" s="24"/>
      <c r="O32" s="24"/>
      <c r="P32" s="24"/>
      <c r="Q32" s="25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93" customHeight="1" x14ac:dyDescent="0.2">
      <c r="A33" s="187"/>
      <c r="B33" s="27" t="s">
        <v>800</v>
      </c>
      <c r="C33" s="35">
        <v>0</v>
      </c>
      <c r="D33" s="38">
        <v>0.2</v>
      </c>
      <c r="E33" s="38"/>
      <c r="H33" s="25"/>
      <c r="I33" s="25"/>
      <c r="J33" s="24"/>
      <c r="K33" s="24"/>
      <c r="L33" s="24"/>
      <c r="M33" s="24"/>
      <c r="N33" s="24"/>
      <c r="O33" s="24"/>
      <c r="P33" s="24"/>
      <c r="Q33" s="25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45" customHeight="1" x14ac:dyDescent="0.2">
      <c r="A34" s="187"/>
      <c r="B34" s="27" t="s">
        <v>1209</v>
      </c>
      <c r="C34" s="35">
        <v>0</v>
      </c>
      <c r="D34" s="38">
        <f>0.1</f>
        <v>0.1</v>
      </c>
      <c r="E34" s="38"/>
      <c r="H34" s="25"/>
      <c r="I34" s="25"/>
      <c r="J34" s="24"/>
      <c r="K34" s="24"/>
      <c r="L34" s="24"/>
      <c r="M34" s="24"/>
      <c r="N34" s="24"/>
      <c r="O34" s="24"/>
      <c r="P34" s="24"/>
      <c r="Q34" s="25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37" customHeight="1" x14ac:dyDescent="0.2">
      <c r="A35" s="187"/>
      <c r="B35" s="67" t="s">
        <v>1107</v>
      </c>
      <c r="C35" s="34">
        <v>0</v>
      </c>
      <c r="D35" s="33">
        <f>(D31+C31)*(1-D32)*(1-D33)</f>
        <v>10338.738606339624</v>
      </c>
      <c r="E35" s="34"/>
      <c r="H35" s="25"/>
      <c r="I35" s="25"/>
      <c r="J35" s="24"/>
      <c r="K35" s="24"/>
      <c r="L35" s="24"/>
      <c r="M35" s="24"/>
      <c r="N35" s="24"/>
      <c r="O35" s="24"/>
      <c r="P35" s="24"/>
      <c r="Q35" s="25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7" customHeight="1" x14ac:dyDescent="0.2">
      <c r="A36" s="187"/>
      <c r="B36" s="68" t="s">
        <v>1113</v>
      </c>
      <c r="C36" s="47">
        <f>C35*C34</f>
        <v>0</v>
      </c>
      <c r="D36" s="63">
        <f>D35*D34</f>
        <v>1033.8738606339625</v>
      </c>
      <c r="E36" s="47"/>
      <c r="H36" s="25"/>
      <c r="I36" s="25"/>
      <c r="J36" s="24"/>
      <c r="K36" s="24"/>
      <c r="L36" s="24"/>
      <c r="M36" s="24"/>
      <c r="N36" s="24"/>
      <c r="O36" s="24"/>
      <c r="P36" s="24"/>
      <c r="Q36" s="25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15" x14ac:dyDescent="0.2">
      <c r="H37" s="25"/>
      <c r="I37" s="25"/>
      <c r="J37" s="24"/>
      <c r="K37" s="24"/>
      <c r="L37" s="24"/>
      <c r="M37" s="24"/>
      <c r="N37" s="24"/>
      <c r="O37" s="24"/>
      <c r="P37" s="24"/>
      <c r="Q37" s="25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39" customHeight="1" x14ac:dyDescent="0.2">
      <c r="A38" s="187" t="s">
        <v>677</v>
      </c>
      <c r="B38" s="67" t="s">
        <v>862</v>
      </c>
      <c r="C38" s="34">
        <f>C5*C9</f>
        <v>0</v>
      </c>
      <c r="D38" s="33">
        <f>D5*D9</f>
        <v>7514.0985149999997</v>
      </c>
      <c r="E38" s="34"/>
      <c r="H38" s="25"/>
      <c r="I38" s="25"/>
      <c r="J38" s="24"/>
      <c r="K38" s="24"/>
      <c r="L38" s="24"/>
      <c r="M38" s="24"/>
      <c r="N38" s="24"/>
      <c r="O38" s="24"/>
      <c r="P38" s="24"/>
      <c r="Q38" s="25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48" customHeight="1" x14ac:dyDescent="0.2">
      <c r="A39" s="187"/>
      <c r="B39" s="27" t="s">
        <v>866</v>
      </c>
      <c r="C39" s="35">
        <v>0.15</v>
      </c>
      <c r="D39" s="36">
        <v>0.25</v>
      </c>
      <c r="E39" s="36"/>
      <c r="G39" s="32" t="s">
        <v>705</v>
      </c>
      <c r="H39" s="25"/>
      <c r="I39" s="25"/>
      <c r="J39" s="24"/>
      <c r="K39" s="24"/>
      <c r="L39" s="24"/>
      <c r="M39" s="24"/>
      <c r="N39" s="24"/>
      <c r="O39" s="24"/>
      <c r="P39" s="24"/>
      <c r="Q39" s="25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8" customHeight="1" x14ac:dyDescent="0.2">
      <c r="A40" s="187"/>
      <c r="B40" s="27" t="s">
        <v>867</v>
      </c>
      <c r="C40" s="45">
        <f>C38</f>
        <v>0</v>
      </c>
      <c r="D40" s="62">
        <f>D38</f>
        <v>7514.0985149999997</v>
      </c>
      <c r="E40" s="50"/>
      <c r="H40" s="25"/>
      <c r="I40" s="25"/>
      <c r="J40" s="24"/>
      <c r="K40" s="24"/>
      <c r="L40" s="24"/>
      <c r="M40" s="24"/>
      <c r="N40" s="24"/>
      <c r="O40" s="24"/>
      <c r="P40" s="24"/>
      <c r="Q40" s="25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3" customHeight="1" x14ac:dyDescent="0.2">
      <c r="A41" s="187"/>
      <c r="B41" s="68" t="s">
        <v>868</v>
      </c>
      <c r="C41" s="47">
        <f>C38*C39</f>
        <v>0</v>
      </c>
      <c r="D41" s="63">
        <f>D38*D39</f>
        <v>1878.5246287499999</v>
      </c>
      <c r="E41" s="47"/>
      <c r="H41" s="25"/>
      <c r="I41" s="25"/>
      <c r="J41" s="24"/>
      <c r="K41" s="24"/>
      <c r="L41" s="24"/>
      <c r="M41" s="24"/>
      <c r="N41" s="24"/>
      <c r="O41" s="24"/>
      <c r="P41" s="24"/>
      <c r="Q41" s="25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15" x14ac:dyDescent="0.2">
      <c r="H42" s="25"/>
      <c r="I42" s="25"/>
      <c r="J42" s="24"/>
      <c r="K42" s="24"/>
      <c r="L42" s="24"/>
      <c r="M42" s="24"/>
      <c r="N42" s="24"/>
      <c r="O42" s="24"/>
      <c r="P42" s="24"/>
      <c r="Q42" s="25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</row>
    <row r="43" spans="1:40" ht="35" customHeight="1" x14ac:dyDescent="0.2">
      <c r="A43" s="187" t="s">
        <v>1108</v>
      </c>
      <c r="B43" s="67" t="s">
        <v>1052</v>
      </c>
      <c r="C43" s="73">
        <f>C27+C35+C40</f>
        <v>0</v>
      </c>
      <c r="D43" s="33">
        <f>D27+D35+D40</f>
        <v>20635.478721339627</v>
      </c>
      <c r="E43" s="33">
        <f>C43+D43</f>
        <v>20635.478721339627</v>
      </c>
      <c r="G43" s="32" t="s">
        <v>678</v>
      </c>
      <c r="H43" s="25"/>
      <c r="I43" s="25"/>
      <c r="J43" s="24"/>
      <c r="K43" s="24"/>
      <c r="L43" s="24"/>
      <c r="M43" s="24"/>
      <c r="N43" s="24"/>
      <c r="O43" s="24"/>
      <c r="P43" s="24"/>
      <c r="Q43" s="25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32" customHeight="1" x14ac:dyDescent="0.2">
      <c r="A44" s="187"/>
      <c r="B44" s="67" t="s">
        <v>1053</v>
      </c>
      <c r="C44" s="73">
        <f>C28+C36+C41</f>
        <v>0</v>
      </c>
      <c r="D44" s="33">
        <f>D28+D36+D41</f>
        <v>3190.6626493839626</v>
      </c>
      <c r="E44" s="34"/>
      <c r="G44" s="168"/>
      <c r="H44" s="25"/>
      <c r="I44" s="25"/>
      <c r="J44" s="24"/>
      <c r="K44" s="24"/>
      <c r="L44" s="24"/>
      <c r="M44" s="24"/>
      <c r="N44" s="24"/>
      <c r="O44" s="24"/>
      <c r="P44" s="24"/>
      <c r="Q44" s="25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32" customHeight="1" x14ac:dyDescent="0.2">
      <c r="A45" s="187"/>
      <c r="B45" s="67" t="s">
        <v>679</v>
      </c>
      <c r="C45" s="73"/>
      <c r="D45" s="33">
        <f>D43-D44</f>
        <v>17444.816071955665</v>
      </c>
      <c r="E45" s="34"/>
      <c r="G45" s="168"/>
      <c r="H45" s="25"/>
      <c r="I45" s="25"/>
      <c r="J45" s="24"/>
      <c r="K45" s="24"/>
      <c r="L45" s="24"/>
      <c r="M45" s="24"/>
      <c r="N45" s="24"/>
      <c r="O45" s="24"/>
      <c r="P45" s="24"/>
      <c r="Q45" s="25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35" customHeight="1" x14ac:dyDescent="0.2">
      <c r="A46" s="187"/>
      <c r="B46" s="27" t="s">
        <v>1054</v>
      </c>
      <c r="C46" s="36">
        <v>0</v>
      </c>
      <c r="D46" s="36">
        <f>D44/D43</f>
        <v>0.15462023888422924</v>
      </c>
      <c r="E46" s="36"/>
      <c r="H46" s="25"/>
      <c r="I46" s="25"/>
      <c r="J46" s="24"/>
      <c r="K46" s="24"/>
      <c r="L46" s="24"/>
      <c r="M46" s="24"/>
      <c r="N46" s="24"/>
      <c r="O46" s="24"/>
      <c r="P46" s="24"/>
      <c r="Q46" s="25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37" customHeight="1" x14ac:dyDescent="0.2">
      <c r="A47" s="187"/>
      <c r="B47" s="28" t="s">
        <v>1055</v>
      </c>
      <c r="C47" s="71">
        <v>0</v>
      </c>
      <c r="D47" s="36">
        <v>0</v>
      </c>
      <c r="E47" s="36"/>
      <c r="G47" s="32" t="s">
        <v>864</v>
      </c>
      <c r="H47" s="25"/>
      <c r="I47" s="25"/>
      <c r="J47" s="24"/>
      <c r="K47" s="24"/>
      <c r="L47" s="24"/>
      <c r="M47" s="24"/>
      <c r="N47" s="24"/>
      <c r="O47" s="24"/>
      <c r="P47" s="24"/>
      <c r="Q47" s="25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37" customHeight="1" x14ac:dyDescent="0.2">
      <c r="A48" s="187"/>
      <c r="B48" s="28" t="s">
        <v>926</v>
      </c>
      <c r="C48" s="72">
        <v>0</v>
      </c>
      <c r="D48" s="36">
        <f>D46-D47</f>
        <v>0.15462023888422924</v>
      </c>
      <c r="E48" s="36"/>
      <c r="G48" s="32" t="s">
        <v>705</v>
      </c>
      <c r="H48" s="25"/>
      <c r="I48" s="25"/>
      <c r="J48" s="24"/>
      <c r="K48" s="24"/>
      <c r="L48" s="24"/>
      <c r="M48" s="24"/>
      <c r="N48" s="24"/>
      <c r="O48" s="24"/>
      <c r="P48" s="24"/>
      <c r="Q48" s="25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41" customHeight="1" x14ac:dyDescent="0.2">
      <c r="A49" s="187"/>
      <c r="B49" s="29" t="s">
        <v>927</v>
      </c>
      <c r="C49" s="63">
        <f>C44*(1-C47)</f>
        <v>0</v>
      </c>
      <c r="D49" s="63">
        <f>D44*(1-D47)</f>
        <v>3190.6626493839626</v>
      </c>
      <c r="E49" s="47"/>
      <c r="G49" s="32" t="s">
        <v>711</v>
      </c>
      <c r="H49" s="25"/>
      <c r="I49" s="25"/>
      <c r="J49" s="24"/>
      <c r="K49" s="24"/>
      <c r="L49" s="24"/>
      <c r="M49" s="24"/>
      <c r="N49" s="24"/>
      <c r="O49" s="24"/>
      <c r="P49" s="24"/>
      <c r="Q49" s="25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</row>
    <row r="50" spans="1:40" ht="16" x14ac:dyDescent="0.2">
      <c r="A50" s="51"/>
      <c r="B50" s="52"/>
      <c r="H50" s="25"/>
      <c r="I50" s="25"/>
      <c r="J50" s="24"/>
      <c r="K50" s="24"/>
      <c r="L50" s="24"/>
      <c r="M50" s="24"/>
      <c r="N50" s="24"/>
      <c r="O50" s="24"/>
      <c r="P50" s="24"/>
      <c r="Q50" s="25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</row>
    <row r="51" spans="1:40" ht="29" x14ac:dyDescent="0.2">
      <c r="A51" s="51" t="s">
        <v>712</v>
      </c>
      <c r="B51" s="26" t="s">
        <v>714</v>
      </c>
      <c r="C51" s="34">
        <f>1.135/12*5</f>
        <v>0.47291666666666671</v>
      </c>
      <c r="D51" s="34">
        <f>1.135/12*7+0.189*7/12</f>
        <v>0.77233333333333332</v>
      </c>
      <c r="H51" s="25"/>
      <c r="I51" s="25"/>
      <c r="J51" s="24"/>
      <c r="K51" s="24"/>
      <c r="L51" s="24"/>
      <c r="M51" s="24"/>
      <c r="N51" s="24"/>
      <c r="O51" s="24"/>
      <c r="P51" s="24"/>
      <c r="Q51" s="25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</row>
    <row r="52" spans="1:40" ht="29" x14ac:dyDescent="0.2">
      <c r="A52" s="51"/>
      <c r="B52" s="26" t="s">
        <v>713</v>
      </c>
      <c r="H52" s="25"/>
      <c r="I52" s="25"/>
      <c r="J52" s="24"/>
      <c r="K52" s="24"/>
      <c r="L52" s="24"/>
      <c r="M52" s="24"/>
      <c r="N52" s="24"/>
      <c r="O52" s="24"/>
      <c r="P52" s="24"/>
      <c r="Q52" s="25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</row>
    <row r="53" spans="1:40" ht="15" x14ac:dyDescent="0.2">
      <c r="A53" s="51"/>
      <c r="B53" s="76" t="s">
        <v>876</v>
      </c>
      <c r="C53" s="77">
        <f>(C41*1000000)/(C51*1000000000)</f>
        <v>0</v>
      </c>
      <c r="D53" s="77">
        <f>(D41*1000000)/(D51*1000000000)</f>
        <v>2.4322718542296071</v>
      </c>
      <c r="H53" s="25"/>
      <c r="I53" s="25"/>
      <c r="J53" s="24"/>
      <c r="K53" s="24"/>
      <c r="L53" s="24"/>
      <c r="M53" s="24"/>
      <c r="N53" s="24"/>
      <c r="O53" s="24"/>
      <c r="P53" s="24"/>
      <c r="Q53" s="25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</row>
    <row r="54" spans="1:40" ht="17" x14ac:dyDescent="0.2">
      <c r="A54" s="51"/>
      <c r="B54" s="52" t="s">
        <v>878</v>
      </c>
      <c r="C54">
        <v>8</v>
      </c>
      <c r="D54">
        <v>8.1</v>
      </c>
      <c r="H54" s="25"/>
      <c r="I54" s="25"/>
      <c r="J54" s="24"/>
      <c r="K54" s="24"/>
      <c r="L54" s="24"/>
      <c r="M54" s="24"/>
      <c r="N54" s="24"/>
      <c r="O54" s="24"/>
      <c r="P54" s="24"/>
      <c r="Q54" s="25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16" x14ac:dyDescent="0.2">
      <c r="A55" s="51"/>
      <c r="B55" s="52"/>
      <c r="H55" s="25"/>
      <c r="I55" s="25"/>
      <c r="J55" s="24"/>
      <c r="K55" s="24"/>
      <c r="L55" s="24"/>
      <c r="M55" s="24"/>
      <c r="N55" s="24"/>
      <c r="O55" s="24"/>
      <c r="P55" s="24"/>
      <c r="Q55" s="25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16" x14ac:dyDescent="0.2">
      <c r="A56" s="51"/>
      <c r="B56" s="52"/>
      <c r="H56" s="25"/>
      <c r="I56" s="25"/>
      <c r="J56" s="24"/>
      <c r="K56" s="24"/>
      <c r="L56" s="24"/>
      <c r="M56" s="24"/>
      <c r="N56" s="24"/>
      <c r="O56" s="24"/>
      <c r="P56" s="24"/>
      <c r="Q56" s="25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16" x14ac:dyDescent="0.2">
      <c r="A57" s="51"/>
      <c r="B57" s="52"/>
      <c r="H57" s="25"/>
      <c r="I57" s="25"/>
      <c r="J57" s="24"/>
      <c r="K57" s="24"/>
      <c r="L57" s="24"/>
      <c r="M57" s="24"/>
      <c r="N57" s="24"/>
      <c r="O57" s="24"/>
      <c r="P57" s="24"/>
      <c r="Q57" s="25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16" x14ac:dyDescent="0.2">
      <c r="A58" s="51"/>
      <c r="B58" s="52"/>
      <c r="H58" s="25"/>
      <c r="I58" s="25"/>
      <c r="J58" s="24"/>
      <c r="K58" s="24"/>
      <c r="L58" s="24"/>
      <c r="M58" s="24"/>
      <c r="N58" s="24"/>
      <c r="O58" s="24"/>
      <c r="P58" s="24"/>
      <c r="Q58" s="25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16" x14ac:dyDescent="0.2">
      <c r="A59" s="51"/>
      <c r="B59" s="52"/>
      <c r="H59" s="25"/>
      <c r="I59" s="25"/>
      <c r="J59" s="24"/>
      <c r="K59" s="24"/>
      <c r="L59" s="24"/>
      <c r="M59" s="24"/>
      <c r="N59" s="24"/>
      <c r="O59" s="24"/>
      <c r="P59" s="24"/>
      <c r="Q59" s="25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16" x14ac:dyDescent="0.2">
      <c r="A60" s="51"/>
      <c r="B60" s="52"/>
      <c r="H60" s="25"/>
      <c r="I60" s="25"/>
      <c r="J60" s="24"/>
      <c r="K60" s="24"/>
      <c r="L60" s="24"/>
      <c r="M60" s="24"/>
      <c r="N60" s="24"/>
      <c r="O60" s="24"/>
      <c r="P60" s="24"/>
      <c r="Q60" s="25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19" x14ac:dyDescent="0.2">
      <c r="A61" s="51"/>
      <c r="B61" s="78" t="s">
        <v>877</v>
      </c>
      <c r="H61" s="25"/>
      <c r="I61" s="25"/>
      <c r="J61" s="24"/>
      <c r="K61" s="24"/>
      <c r="L61" s="24"/>
      <c r="M61" s="24"/>
      <c r="N61" s="24"/>
      <c r="O61" s="24"/>
      <c r="P61" s="24"/>
      <c r="Q61" s="25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</row>
    <row r="62" spans="1:40" ht="16" x14ac:dyDescent="0.2">
      <c r="A62" s="51"/>
      <c r="B62" s="52"/>
      <c r="C62">
        <f>C64*60*60*24*360/1000000</f>
        <v>11.166335999999999</v>
      </c>
      <c r="H62" s="25"/>
      <c r="I62" s="25"/>
      <c r="J62" s="24"/>
      <c r="K62" s="24"/>
      <c r="L62" s="24"/>
      <c r="M62" s="24"/>
      <c r="N62" s="24"/>
      <c r="O62" s="24"/>
      <c r="P62" s="24"/>
      <c r="Q62" s="25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</row>
    <row r="63" spans="1:40" ht="15" customHeight="1" x14ac:dyDescent="0.2">
      <c r="B63" s="52"/>
      <c r="H63" s="25"/>
      <c r="I63" s="25"/>
      <c r="J63" s="24"/>
      <c r="K63" s="24"/>
      <c r="L63" s="24"/>
      <c r="M63" s="24"/>
      <c r="N63" s="24"/>
      <c r="O63" s="24"/>
      <c r="P63" s="24"/>
      <c r="Q63" s="25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</row>
    <row r="64" spans="1:40" ht="52" customHeight="1" x14ac:dyDescent="0.2">
      <c r="A64" s="187" t="s">
        <v>1051</v>
      </c>
      <c r="B64" s="26" t="s">
        <v>923</v>
      </c>
      <c r="C64" s="70">
        <f>C67-0.083-0.033</f>
        <v>0.35899999999999999</v>
      </c>
      <c r="D64" s="34">
        <f>D67-0.054-0.0036</f>
        <v>0.1024</v>
      </c>
      <c r="G64" s="32" t="s">
        <v>924</v>
      </c>
      <c r="H64" s="25"/>
      <c r="I64" s="25"/>
      <c r="J64" s="24"/>
      <c r="K64" s="24"/>
      <c r="L64" s="24"/>
      <c r="M64" s="24"/>
      <c r="N64" s="24"/>
      <c r="O64" s="24"/>
      <c r="P64" s="24"/>
      <c r="Q64" s="25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</row>
    <row r="65" spans="1:7" ht="42" customHeight="1" x14ac:dyDescent="0.15">
      <c r="A65" s="187"/>
      <c r="B65" s="26" t="s">
        <v>925</v>
      </c>
      <c r="C65" s="34">
        <v>5.0000000000000001E-3</v>
      </c>
      <c r="D65" s="34">
        <v>5.0000000000000001E-3</v>
      </c>
      <c r="G65" s="32" t="s">
        <v>789</v>
      </c>
    </row>
    <row r="66" spans="1:7" ht="36" customHeight="1" x14ac:dyDescent="0.15">
      <c r="A66" s="187"/>
      <c r="B66" s="26" t="s">
        <v>792</v>
      </c>
      <c r="C66" s="37">
        <f>(C64*1000*365*24*3600)*(0.000001*C65)</f>
        <v>56.607120000000002</v>
      </c>
      <c r="D66" s="37">
        <f>(D64*1000*365*24*3600)*(0.000001*D65)</f>
        <v>16.146432000000001</v>
      </c>
      <c r="E66" s="34"/>
    </row>
    <row r="67" spans="1:7" ht="42" x14ac:dyDescent="0.15">
      <c r="A67" s="187"/>
      <c r="B67" s="26" t="s">
        <v>611</v>
      </c>
      <c r="C67" s="74">
        <v>0.47499999999999998</v>
      </c>
      <c r="D67" s="34">
        <v>0.16</v>
      </c>
    </row>
    <row r="68" spans="1:7" ht="28" x14ac:dyDescent="0.15">
      <c r="A68" s="187"/>
      <c r="B68" s="26" t="s">
        <v>794</v>
      </c>
      <c r="C68" s="33">
        <f>C66+C49</f>
        <v>56.607120000000002</v>
      </c>
      <c r="D68" s="33">
        <f>D66+D49</f>
        <v>3206.8090813839626</v>
      </c>
      <c r="E68" s="34"/>
      <c r="G68" s="32" t="s">
        <v>795</v>
      </c>
    </row>
    <row r="69" spans="1:7" ht="28" x14ac:dyDescent="0.15">
      <c r="A69" s="187"/>
      <c r="B69" s="30" t="s">
        <v>796</v>
      </c>
      <c r="C69" s="75">
        <f>(C68*1000*1000)/(365*24*3600)/(C67*1000)</f>
        <v>3.7789473684210523E-3</v>
      </c>
      <c r="D69" s="75">
        <f>(D68*1000*1000)/(365*24*3600)/(D67*1000)</f>
        <v>0.63554530563957912</v>
      </c>
      <c r="E69" s="53"/>
    </row>
    <row r="70" spans="1:7" ht="28" x14ac:dyDescent="0.15">
      <c r="A70" s="187"/>
      <c r="B70" s="26" t="s">
        <v>797</v>
      </c>
      <c r="C70" s="34">
        <v>7.65</v>
      </c>
      <c r="D70" s="34">
        <v>7.58</v>
      </c>
      <c r="E70" s="34"/>
      <c r="G70" s="32" t="s">
        <v>798</v>
      </c>
    </row>
    <row r="71" spans="1:7" ht="14" x14ac:dyDescent="0.15">
      <c r="A71" s="187"/>
      <c r="B71" s="26" t="s">
        <v>799</v>
      </c>
      <c r="C71" s="34">
        <v>2</v>
      </c>
      <c r="D71" s="34">
        <v>15</v>
      </c>
      <c r="E71" s="34"/>
      <c r="G71" s="32" t="s">
        <v>622</v>
      </c>
    </row>
    <row r="72" spans="1:7" x14ac:dyDescent="0.15">
      <c r="A72" s="51"/>
    </row>
    <row r="73" spans="1:7" ht="14" thickBot="1" x14ac:dyDescent="0.2">
      <c r="A73" s="51"/>
      <c r="B73" t="s">
        <v>976</v>
      </c>
      <c r="C73" s="7">
        <f>C2</f>
        <v>2982.0833333333335</v>
      </c>
      <c r="D73" s="7">
        <f>D2</f>
        <v>4174.9166666666661</v>
      </c>
    </row>
    <row r="74" spans="1:7" x14ac:dyDescent="0.15">
      <c r="C74" s="31" t="s">
        <v>977</v>
      </c>
      <c r="D74" s="54" t="s">
        <v>978</v>
      </c>
    </row>
    <row r="75" spans="1:7" ht="14" x14ac:dyDescent="0.15">
      <c r="B75" s="55" t="s">
        <v>879</v>
      </c>
      <c r="C75" s="56">
        <f>'[1]NH3-beräkning'!B22</f>
        <v>5.5515095908778857E-5</v>
      </c>
      <c r="D75" s="57">
        <f>'[1]NH3-beräkning'!C22</f>
        <v>1.4847543296180505E-5</v>
      </c>
      <c r="E75" s="57"/>
    </row>
    <row r="76" spans="1:7" x14ac:dyDescent="0.15">
      <c r="C76" s="58"/>
    </row>
    <row r="77" spans="1:7" ht="14" x14ac:dyDescent="0.15">
      <c r="B77" s="32" t="s">
        <v>928</v>
      </c>
      <c r="C77" s="58">
        <v>5.0000000000000001E-3</v>
      </c>
      <c r="D77">
        <v>5.0000000000000001E-3</v>
      </c>
    </row>
    <row r="78" spans="1:7" ht="15" thickBot="1" x14ac:dyDescent="0.2">
      <c r="B78" s="32" t="s">
        <v>929</v>
      </c>
      <c r="C78" s="59">
        <v>2.5000000000000001E-2</v>
      </c>
      <c r="D78" s="60">
        <v>2.5000000000000001E-2</v>
      </c>
    </row>
    <row r="80" spans="1:7" ht="28" x14ac:dyDescent="0.15">
      <c r="A80" s="32" t="s">
        <v>930</v>
      </c>
    </row>
  </sheetData>
  <mergeCells count="8">
    <mergeCell ref="A31:A36"/>
    <mergeCell ref="A38:A41"/>
    <mergeCell ref="A43:A49"/>
    <mergeCell ref="A64:A71"/>
    <mergeCell ref="A2:A7"/>
    <mergeCell ref="A9:A11"/>
    <mergeCell ref="A13:A21"/>
    <mergeCell ref="A23:A28"/>
  </mergeCells>
  <phoneticPr fontId="8" type="noConversion"/>
  <pageMargins left="0.78740157499999996" right="0.78740157499999996" top="1" bottom="1" header="0" footer="0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576"/>
  <sheetViews>
    <sheetView tabSelected="1" topLeftCell="AA1" workbookViewId="0">
      <selection activeCell="I123" sqref="I123"/>
    </sheetView>
  </sheetViews>
  <sheetFormatPr baseColWidth="10" defaultRowHeight="13" x14ac:dyDescent="0.15"/>
  <cols>
    <col min="1" max="1" width="19.5" customWidth="1"/>
    <col min="2" max="3" width="8.5" style="10" customWidth="1"/>
    <col min="4" max="4" width="10" style="10" customWidth="1"/>
    <col min="5" max="5" width="9.5" style="10" customWidth="1"/>
    <col min="6" max="7" width="10.5" style="10" customWidth="1"/>
    <col min="8" max="8" width="9.5" style="10" customWidth="1"/>
    <col min="9" max="18" width="8.6640625" style="10" customWidth="1"/>
    <col min="19" max="33" width="8.6640625" customWidth="1"/>
    <col min="34" max="34" width="6.83203125" customWidth="1"/>
    <col min="35" max="35" width="9.5" customWidth="1"/>
    <col min="36" max="36" width="8.6640625" customWidth="1"/>
    <col min="37" max="37" width="8.5" customWidth="1"/>
    <col min="38" max="38" width="8.6640625" customWidth="1"/>
    <col min="39" max="39" width="6.83203125" customWidth="1"/>
    <col min="40" max="40" width="8.33203125" customWidth="1"/>
    <col min="41" max="70" width="6.83203125" customWidth="1"/>
  </cols>
  <sheetData>
    <row r="1" spans="1:70" x14ac:dyDescent="0.15">
      <c r="M1" s="10">
        <v>2015</v>
      </c>
      <c r="Q1" s="10">
        <v>2015</v>
      </c>
      <c r="S1">
        <f>M1+1</f>
        <v>2016</v>
      </c>
      <c r="W1">
        <f>Q1+1</f>
        <v>2016</v>
      </c>
      <c r="Y1">
        <f>S1+1</f>
        <v>2017</v>
      </c>
      <c r="AC1">
        <f>W1+1</f>
        <v>2017</v>
      </c>
      <c r="AE1">
        <f>Y1+1</f>
        <v>2018</v>
      </c>
      <c r="AH1">
        <f>AC1+1</f>
        <v>2018</v>
      </c>
      <c r="AI1">
        <f>AE1+1</f>
        <v>2019</v>
      </c>
      <c r="AK1">
        <f>AH1+1</f>
        <v>2019</v>
      </c>
      <c r="AL1">
        <f>AI1+1</f>
        <v>2020</v>
      </c>
      <c r="AN1">
        <f>AK1+1</f>
        <v>2020</v>
      </c>
      <c r="AO1">
        <f>AL1+1</f>
        <v>2021</v>
      </c>
      <c r="AQ1">
        <f>AN1+1</f>
        <v>2021</v>
      </c>
      <c r="AR1">
        <f>AO1+1</f>
        <v>2022</v>
      </c>
      <c r="AT1">
        <f>AQ1+1</f>
        <v>2022</v>
      </c>
      <c r="AU1">
        <f>AR1+1</f>
        <v>2023</v>
      </c>
      <c r="AW1">
        <f>AT1+1</f>
        <v>2023</v>
      </c>
      <c r="AX1">
        <f>AU1+1</f>
        <v>2024</v>
      </c>
      <c r="AZ1">
        <f>AW1+1</f>
        <v>2024</v>
      </c>
      <c r="BA1">
        <f>AX1+1</f>
        <v>2025</v>
      </c>
      <c r="BC1">
        <f>AZ1+1</f>
        <v>2025</v>
      </c>
      <c r="BD1">
        <f>BA1+1</f>
        <v>2026</v>
      </c>
      <c r="BF1">
        <f>BC1+1</f>
        <v>2026</v>
      </c>
      <c r="BG1">
        <f>BD1+1</f>
        <v>2027</v>
      </c>
      <c r="BI1">
        <f>BF1+1</f>
        <v>2027</v>
      </c>
      <c r="BJ1">
        <f>BG1+1</f>
        <v>2028</v>
      </c>
      <c r="BL1">
        <f>BI1+1</f>
        <v>2028</v>
      </c>
      <c r="BM1">
        <f>BJ1+1</f>
        <v>2029</v>
      </c>
      <c r="BO1">
        <f>BL1+1</f>
        <v>2029</v>
      </c>
      <c r="BP1">
        <f>BM1+1</f>
        <v>2030</v>
      </c>
      <c r="BR1">
        <f>BO1+1</f>
        <v>2030</v>
      </c>
    </row>
    <row r="2" spans="1:70" ht="14" customHeight="1" x14ac:dyDescent="0.15">
      <c r="A2" s="84" t="s">
        <v>912</v>
      </c>
      <c r="B2" s="92" t="s">
        <v>913</v>
      </c>
      <c r="C2" s="92"/>
      <c r="D2" s="92" t="s">
        <v>915</v>
      </c>
      <c r="E2" s="92" t="s">
        <v>916</v>
      </c>
      <c r="F2" s="92"/>
      <c r="G2" s="92"/>
      <c r="H2" s="92"/>
      <c r="I2" s="92" t="s">
        <v>1063</v>
      </c>
      <c r="J2" s="92"/>
      <c r="K2" s="92"/>
      <c r="L2" s="92"/>
      <c r="M2" s="92" t="s">
        <v>1062</v>
      </c>
      <c r="N2" s="92"/>
      <c r="O2" s="92"/>
      <c r="P2" s="92"/>
      <c r="Q2" s="92" t="s">
        <v>1072</v>
      </c>
      <c r="R2" s="92"/>
      <c r="S2" s="92" t="s">
        <v>1073</v>
      </c>
      <c r="T2" s="92"/>
      <c r="U2" s="92"/>
      <c r="V2" s="92"/>
      <c r="W2" s="92" t="s">
        <v>1072</v>
      </c>
      <c r="X2" s="92"/>
      <c r="Y2" s="92" t="s">
        <v>1074</v>
      </c>
      <c r="Z2" s="92"/>
      <c r="AA2" s="92"/>
      <c r="AB2" s="92"/>
      <c r="AC2" s="92" t="s">
        <v>1072</v>
      </c>
      <c r="AD2" s="92"/>
      <c r="AE2" s="92" t="s">
        <v>1075</v>
      </c>
      <c r="AF2" s="92"/>
      <c r="AG2" s="92"/>
      <c r="AH2" s="92" t="s">
        <v>1072</v>
      </c>
      <c r="AI2" s="92" t="s">
        <v>1076</v>
      </c>
      <c r="AJ2" s="92"/>
      <c r="AK2" s="92" t="s">
        <v>1072</v>
      </c>
      <c r="AL2" s="92" t="s">
        <v>1077</v>
      </c>
      <c r="AM2" s="92"/>
      <c r="AN2" s="92" t="s">
        <v>1072</v>
      </c>
      <c r="AO2" s="92" t="s">
        <v>1078</v>
      </c>
      <c r="AP2" s="92"/>
      <c r="AQ2" s="92" t="s">
        <v>1072</v>
      </c>
      <c r="AR2" s="92" t="s">
        <v>1079</v>
      </c>
      <c r="AS2" s="92"/>
      <c r="AT2" s="92" t="s">
        <v>1072</v>
      </c>
      <c r="AU2" s="92" t="s">
        <v>1080</v>
      </c>
      <c r="AV2" s="92"/>
      <c r="AW2" s="92" t="s">
        <v>1072</v>
      </c>
      <c r="AX2" s="92" t="s">
        <v>936</v>
      </c>
      <c r="AY2" s="92"/>
      <c r="AZ2" s="92" t="s">
        <v>1072</v>
      </c>
      <c r="BA2" s="92" t="s">
        <v>937</v>
      </c>
      <c r="BB2" s="92"/>
      <c r="BC2" s="92" t="s">
        <v>1072</v>
      </c>
      <c r="BD2" s="92" t="s">
        <v>938</v>
      </c>
      <c r="BE2" s="92"/>
      <c r="BF2" s="92" t="s">
        <v>1072</v>
      </c>
      <c r="BG2" s="92" t="s">
        <v>939</v>
      </c>
      <c r="BH2" s="92"/>
      <c r="BI2" s="92" t="s">
        <v>1072</v>
      </c>
      <c r="BJ2" s="92" t="s">
        <v>940</v>
      </c>
      <c r="BK2" s="92"/>
      <c r="BL2" s="92" t="s">
        <v>1072</v>
      </c>
      <c r="BM2" s="92" t="s">
        <v>940</v>
      </c>
      <c r="BN2" s="92"/>
      <c r="BO2" s="92" t="s">
        <v>1072</v>
      </c>
      <c r="BP2" s="92" t="s">
        <v>941</v>
      </c>
      <c r="BQ2" s="92"/>
      <c r="BR2" s="92" t="s">
        <v>1072</v>
      </c>
    </row>
    <row r="3" spans="1:70" ht="28" x14ac:dyDescent="0.15">
      <c r="A3" s="84"/>
      <c r="B3" s="92" t="s">
        <v>914</v>
      </c>
      <c r="C3" s="92"/>
      <c r="D3" s="92" t="s">
        <v>914</v>
      </c>
      <c r="E3" s="92" t="s">
        <v>914</v>
      </c>
      <c r="F3" s="92"/>
      <c r="G3" s="92"/>
      <c r="H3" s="92"/>
      <c r="I3" s="92" t="s">
        <v>1064</v>
      </c>
      <c r="J3" s="92"/>
      <c r="K3" s="92"/>
      <c r="L3" s="92"/>
      <c r="M3" s="92" t="s">
        <v>787</v>
      </c>
      <c r="N3" s="92"/>
      <c r="O3" s="92" t="s">
        <v>943</v>
      </c>
      <c r="P3" s="92"/>
      <c r="Q3" s="92" t="s">
        <v>1071</v>
      </c>
      <c r="R3" s="92"/>
      <c r="S3" s="92" t="s">
        <v>787</v>
      </c>
      <c r="T3" s="92"/>
      <c r="U3" s="92" t="s">
        <v>943</v>
      </c>
      <c r="V3" s="92"/>
      <c r="W3" s="92" t="s">
        <v>1071</v>
      </c>
      <c r="X3" s="92"/>
      <c r="Y3" s="92" t="s">
        <v>787</v>
      </c>
      <c r="Z3" s="92"/>
      <c r="AA3" s="92" t="s">
        <v>943</v>
      </c>
      <c r="AB3" s="92"/>
      <c r="AC3" s="92" t="s">
        <v>1071</v>
      </c>
      <c r="AD3" s="92"/>
      <c r="AE3" s="92" t="s">
        <v>787</v>
      </c>
      <c r="AF3" s="92"/>
      <c r="AG3" s="92" t="s">
        <v>943</v>
      </c>
      <c r="AH3" s="92" t="s">
        <v>1071</v>
      </c>
      <c r="AI3" s="92" t="s">
        <v>787</v>
      </c>
      <c r="AJ3" s="92" t="s">
        <v>943</v>
      </c>
      <c r="AK3" s="92" t="s">
        <v>1071</v>
      </c>
      <c r="AL3" s="92" t="s">
        <v>787</v>
      </c>
      <c r="AM3" s="92" t="s">
        <v>943</v>
      </c>
      <c r="AN3" s="92" t="s">
        <v>1071</v>
      </c>
      <c r="AO3" s="92" t="s">
        <v>787</v>
      </c>
      <c r="AP3" s="92" t="s">
        <v>943</v>
      </c>
      <c r="AQ3" s="92" t="s">
        <v>1071</v>
      </c>
      <c r="AR3" s="92" t="s">
        <v>787</v>
      </c>
      <c r="AS3" s="92" t="s">
        <v>943</v>
      </c>
      <c r="AT3" s="92" t="s">
        <v>1071</v>
      </c>
      <c r="AU3" s="92" t="s">
        <v>787</v>
      </c>
      <c r="AV3" s="92" t="s">
        <v>943</v>
      </c>
      <c r="AW3" s="92" t="s">
        <v>1071</v>
      </c>
      <c r="AX3" s="92" t="s">
        <v>787</v>
      </c>
      <c r="AY3" s="92" t="s">
        <v>943</v>
      </c>
      <c r="AZ3" s="92" t="s">
        <v>1071</v>
      </c>
      <c r="BA3" s="92" t="s">
        <v>787</v>
      </c>
      <c r="BB3" s="92" t="s">
        <v>943</v>
      </c>
      <c r="BC3" s="92" t="s">
        <v>1071</v>
      </c>
      <c r="BD3" s="92" t="s">
        <v>787</v>
      </c>
      <c r="BE3" s="92" t="s">
        <v>943</v>
      </c>
      <c r="BF3" s="92" t="s">
        <v>1071</v>
      </c>
      <c r="BG3" s="92" t="s">
        <v>787</v>
      </c>
      <c r="BH3" s="92" t="s">
        <v>943</v>
      </c>
      <c r="BI3" s="92" t="s">
        <v>1071</v>
      </c>
      <c r="BJ3" s="92" t="s">
        <v>787</v>
      </c>
      <c r="BK3" s="92" t="s">
        <v>943</v>
      </c>
      <c r="BL3" s="92" t="s">
        <v>1071</v>
      </c>
      <c r="BM3" s="92" t="s">
        <v>787</v>
      </c>
      <c r="BN3" s="92" t="s">
        <v>943</v>
      </c>
      <c r="BO3" s="92" t="s">
        <v>1071</v>
      </c>
      <c r="BP3" s="92" t="s">
        <v>787</v>
      </c>
      <c r="BQ3" s="92" t="s">
        <v>943</v>
      </c>
      <c r="BR3" s="92" t="s">
        <v>1071</v>
      </c>
    </row>
    <row r="4" spans="1:70" ht="14" x14ac:dyDescent="0.15">
      <c r="A4" s="85" t="s">
        <v>918</v>
      </c>
      <c r="B4" s="93">
        <v>3.94</v>
      </c>
      <c r="C4" s="93"/>
      <c r="D4" s="93">
        <v>4.09</v>
      </c>
      <c r="E4" s="93">
        <v>4.33</v>
      </c>
      <c r="F4" s="93"/>
      <c r="G4" s="93"/>
      <c r="H4" s="93"/>
      <c r="I4" s="93"/>
      <c r="J4" s="93"/>
      <c r="K4" s="93"/>
      <c r="L4" s="93"/>
      <c r="N4" s="94"/>
      <c r="O4" s="94">
        <f>'Modell During mining'!D34</f>
        <v>4.130047192660931</v>
      </c>
      <c r="P4" s="94"/>
      <c r="S4" s="94">
        <f>'Modell During mining'!D5</f>
        <v>21.489716810013995</v>
      </c>
      <c r="T4" s="94"/>
      <c r="U4" s="94">
        <f>'Modell During mining'!D35</f>
        <v>3.6149082112361026</v>
      </c>
      <c r="V4" s="94"/>
      <c r="Y4" s="94">
        <f>'Modell During mining'!$D6</f>
        <v>19.204001210580159</v>
      </c>
      <c r="Z4" s="94"/>
      <c r="AA4" s="94">
        <f>'Modell During mining'!D36</f>
        <v>3.2140245954415967</v>
      </c>
      <c r="AB4" s="94"/>
      <c r="AE4" s="94">
        <f>'Modell During mining'!$D7</f>
        <v>17.374638021411329</v>
      </c>
      <c r="AF4" s="94"/>
      <c r="AG4" s="94">
        <f>'Modell During mining'!D37</f>
        <v>2.8931790230278569</v>
      </c>
      <c r="AI4" s="94">
        <f>'Modell During mining'!$D8</f>
        <v>15.877363229647225</v>
      </c>
      <c r="AJ4" s="94">
        <f>'Modell During mining'!D38</f>
        <v>2.6305772660511653</v>
      </c>
      <c r="AK4" s="94">
        <f>'Modell During mining'!$G8/1000000</f>
        <v>2.0795072000000006</v>
      </c>
      <c r="AL4" s="94">
        <f>'Modell During mining'!$D9</f>
        <v>14.629274438242621</v>
      </c>
      <c r="AM4" s="94">
        <f>'Modell During mining'!D39</f>
        <v>2.4116793648184833</v>
      </c>
      <c r="AN4" s="94">
        <f>'Modell During mining'!$G9/1000000</f>
        <v>2.2682560000000005</v>
      </c>
      <c r="AO4" s="94">
        <f>'Modell During mining'!$D10</f>
        <v>13.572943726977764</v>
      </c>
      <c r="AP4" s="94">
        <f>'Modell During mining'!D40</f>
        <v>2.2264132384852129</v>
      </c>
      <c r="AQ4" s="94">
        <f>'Modell During mining'!$G10/1000000</f>
        <v>2.4570048000000009</v>
      </c>
      <c r="AR4" s="94">
        <f>'Modell During mining'!$D11</f>
        <v>12.667330871037299</v>
      </c>
      <c r="AS4" s="94">
        <f>'Modell During mining'!D41</f>
        <v>2.0675809864371777</v>
      </c>
      <c r="AT4" s="94">
        <f>'Modell During mining'!$G11/1000000</f>
        <v>2.6457536000000004</v>
      </c>
      <c r="AU4" s="94">
        <f>'Modell During mining'!$D12</f>
        <v>11.882327078488936</v>
      </c>
      <c r="AV4" s="94">
        <f>'Modell During mining'!D42</f>
        <v>1.9299019336070107</v>
      </c>
      <c r="AW4" s="94">
        <f>'Modell During mining'!$G12/1000000</f>
        <v>2.8345024000000008</v>
      </c>
      <c r="AX4" s="94">
        <f>'Modell During mining'!$D13</f>
        <v>11.195342612841991</v>
      </c>
      <c r="AY4" s="94">
        <f>'Modell During mining'!D43</f>
        <v>1.8094141456024935</v>
      </c>
      <c r="AZ4" s="94">
        <f>'Modell During mining'!$G13/1000000</f>
        <v>3.0232512000000011</v>
      </c>
      <c r="BA4" s="94">
        <f>'Modell During mining'!$D14</f>
        <v>10.589097557848534</v>
      </c>
      <c r="BB4" s="94">
        <f>'Modell During mining'!D44</f>
        <v>1.7030869587190884</v>
      </c>
      <c r="BC4" s="94">
        <f>'Modell During mining'!$G14/1000000</f>
        <v>3.2120000000000011</v>
      </c>
      <c r="BD4" s="94">
        <f>'Modell During mining'!$D15</f>
        <v>10.050148285852018</v>
      </c>
      <c r="BE4" s="94">
        <f>'Modell During mining'!D45</f>
        <v>1.6085625424088108</v>
      </c>
      <c r="BF4" s="94">
        <f>'Modell During mining'!$G15/1000000</f>
        <v>3.400748800000001</v>
      </c>
      <c r="BG4" s="94">
        <f>'Modell During mining'!$D16</f>
        <v>9.5678788279610814</v>
      </c>
      <c r="BH4" s="94">
        <f>'Modell During mining'!D46</f>
        <v>1.5239789992442709</v>
      </c>
      <c r="BI4" s="94">
        <f>'Modell During mining'!$G16/1000000</f>
        <v>3.5894976000000014</v>
      </c>
      <c r="BJ4" s="94">
        <f>'Modell During mining'!$D17</f>
        <v>9.133794571254251</v>
      </c>
      <c r="BK4" s="94">
        <f>'Modell During mining'!D47</f>
        <v>1.4478464889568112</v>
      </c>
      <c r="BL4" s="94">
        <f>'Modell During mining'!$G17/1000000</f>
        <v>3.7782464000000013</v>
      </c>
      <c r="BM4" s="94">
        <f>'Modell During mining'!$D18</f>
        <v>8.7410175904182399</v>
      </c>
      <c r="BN4" s="94">
        <f>'Modell During mining'!D48</f>
        <v>1.3789587164284223</v>
      </c>
      <c r="BO4" s="94">
        <f>'Modell During mining'!$G18/1000000</f>
        <v>3.9669952000000017</v>
      </c>
      <c r="BP4" s="94">
        <f>'Modell During mining'!$D19</f>
        <v>8.3839195078976392</v>
      </c>
      <c r="BQ4" s="94">
        <f>'Modell During mining'!D49</f>
        <v>1.3163285403253218</v>
      </c>
      <c r="BR4" s="94">
        <f>'Modell During mining'!$G19/1000000</f>
        <v>4.1557440000000003</v>
      </c>
    </row>
    <row r="5" spans="1:70" ht="14" x14ac:dyDescent="0.15">
      <c r="A5" s="85" t="s">
        <v>919</v>
      </c>
      <c r="B5" s="93">
        <v>0.67</v>
      </c>
      <c r="C5" s="93"/>
      <c r="E5" s="93">
        <v>1.48</v>
      </c>
      <c r="F5" s="93"/>
      <c r="G5" s="93"/>
      <c r="H5" s="93"/>
      <c r="I5" s="93"/>
      <c r="J5" s="93"/>
      <c r="K5" s="93"/>
      <c r="L5" s="93"/>
      <c r="N5" s="93"/>
      <c r="O5" s="93">
        <v>0.6</v>
      </c>
      <c r="P5" s="93"/>
      <c r="R5" s="93"/>
      <c r="S5" s="93">
        <v>0.6</v>
      </c>
      <c r="T5" s="93"/>
      <c r="U5" s="93"/>
      <c r="V5" s="93"/>
      <c r="W5" s="93">
        <v>0.95</v>
      </c>
      <c r="X5" s="93"/>
      <c r="Y5" s="93">
        <v>0.6</v>
      </c>
      <c r="Z5" s="93"/>
      <c r="AA5" s="93"/>
      <c r="AB5" s="93"/>
      <c r="AC5" s="93">
        <v>0.95</v>
      </c>
      <c r="AD5" s="93"/>
      <c r="AE5" s="93">
        <v>0.6</v>
      </c>
      <c r="AF5" s="93"/>
      <c r="AG5" s="93"/>
      <c r="AH5" s="93">
        <v>0.95</v>
      </c>
      <c r="AI5" s="93">
        <v>0.6</v>
      </c>
      <c r="AJ5" s="93"/>
      <c r="AK5" s="93">
        <v>0.95</v>
      </c>
      <c r="AL5" s="93">
        <v>0.6</v>
      </c>
      <c r="AM5" s="93"/>
      <c r="AN5" s="93">
        <v>0.95</v>
      </c>
      <c r="AO5" s="93">
        <v>0.6</v>
      </c>
      <c r="AP5" s="93"/>
      <c r="AQ5" s="93">
        <v>0.95</v>
      </c>
      <c r="AR5" s="93">
        <v>0.6</v>
      </c>
      <c r="AS5" s="93"/>
      <c r="AT5" s="93">
        <v>0.95</v>
      </c>
      <c r="AU5" s="93">
        <v>0.6</v>
      </c>
      <c r="AV5" s="93"/>
      <c r="AW5" s="93">
        <v>0.95</v>
      </c>
      <c r="AX5" s="93">
        <v>0.6</v>
      </c>
      <c r="AY5" s="93"/>
      <c r="AZ5" s="93">
        <v>0.95</v>
      </c>
      <c r="BA5" s="93">
        <v>0.6</v>
      </c>
      <c r="BB5" s="93"/>
      <c r="BC5" s="93">
        <v>0.95</v>
      </c>
      <c r="BD5" s="93">
        <v>0.6</v>
      </c>
      <c r="BE5" s="93"/>
      <c r="BF5" s="93">
        <v>0.95</v>
      </c>
      <c r="BG5" s="93">
        <v>0.6</v>
      </c>
      <c r="BH5" s="93"/>
      <c r="BI5" s="93">
        <v>0.95</v>
      </c>
      <c r="BJ5" s="93">
        <v>0.6</v>
      </c>
      <c r="BK5" s="93"/>
      <c r="BL5" s="93">
        <v>0.95</v>
      </c>
      <c r="BM5" s="93">
        <v>0.6</v>
      </c>
      <c r="BN5" s="93"/>
      <c r="BO5" s="93">
        <v>0.95</v>
      </c>
      <c r="BP5" s="93">
        <v>0.6</v>
      </c>
      <c r="BQ5" s="93"/>
      <c r="BR5" s="93">
        <v>0.95</v>
      </c>
    </row>
    <row r="6" spans="1:70" ht="28" x14ac:dyDescent="0.15">
      <c r="A6" s="85" t="s">
        <v>920</v>
      </c>
      <c r="B6" s="93">
        <v>0.21</v>
      </c>
      <c r="C6" s="93"/>
      <c r="E6" s="93">
        <v>0.48</v>
      </c>
      <c r="F6" s="93"/>
      <c r="G6" s="93"/>
      <c r="H6" s="93"/>
      <c r="I6" s="93"/>
      <c r="J6" s="93"/>
      <c r="K6" s="93"/>
      <c r="L6" s="93"/>
      <c r="N6" s="93"/>
      <c r="O6" s="93">
        <v>0.6</v>
      </c>
      <c r="P6" s="93"/>
      <c r="R6" s="93"/>
      <c r="S6" s="93">
        <v>0.6</v>
      </c>
      <c r="T6" s="93"/>
      <c r="U6" s="93"/>
      <c r="V6" s="93"/>
      <c r="W6" s="93">
        <v>0.31</v>
      </c>
      <c r="X6" s="93"/>
      <c r="Y6" s="93">
        <v>0.6</v>
      </c>
      <c r="Z6" s="93"/>
      <c r="AA6" s="93"/>
      <c r="AB6" s="93"/>
      <c r="AC6" s="93">
        <v>0.31</v>
      </c>
      <c r="AD6" s="93"/>
      <c r="AE6" s="93">
        <v>0.6</v>
      </c>
      <c r="AF6" s="93"/>
      <c r="AG6" s="93"/>
      <c r="AH6" s="93">
        <v>0.31</v>
      </c>
      <c r="AI6" s="93">
        <v>0.6</v>
      </c>
      <c r="AJ6" s="93"/>
      <c r="AK6" s="93">
        <v>0.31</v>
      </c>
      <c r="AL6" s="93">
        <v>0.6</v>
      </c>
      <c r="AM6" s="93"/>
      <c r="AN6" s="93">
        <v>0.31</v>
      </c>
      <c r="AO6" s="93">
        <v>0.6</v>
      </c>
      <c r="AP6" s="93"/>
      <c r="AQ6" s="93">
        <v>0.31</v>
      </c>
      <c r="AR6" s="93">
        <v>0.6</v>
      </c>
      <c r="AS6" s="93"/>
      <c r="AT6" s="93">
        <v>0.31</v>
      </c>
      <c r="AU6" s="93">
        <v>0.6</v>
      </c>
      <c r="AV6" s="93"/>
      <c r="AW6" s="93">
        <v>0.31</v>
      </c>
      <c r="AX6" s="93">
        <v>0.6</v>
      </c>
      <c r="AY6" s="93"/>
      <c r="AZ6" s="93">
        <v>0.31</v>
      </c>
      <c r="BA6" s="93">
        <v>0.6</v>
      </c>
      <c r="BB6" s="93"/>
      <c r="BC6" s="93">
        <v>0.31</v>
      </c>
      <c r="BD6" s="93">
        <v>0.6</v>
      </c>
      <c r="BE6" s="93"/>
      <c r="BF6" s="93">
        <v>0.31</v>
      </c>
      <c r="BG6" s="93">
        <v>0.6</v>
      </c>
      <c r="BH6" s="93"/>
      <c r="BI6" s="93">
        <v>0.31</v>
      </c>
      <c r="BJ6" s="93">
        <v>0.6</v>
      </c>
      <c r="BK6" s="93"/>
      <c r="BL6" s="93">
        <v>0.31</v>
      </c>
      <c r="BM6" s="93">
        <v>0.6</v>
      </c>
      <c r="BN6" s="93"/>
      <c r="BO6" s="93">
        <v>0.31</v>
      </c>
      <c r="BP6" s="93">
        <v>0.6</v>
      </c>
      <c r="BQ6" s="93"/>
      <c r="BR6" s="93">
        <v>0.31</v>
      </c>
    </row>
    <row r="7" spans="1:70" ht="14" x14ac:dyDescent="0.15">
      <c r="A7" s="85" t="s">
        <v>779</v>
      </c>
      <c r="B7" s="93">
        <v>1.26</v>
      </c>
      <c r="C7" s="93"/>
      <c r="E7" s="93">
        <v>1.26</v>
      </c>
      <c r="F7" s="93"/>
      <c r="G7" s="93"/>
      <c r="H7" s="93"/>
      <c r="I7" s="93"/>
      <c r="J7" s="93"/>
      <c r="K7" s="93"/>
      <c r="L7" s="93"/>
      <c r="N7" s="93"/>
      <c r="O7" s="93">
        <v>2</v>
      </c>
      <c r="P7" s="93"/>
      <c r="R7" s="93"/>
      <c r="S7" s="93">
        <v>2</v>
      </c>
      <c r="T7" s="93"/>
      <c r="U7" s="93"/>
      <c r="V7" s="93"/>
      <c r="W7" s="93">
        <v>1.26</v>
      </c>
      <c r="X7" s="93"/>
      <c r="Y7" s="93">
        <v>2</v>
      </c>
      <c r="Z7" s="93"/>
      <c r="AA7" s="93"/>
      <c r="AB7" s="93"/>
      <c r="AC7" s="93">
        <v>1.26</v>
      </c>
      <c r="AD7" s="93"/>
      <c r="AE7" s="93">
        <v>2</v>
      </c>
      <c r="AF7" s="93"/>
      <c r="AG7" s="93"/>
      <c r="AH7" s="93">
        <v>1.26</v>
      </c>
      <c r="AI7" s="93">
        <v>2</v>
      </c>
      <c r="AJ7" s="93"/>
      <c r="AK7" s="93">
        <v>1.26</v>
      </c>
      <c r="AL7" s="93">
        <v>2</v>
      </c>
      <c r="AM7" s="93"/>
      <c r="AN7" s="93">
        <v>1.26</v>
      </c>
      <c r="AO7" s="93">
        <v>2</v>
      </c>
      <c r="AP7" s="93"/>
      <c r="AQ7" s="93">
        <v>1.26</v>
      </c>
      <c r="AR7" s="93">
        <v>2</v>
      </c>
      <c r="AS7" s="93"/>
      <c r="AT7" s="93">
        <v>1.26</v>
      </c>
      <c r="AU7" s="93">
        <v>2</v>
      </c>
      <c r="AV7" s="93"/>
      <c r="AW7" s="93">
        <v>1.26</v>
      </c>
      <c r="AX7" s="93">
        <v>2</v>
      </c>
      <c r="AY7" s="93"/>
      <c r="AZ7" s="93">
        <v>1.26</v>
      </c>
      <c r="BA7" s="93">
        <v>2</v>
      </c>
      <c r="BB7" s="93"/>
      <c r="BC7" s="93">
        <v>1.26</v>
      </c>
      <c r="BD7" s="93">
        <v>2</v>
      </c>
      <c r="BE7" s="93"/>
      <c r="BF7" s="93">
        <v>1.26</v>
      </c>
      <c r="BG7" s="93">
        <v>2</v>
      </c>
      <c r="BH7" s="93"/>
      <c r="BI7" s="93">
        <v>1.26</v>
      </c>
      <c r="BJ7" s="93">
        <v>2</v>
      </c>
      <c r="BK7" s="93"/>
      <c r="BL7" s="93">
        <v>1.26</v>
      </c>
      <c r="BM7" s="93">
        <v>2</v>
      </c>
      <c r="BN7" s="93"/>
      <c r="BO7" s="93">
        <v>1.26</v>
      </c>
      <c r="BP7" s="93">
        <v>2</v>
      </c>
      <c r="BQ7" s="93"/>
      <c r="BR7" s="93">
        <v>1.26</v>
      </c>
    </row>
    <row r="8" spans="1:70" ht="14" x14ac:dyDescent="0.15">
      <c r="A8" s="85" t="s">
        <v>780</v>
      </c>
      <c r="B8" s="93">
        <v>1.1200000000000001</v>
      </c>
      <c r="C8" s="93"/>
      <c r="E8" s="93">
        <v>2.62</v>
      </c>
      <c r="F8" s="93"/>
      <c r="G8" s="93"/>
      <c r="H8" s="93"/>
      <c r="I8" s="93"/>
      <c r="J8" s="93"/>
      <c r="K8" s="93"/>
      <c r="L8" s="93"/>
      <c r="N8" s="93"/>
      <c r="O8" s="93">
        <v>0</v>
      </c>
      <c r="P8" s="93"/>
      <c r="R8" s="93"/>
      <c r="S8" s="93">
        <v>0</v>
      </c>
      <c r="T8" s="93"/>
      <c r="U8" s="93"/>
      <c r="V8" s="93"/>
      <c r="W8" s="93">
        <v>1.5</v>
      </c>
      <c r="X8" s="93"/>
      <c r="Y8" s="93">
        <v>0</v>
      </c>
      <c r="Z8" s="93"/>
      <c r="AA8" s="93"/>
      <c r="AB8" s="93"/>
      <c r="AC8" s="93">
        <v>1.5</v>
      </c>
      <c r="AD8" s="93"/>
      <c r="AE8" s="93">
        <v>0</v>
      </c>
      <c r="AF8" s="93"/>
      <c r="AG8" s="93"/>
      <c r="AH8" s="93">
        <v>1.5</v>
      </c>
      <c r="AI8" s="93">
        <v>0</v>
      </c>
      <c r="AJ8" s="93"/>
      <c r="AK8" s="93">
        <v>1.5</v>
      </c>
      <c r="AL8" s="93">
        <v>0</v>
      </c>
      <c r="AM8" s="93"/>
      <c r="AN8" s="93">
        <v>1.5</v>
      </c>
      <c r="AO8" s="93">
        <v>0</v>
      </c>
      <c r="AP8" s="93"/>
      <c r="AQ8" s="93">
        <v>1.5</v>
      </c>
      <c r="AR8" s="93">
        <v>0</v>
      </c>
      <c r="AS8" s="93"/>
      <c r="AT8" s="93">
        <v>1.5</v>
      </c>
      <c r="AU8" s="93">
        <v>0</v>
      </c>
      <c r="AV8" s="93"/>
      <c r="AW8" s="93">
        <v>1.5</v>
      </c>
      <c r="AX8" s="93">
        <v>0</v>
      </c>
      <c r="AY8" s="93"/>
      <c r="AZ8" s="93">
        <v>1.5</v>
      </c>
      <c r="BA8" s="93">
        <v>0</v>
      </c>
      <c r="BB8" s="93"/>
      <c r="BC8" s="93">
        <v>1.5</v>
      </c>
      <c r="BD8" s="93">
        <v>0</v>
      </c>
      <c r="BE8" s="93"/>
      <c r="BF8" s="93">
        <v>1.5</v>
      </c>
      <c r="BG8" s="93">
        <v>0</v>
      </c>
      <c r="BH8" s="93"/>
      <c r="BI8" s="93">
        <v>1.5</v>
      </c>
      <c r="BJ8" s="93">
        <v>0</v>
      </c>
      <c r="BK8" s="93"/>
      <c r="BL8" s="93">
        <v>1.5</v>
      </c>
      <c r="BM8" s="93">
        <v>0</v>
      </c>
      <c r="BN8" s="93"/>
      <c r="BO8" s="93">
        <v>1.5</v>
      </c>
      <c r="BP8" s="93">
        <v>0</v>
      </c>
      <c r="BQ8" s="93"/>
      <c r="BR8" s="93">
        <v>1.5</v>
      </c>
    </row>
    <row r="9" spans="1:70" ht="28" x14ac:dyDescent="0.15">
      <c r="A9" s="85" t="s">
        <v>1059</v>
      </c>
      <c r="B9" s="93">
        <v>0.36</v>
      </c>
      <c r="C9" s="93"/>
      <c r="E9" s="93">
        <v>0.36</v>
      </c>
      <c r="F9" s="93"/>
      <c r="G9" s="93"/>
      <c r="H9" s="93"/>
      <c r="N9" s="93"/>
      <c r="O9" s="93">
        <v>0</v>
      </c>
      <c r="P9" s="93"/>
      <c r="R9" s="93"/>
      <c r="S9" s="93">
        <v>0</v>
      </c>
      <c r="T9" s="93"/>
      <c r="U9" s="93"/>
      <c r="V9" s="93"/>
      <c r="W9" s="93">
        <v>0.36</v>
      </c>
      <c r="X9" s="93"/>
      <c r="Y9" s="93">
        <v>0</v>
      </c>
      <c r="Z9" s="93"/>
      <c r="AA9" s="93"/>
      <c r="AB9" s="93"/>
      <c r="AC9" s="93">
        <v>0.36</v>
      </c>
      <c r="AD9" s="93"/>
      <c r="AE9" s="93">
        <v>0</v>
      </c>
      <c r="AF9" s="93"/>
      <c r="AG9" s="93"/>
      <c r="AH9" s="93">
        <v>0.36</v>
      </c>
      <c r="AI9" s="93">
        <v>0</v>
      </c>
      <c r="AJ9" s="93"/>
      <c r="AK9" s="93">
        <v>0.36</v>
      </c>
      <c r="AL9" s="93">
        <v>0</v>
      </c>
      <c r="AM9" s="93"/>
      <c r="AN9" s="93">
        <v>0.36</v>
      </c>
      <c r="AO9" s="93">
        <v>0</v>
      </c>
      <c r="AP9" s="93"/>
      <c r="AQ9" s="93">
        <v>0.36</v>
      </c>
      <c r="AR9" s="93">
        <v>0</v>
      </c>
      <c r="AS9" s="93"/>
      <c r="AT9" s="93">
        <v>0.36</v>
      </c>
      <c r="AU9" s="93">
        <v>0</v>
      </c>
      <c r="AV9" s="93"/>
      <c r="AW9" s="93">
        <v>0.36</v>
      </c>
      <c r="AX9" s="93">
        <v>0</v>
      </c>
      <c r="AY9" s="93"/>
      <c r="AZ9" s="93">
        <v>0.36</v>
      </c>
      <c r="BA9" s="93">
        <v>0</v>
      </c>
      <c r="BB9" s="93"/>
      <c r="BC9" s="93">
        <v>0.36</v>
      </c>
      <c r="BD9" s="93">
        <v>0</v>
      </c>
      <c r="BE9" s="93"/>
      <c r="BF9" s="93">
        <v>0.36</v>
      </c>
      <c r="BG9" s="93">
        <v>0</v>
      </c>
      <c r="BH9" s="93"/>
      <c r="BI9" s="93">
        <v>0.36</v>
      </c>
      <c r="BJ9" s="93">
        <v>0</v>
      </c>
      <c r="BK9" s="93"/>
      <c r="BL9" s="93">
        <v>0.36</v>
      </c>
      <c r="BM9" s="93">
        <v>0</v>
      </c>
      <c r="BN9" s="93"/>
      <c r="BO9" s="93">
        <v>0.36</v>
      </c>
      <c r="BP9" s="93">
        <v>0</v>
      </c>
      <c r="BQ9" s="93"/>
      <c r="BR9" s="93">
        <v>0.36</v>
      </c>
    </row>
    <row r="10" spans="1:70" ht="28" x14ac:dyDescent="0.15">
      <c r="A10" s="85" t="s">
        <v>781</v>
      </c>
      <c r="B10" s="93">
        <v>25.21</v>
      </c>
      <c r="C10" s="93"/>
      <c r="E10" s="93">
        <v>25.21</v>
      </c>
      <c r="F10" s="93"/>
      <c r="G10" s="93"/>
      <c r="H10" s="93"/>
      <c r="I10" s="93"/>
      <c r="J10" s="93"/>
      <c r="K10" s="93"/>
      <c r="L10" s="93"/>
      <c r="N10" s="93"/>
      <c r="O10" s="93">
        <v>2.5</v>
      </c>
      <c r="P10" s="93"/>
      <c r="R10" s="93"/>
      <c r="S10" s="93">
        <v>2.5</v>
      </c>
      <c r="T10" s="93"/>
      <c r="U10" s="93"/>
      <c r="V10" s="93"/>
      <c r="W10" s="93">
        <v>25.21</v>
      </c>
      <c r="X10" s="93"/>
      <c r="Y10" s="93">
        <v>2.5</v>
      </c>
      <c r="Z10" s="93"/>
      <c r="AA10" s="93"/>
      <c r="AB10" s="93"/>
      <c r="AC10" s="93">
        <v>25.21</v>
      </c>
      <c r="AD10" s="93"/>
      <c r="AE10" s="93">
        <v>2.5</v>
      </c>
      <c r="AF10" s="93"/>
      <c r="AG10" s="93"/>
      <c r="AH10" s="93">
        <v>25.21</v>
      </c>
      <c r="AI10" s="93">
        <v>2.5</v>
      </c>
      <c r="AJ10" s="93"/>
      <c r="AK10" s="93">
        <v>25.21</v>
      </c>
      <c r="AL10" s="93">
        <v>2.5</v>
      </c>
      <c r="AM10" s="93"/>
      <c r="AN10" s="93">
        <v>25.21</v>
      </c>
      <c r="AO10" s="93">
        <v>2.5</v>
      </c>
      <c r="AP10" s="93"/>
      <c r="AQ10" s="93">
        <v>25.21</v>
      </c>
      <c r="AR10" s="93">
        <v>2.5</v>
      </c>
      <c r="AS10" s="93"/>
      <c r="AT10" s="93">
        <v>25.21</v>
      </c>
      <c r="AU10" s="93">
        <v>2.5</v>
      </c>
      <c r="AV10" s="93"/>
      <c r="AW10" s="93">
        <v>25.21</v>
      </c>
      <c r="AX10" s="93">
        <v>2.5</v>
      </c>
      <c r="AY10" s="93"/>
      <c r="AZ10" s="93">
        <v>25.21</v>
      </c>
      <c r="BA10" s="93">
        <v>2.5</v>
      </c>
      <c r="BB10" s="93"/>
      <c r="BC10" s="93">
        <v>25.21</v>
      </c>
      <c r="BD10" s="93">
        <v>2.5</v>
      </c>
      <c r="BE10" s="93"/>
      <c r="BF10" s="93">
        <v>25.21</v>
      </c>
      <c r="BG10" s="93">
        <v>2.5</v>
      </c>
      <c r="BH10" s="93"/>
      <c r="BI10" s="93">
        <v>25.21</v>
      </c>
      <c r="BJ10" s="93">
        <v>2.5</v>
      </c>
      <c r="BK10" s="93"/>
      <c r="BL10" s="93">
        <v>25.21</v>
      </c>
      <c r="BM10" s="93">
        <v>2.5</v>
      </c>
      <c r="BN10" s="93"/>
      <c r="BO10" s="93">
        <v>25.21</v>
      </c>
      <c r="BP10" s="93">
        <v>2.5</v>
      </c>
      <c r="BQ10" s="93"/>
      <c r="BR10" s="93">
        <v>25.21</v>
      </c>
    </row>
    <row r="11" spans="1:70" ht="14" x14ac:dyDescent="0.15">
      <c r="A11" s="85" t="s">
        <v>782</v>
      </c>
      <c r="B11" s="93">
        <v>21.68</v>
      </c>
      <c r="C11" s="93"/>
      <c r="E11" s="93">
        <v>20.99</v>
      </c>
      <c r="F11" s="93"/>
      <c r="G11" s="93"/>
      <c r="H11" s="93"/>
      <c r="I11" s="93"/>
      <c r="J11" s="93"/>
      <c r="K11" s="93"/>
      <c r="L11" s="93"/>
      <c r="N11" s="93"/>
      <c r="O11" s="93">
        <v>2.5</v>
      </c>
      <c r="P11" s="93"/>
      <c r="R11" s="93"/>
      <c r="S11" s="93">
        <v>2.5</v>
      </c>
      <c r="T11" s="93"/>
      <c r="U11" s="93"/>
      <c r="V11" s="93"/>
      <c r="W11" s="93">
        <v>21.42</v>
      </c>
      <c r="X11" s="93"/>
      <c r="Y11" s="93">
        <v>2.5</v>
      </c>
      <c r="Z11" s="93"/>
      <c r="AA11" s="93"/>
      <c r="AB11" s="93"/>
      <c r="AC11" s="93">
        <v>21.42</v>
      </c>
      <c r="AD11" s="93"/>
      <c r="AE11" s="93">
        <v>2.5</v>
      </c>
      <c r="AF11" s="93"/>
      <c r="AG11" s="93"/>
      <c r="AH11" s="93">
        <v>21.42</v>
      </c>
      <c r="AI11" s="93">
        <v>2.5</v>
      </c>
      <c r="AJ11" s="93"/>
      <c r="AK11" s="93">
        <v>21.42</v>
      </c>
      <c r="AL11" s="93">
        <v>2.5</v>
      </c>
      <c r="AM11" s="93"/>
      <c r="AN11" s="93">
        <v>21.42</v>
      </c>
      <c r="AO11" s="93">
        <v>2.5</v>
      </c>
      <c r="AP11" s="93"/>
      <c r="AQ11" s="93">
        <v>21.42</v>
      </c>
      <c r="AR11" s="93">
        <v>2.5</v>
      </c>
      <c r="AS11" s="93"/>
      <c r="AT11" s="93">
        <v>21.42</v>
      </c>
      <c r="AU11" s="93">
        <v>2.5</v>
      </c>
      <c r="AV11" s="93"/>
      <c r="AW11" s="93">
        <v>21.42</v>
      </c>
      <c r="AX11" s="93">
        <v>2.5</v>
      </c>
      <c r="AY11" s="93"/>
      <c r="AZ11" s="93">
        <v>21.42</v>
      </c>
      <c r="BA11" s="93">
        <v>2.5</v>
      </c>
      <c r="BB11" s="93"/>
      <c r="BC11" s="93">
        <v>21.42</v>
      </c>
      <c r="BD11" s="93">
        <v>2.5</v>
      </c>
      <c r="BE11" s="93"/>
      <c r="BF11" s="93">
        <v>21.42</v>
      </c>
      <c r="BG11" s="93">
        <v>2.5</v>
      </c>
      <c r="BH11" s="93"/>
      <c r="BI11" s="93">
        <v>21.42</v>
      </c>
      <c r="BJ11" s="93">
        <v>2.5</v>
      </c>
      <c r="BK11" s="93"/>
      <c r="BL11" s="93">
        <v>21.42</v>
      </c>
      <c r="BM11" s="93">
        <v>2.5</v>
      </c>
      <c r="BN11" s="93"/>
      <c r="BO11" s="93">
        <v>21.42</v>
      </c>
      <c r="BP11" s="93">
        <v>2.5</v>
      </c>
      <c r="BQ11" s="93"/>
      <c r="BR11" s="93">
        <v>21.42</v>
      </c>
    </row>
    <row r="12" spans="1:70" ht="14" x14ac:dyDescent="0.15">
      <c r="A12" s="85" t="s">
        <v>783</v>
      </c>
      <c r="B12" s="93">
        <v>0.11</v>
      </c>
      <c r="C12" s="93"/>
      <c r="E12" s="93">
        <v>0.11</v>
      </c>
      <c r="F12" s="93"/>
      <c r="G12" s="93"/>
      <c r="H12" s="93"/>
      <c r="I12" s="93"/>
      <c r="J12" s="93"/>
      <c r="K12" s="93"/>
      <c r="L12" s="93"/>
      <c r="N12" s="93"/>
      <c r="O12" s="93">
        <v>2.5</v>
      </c>
      <c r="P12" s="93"/>
      <c r="R12" s="93"/>
      <c r="S12" s="93">
        <v>2.5</v>
      </c>
      <c r="T12" s="93"/>
      <c r="U12" s="93"/>
      <c r="V12" s="93"/>
      <c r="W12" s="93">
        <v>0.11</v>
      </c>
      <c r="X12" s="93"/>
      <c r="Y12" s="93">
        <v>2.5</v>
      </c>
      <c r="Z12" s="93"/>
      <c r="AA12" s="93"/>
      <c r="AB12" s="93"/>
      <c r="AC12" s="93">
        <v>0.11</v>
      </c>
      <c r="AD12" s="93"/>
      <c r="AE12" s="93">
        <v>2.5</v>
      </c>
      <c r="AF12" s="93"/>
      <c r="AG12" s="93"/>
      <c r="AH12" s="93">
        <v>0.11</v>
      </c>
      <c r="AI12" s="93">
        <v>2.5</v>
      </c>
      <c r="AJ12" s="93"/>
      <c r="AK12" s="93">
        <v>0.11</v>
      </c>
      <c r="AL12" s="93">
        <v>2.5</v>
      </c>
      <c r="AM12" s="93"/>
      <c r="AN12" s="93">
        <v>0.11</v>
      </c>
      <c r="AO12" s="93">
        <v>2.5</v>
      </c>
      <c r="AP12" s="93"/>
      <c r="AQ12" s="93">
        <v>0.11</v>
      </c>
      <c r="AR12" s="93">
        <v>2.5</v>
      </c>
      <c r="AS12" s="93"/>
      <c r="AT12" s="93">
        <v>0.11</v>
      </c>
      <c r="AU12" s="93">
        <v>2.5</v>
      </c>
      <c r="AV12" s="93"/>
      <c r="AW12" s="93">
        <v>0.11</v>
      </c>
      <c r="AX12" s="93">
        <v>2.5</v>
      </c>
      <c r="AY12" s="93"/>
      <c r="AZ12" s="93">
        <v>0.11</v>
      </c>
      <c r="BA12" s="93">
        <v>2.5</v>
      </c>
      <c r="BB12" s="93"/>
      <c r="BC12" s="93">
        <v>0.11</v>
      </c>
      <c r="BD12" s="93">
        <v>2.5</v>
      </c>
      <c r="BE12" s="93"/>
      <c r="BF12" s="93">
        <v>0.11</v>
      </c>
      <c r="BG12" s="93">
        <v>2.5</v>
      </c>
      <c r="BH12" s="93"/>
      <c r="BI12" s="93">
        <v>0.11</v>
      </c>
      <c r="BJ12" s="93">
        <v>2.5</v>
      </c>
      <c r="BK12" s="93"/>
      <c r="BL12" s="93">
        <v>0.11</v>
      </c>
      <c r="BM12" s="93">
        <v>2.5</v>
      </c>
      <c r="BN12" s="93"/>
      <c r="BO12" s="93">
        <v>0.11</v>
      </c>
      <c r="BP12" s="93">
        <v>2.5</v>
      </c>
      <c r="BQ12" s="93"/>
      <c r="BR12" s="93">
        <v>0.11</v>
      </c>
    </row>
    <row r="13" spans="1:70" ht="14" x14ac:dyDescent="0.15">
      <c r="A13" s="85" t="s">
        <v>784</v>
      </c>
      <c r="B13" s="93">
        <v>4.79</v>
      </c>
      <c r="C13" s="93"/>
      <c r="E13" s="93">
        <v>7.78</v>
      </c>
      <c r="F13" s="93"/>
      <c r="G13" s="93"/>
      <c r="H13" s="93"/>
      <c r="I13" s="93"/>
      <c r="J13" s="93"/>
      <c r="K13" s="93"/>
      <c r="L13" s="93"/>
      <c r="N13" s="93"/>
      <c r="O13" s="93">
        <v>2.5</v>
      </c>
      <c r="P13" s="93"/>
      <c r="R13" s="93"/>
      <c r="S13" s="93">
        <v>2.5</v>
      </c>
      <c r="T13" s="93"/>
      <c r="U13" s="93"/>
      <c r="V13" s="93"/>
      <c r="W13" s="93">
        <v>5.8</v>
      </c>
      <c r="X13" s="93"/>
      <c r="Y13" s="93">
        <v>2.5</v>
      </c>
      <c r="Z13" s="93"/>
      <c r="AA13" s="93"/>
      <c r="AB13" s="93"/>
      <c r="AC13" s="93">
        <v>5.8</v>
      </c>
      <c r="AD13" s="93"/>
      <c r="AE13" s="93">
        <v>2.5</v>
      </c>
      <c r="AF13" s="93"/>
      <c r="AG13" s="93"/>
      <c r="AH13" s="93">
        <v>5.8</v>
      </c>
      <c r="AI13" s="93">
        <v>2.5</v>
      </c>
      <c r="AJ13" s="93"/>
      <c r="AK13" s="93">
        <v>5.8</v>
      </c>
      <c r="AL13" s="93">
        <v>2.5</v>
      </c>
      <c r="AM13" s="93"/>
      <c r="AN13" s="93">
        <v>5.8</v>
      </c>
      <c r="AO13" s="93">
        <v>2.5</v>
      </c>
      <c r="AP13" s="93"/>
      <c r="AQ13" s="93">
        <v>5.8</v>
      </c>
      <c r="AR13" s="93">
        <v>2.5</v>
      </c>
      <c r="AS13" s="93"/>
      <c r="AT13" s="93">
        <v>5.8</v>
      </c>
      <c r="AU13" s="93">
        <v>2.5</v>
      </c>
      <c r="AV13" s="93"/>
      <c r="AW13" s="93">
        <v>5.8</v>
      </c>
      <c r="AX13" s="93">
        <v>2.5</v>
      </c>
      <c r="AY13" s="93"/>
      <c r="AZ13" s="93">
        <v>5.8</v>
      </c>
      <c r="BA13" s="93">
        <v>2.5</v>
      </c>
      <c r="BB13" s="93"/>
      <c r="BC13" s="93">
        <v>5.8</v>
      </c>
      <c r="BD13" s="93">
        <v>2.5</v>
      </c>
      <c r="BE13" s="93"/>
      <c r="BF13" s="93">
        <v>5.8</v>
      </c>
      <c r="BG13" s="93">
        <v>2.5</v>
      </c>
      <c r="BH13" s="93"/>
      <c r="BI13" s="93">
        <v>5.8</v>
      </c>
      <c r="BJ13" s="93">
        <v>2.5</v>
      </c>
      <c r="BK13" s="93"/>
      <c r="BL13" s="93">
        <v>5.8</v>
      </c>
      <c r="BM13" s="93">
        <v>2.5</v>
      </c>
      <c r="BN13" s="93"/>
      <c r="BO13" s="93">
        <v>5.8</v>
      </c>
      <c r="BP13" s="93">
        <v>2.5</v>
      </c>
      <c r="BQ13" s="93"/>
      <c r="BR13" s="93">
        <v>5.8</v>
      </c>
    </row>
    <row r="14" spans="1:70" ht="13" customHeight="1" x14ac:dyDescent="0.15">
      <c r="A14" s="85" t="s">
        <v>785</v>
      </c>
      <c r="B14" s="93">
        <v>1.7</v>
      </c>
      <c r="C14" s="93"/>
      <c r="E14" s="93">
        <v>1.7</v>
      </c>
      <c r="F14" s="93"/>
      <c r="G14" s="93"/>
      <c r="H14" s="93"/>
      <c r="I14" s="93"/>
      <c r="J14" s="93"/>
      <c r="K14" s="93"/>
      <c r="L14" s="93"/>
      <c r="N14" s="93"/>
      <c r="O14" s="93">
        <v>2.5</v>
      </c>
      <c r="P14" s="93"/>
      <c r="R14" s="93"/>
      <c r="S14" s="93">
        <v>2.5</v>
      </c>
      <c r="T14" s="93"/>
      <c r="U14" s="93"/>
      <c r="V14" s="93"/>
      <c r="W14" s="93">
        <v>1.7</v>
      </c>
      <c r="X14" s="93"/>
      <c r="Y14" s="93">
        <v>2.5</v>
      </c>
      <c r="Z14" s="93"/>
      <c r="AA14" s="93"/>
      <c r="AB14" s="93"/>
      <c r="AC14" s="93">
        <v>1.7</v>
      </c>
      <c r="AD14" s="93"/>
      <c r="AE14" s="93">
        <v>2.5</v>
      </c>
      <c r="AF14" s="93"/>
      <c r="AG14" s="93"/>
      <c r="AH14" s="93">
        <v>1.7</v>
      </c>
      <c r="AI14" s="93">
        <v>2.5</v>
      </c>
      <c r="AJ14" s="93"/>
      <c r="AK14" s="93">
        <v>1.7</v>
      </c>
      <c r="AL14" s="93">
        <v>2.5</v>
      </c>
      <c r="AM14" s="93"/>
      <c r="AN14" s="93">
        <v>1.7</v>
      </c>
      <c r="AO14" s="93">
        <v>2.5</v>
      </c>
      <c r="AP14" s="93"/>
      <c r="AQ14" s="93">
        <v>1.7</v>
      </c>
      <c r="AR14" s="93">
        <v>2.5</v>
      </c>
      <c r="AS14" s="93"/>
      <c r="AT14" s="93">
        <v>1.7</v>
      </c>
      <c r="AU14" s="93">
        <v>2.5</v>
      </c>
      <c r="AV14" s="93"/>
      <c r="AW14" s="93">
        <v>1.7</v>
      </c>
      <c r="AX14" s="93">
        <v>2.5</v>
      </c>
      <c r="AY14" s="93"/>
      <c r="AZ14" s="93">
        <v>1.7</v>
      </c>
      <c r="BA14" s="93">
        <v>2.5</v>
      </c>
      <c r="BB14" s="93"/>
      <c r="BC14" s="93">
        <v>1.7</v>
      </c>
      <c r="BD14" s="93">
        <v>2.5</v>
      </c>
      <c r="BE14" s="93"/>
      <c r="BF14" s="93">
        <v>1.7</v>
      </c>
      <c r="BG14" s="93">
        <v>2.5</v>
      </c>
      <c r="BH14" s="93"/>
      <c r="BI14" s="93">
        <v>1.7</v>
      </c>
      <c r="BJ14" s="93">
        <v>2.5</v>
      </c>
      <c r="BK14" s="93"/>
      <c r="BL14" s="93">
        <v>1.7</v>
      </c>
      <c r="BM14" s="93">
        <v>2.5</v>
      </c>
      <c r="BN14" s="93"/>
      <c r="BO14" s="93">
        <v>1.7</v>
      </c>
      <c r="BP14" s="93">
        <v>2.5</v>
      </c>
      <c r="BQ14" s="93"/>
      <c r="BR14" s="93">
        <v>1.7</v>
      </c>
    </row>
    <row r="15" spans="1:70" ht="28" x14ac:dyDescent="0.15">
      <c r="A15" s="85" t="s">
        <v>786</v>
      </c>
      <c r="B15" s="93"/>
      <c r="C15" s="93"/>
      <c r="E15" s="93"/>
      <c r="F15" s="93"/>
      <c r="G15" s="93"/>
      <c r="H15" s="93"/>
      <c r="I15" s="10">
        <v>1.84</v>
      </c>
      <c r="K15" s="93"/>
      <c r="L15" s="93"/>
      <c r="O15" s="10">
        <v>2.5</v>
      </c>
      <c r="R15" s="93"/>
      <c r="S15" s="10">
        <v>2.5</v>
      </c>
      <c r="T15" s="10"/>
      <c r="U15" s="10"/>
      <c r="V15" s="10"/>
      <c r="W15" s="93">
        <v>1.84</v>
      </c>
      <c r="X15" s="93"/>
      <c r="Y15" s="10">
        <v>2.5</v>
      </c>
      <c r="Z15" s="10"/>
      <c r="AA15" s="10"/>
      <c r="AB15" s="10"/>
      <c r="AC15" s="93">
        <v>1.84</v>
      </c>
      <c r="AD15" s="93"/>
      <c r="AE15" s="10">
        <v>2.5</v>
      </c>
      <c r="AF15" s="10"/>
      <c r="AG15" s="10"/>
      <c r="AH15" s="93">
        <v>1.84</v>
      </c>
      <c r="AI15" s="10">
        <v>2.5</v>
      </c>
      <c r="AJ15" s="10"/>
      <c r="AK15" s="93">
        <v>1.84</v>
      </c>
      <c r="AL15" s="10">
        <v>2.5</v>
      </c>
      <c r="AM15" s="10"/>
      <c r="AN15" s="93">
        <v>1.84</v>
      </c>
      <c r="AO15" s="10">
        <v>2.5</v>
      </c>
      <c r="AP15" s="10"/>
      <c r="AQ15" s="93">
        <v>1.84</v>
      </c>
      <c r="AR15" s="10">
        <v>2.5</v>
      </c>
      <c r="AS15" s="10"/>
      <c r="AT15" s="93">
        <v>1.84</v>
      </c>
      <c r="AU15" s="10">
        <v>2.5</v>
      </c>
      <c r="AV15" s="10"/>
      <c r="AW15" s="93">
        <v>1.84</v>
      </c>
      <c r="AX15" s="10">
        <v>2.5</v>
      </c>
      <c r="AY15" s="10"/>
      <c r="AZ15" s="93">
        <v>1.84</v>
      </c>
      <c r="BA15" s="10">
        <v>2.5</v>
      </c>
      <c r="BB15" s="10"/>
      <c r="BC15" s="93">
        <v>1.84</v>
      </c>
      <c r="BD15" s="10">
        <v>2.5</v>
      </c>
      <c r="BE15" s="10"/>
      <c r="BF15" s="93">
        <v>1.84</v>
      </c>
      <c r="BG15" s="10">
        <v>2.5</v>
      </c>
      <c r="BH15" s="10"/>
      <c r="BI15" s="93">
        <v>1.84</v>
      </c>
      <c r="BJ15" s="10">
        <v>2.5</v>
      </c>
      <c r="BK15" s="10"/>
      <c r="BL15" s="93">
        <v>1.84</v>
      </c>
      <c r="BM15" s="10">
        <v>2.5</v>
      </c>
      <c r="BN15" s="10"/>
      <c r="BO15" s="93">
        <v>1.84</v>
      </c>
      <c r="BP15" s="10">
        <v>2.5</v>
      </c>
      <c r="BQ15" s="10"/>
      <c r="BR15" s="93">
        <v>1.84</v>
      </c>
    </row>
    <row r="16" spans="1:70" ht="14" x14ac:dyDescent="0.15">
      <c r="A16" s="85" t="s">
        <v>1060</v>
      </c>
      <c r="S16" s="10"/>
      <c r="T16" s="10"/>
      <c r="U16" s="10"/>
      <c r="V16" s="10"/>
      <c r="Y16" s="10"/>
      <c r="Z16" s="10"/>
      <c r="AA16" s="10"/>
      <c r="AB16" s="10"/>
      <c r="AE16" s="10"/>
      <c r="AF16" s="10"/>
      <c r="AG16" s="10"/>
      <c r="AI16" s="10"/>
      <c r="AJ16" s="10"/>
      <c r="AL16" s="10"/>
      <c r="AM16" s="10"/>
      <c r="AO16" s="10"/>
      <c r="AP16" s="10"/>
      <c r="AR16" s="10"/>
      <c r="AS16" s="10"/>
      <c r="AU16" s="10"/>
      <c r="AV16" s="10"/>
      <c r="AX16" s="10"/>
      <c r="AY16" s="10"/>
      <c r="BA16" s="10"/>
      <c r="BB16" s="10"/>
      <c r="BE16" s="10"/>
      <c r="BG16" s="10"/>
      <c r="BH16" s="10"/>
      <c r="BJ16" s="10"/>
      <c r="BK16" s="10"/>
      <c r="BM16" s="10"/>
      <c r="BN16" s="10"/>
      <c r="BP16" s="10"/>
      <c r="BQ16" s="10"/>
    </row>
    <row r="17" spans="1:70" ht="14" x14ac:dyDescent="0.15">
      <c r="A17" s="85" t="s">
        <v>1061</v>
      </c>
      <c r="S17" s="10"/>
      <c r="T17" s="10"/>
      <c r="U17" s="10"/>
      <c r="V17" s="10"/>
      <c r="Y17" s="10"/>
      <c r="Z17" s="10"/>
      <c r="AA17" s="10"/>
      <c r="AB17" s="10"/>
      <c r="AE17" s="10"/>
      <c r="AF17" s="10"/>
      <c r="AG17" s="10"/>
      <c r="AI17" s="10"/>
      <c r="AJ17" s="10"/>
      <c r="AL17" s="10"/>
      <c r="AM17" s="10"/>
      <c r="AO17" s="10"/>
      <c r="AP17" s="10"/>
      <c r="AR17" s="10"/>
      <c r="AS17" s="10"/>
      <c r="AU17" s="10"/>
      <c r="AV17" s="10"/>
      <c r="AX17" s="10"/>
      <c r="AY17" s="10"/>
      <c r="BA17" s="10"/>
      <c r="BB17" s="10"/>
      <c r="BE17" s="10"/>
      <c r="BG17" s="10"/>
      <c r="BH17" s="10"/>
      <c r="BJ17" s="10"/>
      <c r="BK17" s="10"/>
      <c r="BM17" s="10"/>
      <c r="BN17" s="10"/>
      <c r="BP17" s="10"/>
      <c r="BQ17" s="10"/>
    </row>
    <row r="18" spans="1:70" ht="14" x14ac:dyDescent="0.15">
      <c r="A18" s="85" t="s">
        <v>1057</v>
      </c>
      <c r="O18" s="96">
        <f>((I21*O4+K21*O5+M21*O6+O21*O7)/(I21+K21+M21+O21+Q21+I21-S21)*AH21+AE21*O15)/(AH21+AE21)</f>
        <v>1.6514547971046853</v>
      </c>
      <c r="P18" s="96"/>
      <c r="U18" s="96">
        <f>((I22*U4+W5*U5+W6*U6+W7*U7)/(I22+W5+W6+W7+W8+I22-W9)*AH22+W15*O18)/(AH22+W15)</f>
        <v>1.026070239272254</v>
      </c>
      <c r="V18" s="96"/>
    </row>
    <row r="19" spans="1:70" x14ac:dyDescent="0.15">
      <c r="A19" s="85"/>
      <c r="E19" s="10">
        <v>9.8000000000000007</v>
      </c>
      <c r="G19" s="10">
        <v>11.7</v>
      </c>
      <c r="H19" s="10">
        <v>1.36</v>
      </c>
      <c r="AC19" s="17"/>
      <c r="AD19" s="17"/>
      <c r="AH19" s="10"/>
      <c r="AI19" s="10" t="s">
        <v>942</v>
      </c>
      <c r="AK19" s="17"/>
      <c r="AQ19" s="17"/>
      <c r="AW19" s="17"/>
      <c r="AZ19" s="17"/>
      <c r="BF19" s="17"/>
      <c r="BI19" s="17"/>
      <c r="BL19" s="17"/>
      <c r="BO19" s="17"/>
      <c r="BR19" s="17"/>
    </row>
    <row r="20" spans="1:70" ht="26" customHeight="1" x14ac:dyDescent="0.15">
      <c r="A20" s="85" t="s">
        <v>946</v>
      </c>
      <c r="B20" s="10" t="s">
        <v>1058</v>
      </c>
      <c r="D20" s="97" t="s">
        <v>1056</v>
      </c>
      <c r="E20" s="97" t="s">
        <v>1426</v>
      </c>
      <c r="F20" s="97"/>
      <c r="G20" s="97" t="s">
        <v>1427</v>
      </c>
      <c r="H20" s="97" t="s">
        <v>1428</v>
      </c>
      <c r="I20" s="85" t="s">
        <v>1208</v>
      </c>
      <c r="J20" s="85" t="s">
        <v>1206</v>
      </c>
      <c r="K20" s="85" t="s">
        <v>919</v>
      </c>
      <c r="L20" s="85" t="s">
        <v>1206</v>
      </c>
      <c r="M20" s="85" t="s">
        <v>947</v>
      </c>
      <c r="N20" s="85" t="s">
        <v>1206</v>
      </c>
      <c r="O20" s="85" t="s">
        <v>779</v>
      </c>
      <c r="P20" s="85" t="s">
        <v>1206</v>
      </c>
      <c r="Q20" s="85" t="s">
        <v>780</v>
      </c>
      <c r="R20" s="85" t="s">
        <v>1206</v>
      </c>
      <c r="S20" s="85" t="s">
        <v>948</v>
      </c>
      <c r="T20" s="85" t="s">
        <v>1206</v>
      </c>
      <c r="U20" s="85" t="s">
        <v>949</v>
      </c>
      <c r="V20" s="85" t="s">
        <v>1206</v>
      </c>
      <c r="W20" s="85" t="s">
        <v>950</v>
      </c>
      <c r="X20" s="85" t="s">
        <v>1206</v>
      </c>
      <c r="Y20" s="85" t="s">
        <v>783</v>
      </c>
      <c r="Z20" s="85" t="s">
        <v>1206</v>
      </c>
      <c r="AA20" s="85" t="s">
        <v>784</v>
      </c>
      <c r="AB20" s="85" t="s">
        <v>1206</v>
      </c>
      <c r="AC20" s="85" t="s">
        <v>785</v>
      </c>
      <c r="AD20" s="85" t="s">
        <v>1206</v>
      </c>
      <c r="AE20" s="85" t="s">
        <v>1205</v>
      </c>
      <c r="AF20" s="85" t="s">
        <v>1206</v>
      </c>
      <c r="AG20" s="85" t="s">
        <v>1060</v>
      </c>
      <c r="AH20" s="85" t="s">
        <v>1061</v>
      </c>
      <c r="AI20" s="10" t="s">
        <v>944</v>
      </c>
      <c r="AJ20" s="10" t="s">
        <v>945</v>
      </c>
    </row>
    <row r="21" spans="1:70" x14ac:dyDescent="0.15">
      <c r="A21" s="10">
        <v>2015</v>
      </c>
      <c r="B21" s="10">
        <v>1</v>
      </c>
      <c r="D21" s="10">
        <v>5</v>
      </c>
      <c r="E21" s="10">
        <f t="shared" ref="E21:E36" si="0">E$19*D21</f>
        <v>49</v>
      </c>
      <c r="I21" s="94">
        <f>'Modell During mining'!$G4/1000000</f>
        <v>1.3245119999999999</v>
      </c>
      <c r="J21" s="94">
        <f>'Modell During mining'!$D4</f>
        <v>24.426881511508714</v>
      </c>
      <c r="K21" s="93">
        <v>0.95</v>
      </c>
      <c r="L21" s="93">
        <v>0.6</v>
      </c>
      <c r="M21" s="93">
        <v>0.31</v>
      </c>
      <c r="N21" s="93">
        <v>0.6</v>
      </c>
      <c r="O21" s="93">
        <v>1.26</v>
      </c>
      <c r="P21" s="93">
        <v>2</v>
      </c>
      <c r="Q21" s="93">
        <v>1.6</v>
      </c>
      <c r="R21" s="93">
        <v>0</v>
      </c>
      <c r="S21" s="93">
        <v>0.36</v>
      </c>
      <c r="T21" s="93">
        <f>AF21</f>
        <v>2.5</v>
      </c>
      <c r="U21" s="93">
        <v>25.21</v>
      </c>
      <c r="V21" s="93">
        <v>2.5</v>
      </c>
      <c r="W21" s="93">
        <v>21.42</v>
      </c>
      <c r="X21" s="93">
        <v>2.5</v>
      </c>
      <c r="Y21" s="93">
        <v>0.11</v>
      </c>
      <c r="Z21" s="93">
        <v>2.5</v>
      </c>
      <c r="AA21" s="93">
        <v>5.8</v>
      </c>
      <c r="AB21" s="93">
        <v>2.5</v>
      </c>
      <c r="AC21" s="93">
        <v>1.7</v>
      </c>
      <c r="AD21" s="93">
        <v>2.5</v>
      </c>
      <c r="AE21" s="93">
        <v>1.84</v>
      </c>
      <c r="AF21" s="10">
        <v>2.5</v>
      </c>
      <c r="AG21" s="10">
        <f>S21+Y21+AA21+AC21</f>
        <v>7.97</v>
      </c>
      <c r="AH21" s="95">
        <f>I21+K21+M21+O21+Q21</f>
        <v>5.4445119999999996</v>
      </c>
      <c r="AI21" s="96">
        <f>((B21+E21+I21*J21+K21*L21+M21*N21+O21*P21-S21*T21)/(I21+K21+M21+O21+Q21+I21-S21)*AH21+AE21*AF21)/(AH21+AE21)</f>
        <v>10.512507605307533</v>
      </c>
      <c r="AK21" s="10"/>
    </row>
    <row r="22" spans="1:70" x14ac:dyDescent="0.15">
      <c r="A22" s="10">
        <f>A21+1</f>
        <v>2016</v>
      </c>
      <c r="B22" s="10">
        <v>1</v>
      </c>
      <c r="D22" s="10">
        <v>5.5</v>
      </c>
      <c r="E22" s="10">
        <f t="shared" si="0"/>
        <v>53.900000000000006</v>
      </c>
      <c r="I22" s="94">
        <f>'Modell During mining'!$G5/1000000</f>
        <v>1.5132608000000001</v>
      </c>
      <c r="J22" s="94">
        <f>'Modell During mining'!$D5</f>
        <v>21.489716810013995</v>
      </c>
      <c r="K22" s="93">
        <v>0.95</v>
      </c>
      <c r="L22" s="93">
        <v>0.6</v>
      </c>
      <c r="M22" s="93">
        <v>0.31</v>
      </c>
      <c r="N22" s="93">
        <v>0.6</v>
      </c>
      <c r="O22" s="93">
        <v>1.26</v>
      </c>
      <c r="P22" s="93">
        <v>2</v>
      </c>
      <c r="Q22" s="93">
        <v>1.6</v>
      </c>
      <c r="R22" s="93">
        <v>0</v>
      </c>
      <c r="S22" s="93">
        <v>0.36</v>
      </c>
      <c r="T22" s="98">
        <f>AI21</f>
        <v>10.512507605307533</v>
      </c>
      <c r="U22" s="93">
        <v>25.21</v>
      </c>
      <c r="V22" s="98">
        <f t="shared" ref="V22:V36" si="1">$AI21</f>
        <v>10.512507605307533</v>
      </c>
      <c r="W22" s="93">
        <v>21.42</v>
      </c>
      <c r="X22" s="98">
        <f t="shared" ref="X22:X36" si="2">$AI21</f>
        <v>10.512507605307533</v>
      </c>
      <c r="Y22" s="93">
        <v>0.11</v>
      </c>
      <c r="Z22" s="98">
        <f t="shared" ref="Z22:Z36" si="3">$AI21</f>
        <v>10.512507605307533</v>
      </c>
      <c r="AA22" s="93">
        <v>5.8</v>
      </c>
      <c r="AB22" s="98">
        <f>$AI21</f>
        <v>10.512507605307533</v>
      </c>
      <c r="AC22" s="93">
        <v>1.7</v>
      </c>
      <c r="AD22" s="98">
        <f t="shared" ref="AD22:AD36" si="4">$AI21</f>
        <v>10.512507605307533</v>
      </c>
      <c r="AE22" s="93">
        <v>1.84</v>
      </c>
      <c r="AF22" s="96">
        <f>AI21</f>
        <v>10.512507605307533</v>
      </c>
      <c r="AG22" s="10">
        <f t="shared" ref="AG22:AG36" si="5">S22+Y22+AA22+AC22</f>
        <v>7.97</v>
      </c>
      <c r="AH22" s="95">
        <f>I22+W5+W6+W7+W8</f>
        <v>5.5332607999999999</v>
      </c>
      <c r="AI22" s="96">
        <f>((B22+E22+I22*J22+K22*L22+M22*N22+O22*P22-S22*T22)/(I22+K22+M22+O22+Q22+I22-S22)*AH22+AE22*AF22)/(AH22+AE22)</f>
        <v>12.23397300958033</v>
      </c>
      <c r="AK22" s="96"/>
    </row>
    <row r="23" spans="1:70" x14ac:dyDescent="0.15">
      <c r="A23" s="10">
        <f t="shared" ref="A23:A36" si="6">A22+1</f>
        <v>2017</v>
      </c>
      <c r="B23" s="10">
        <v>1</v>
      </c>
      <c r="D23" s="10">
        <v>6.5</v>
      </c>
      <c r="E23" s="10">
        <f t="shared" si="0"/>
        <v>63.7</v>
      </c>
      <c r="I23" s="94">
        <f>'Modell During mining'!$G6/1000000</f>
        <v>1.7020096</v>
      </c>
      <c r="J23" s="94">
        <f>'Modell During mining'!$D6</f>
        <v>19.204001210580159</v>
      </c>
      <c r="K23" s="93">
        <v>0.95</v>
      </c>
      <c r="L23" s="93">
        <v>0.6</v>
      </c>
      <c r="M23" s="93">
        <v>0.31</v>
      </c>
      <c r="N23" s="93">
        <v>0.6</v>
      </c>
      <c r="O23" s="93">
        <v>1.26</v>
      </c>
      <c r="P23" s="93">
        <v>2</v>
      </c>
      <c r="Q23" s="93">
        <v>1.6</v>
      </c>
      <c r="R23" s="93">
        <v>0</v>
      </c>
      <c r="S23" s="93">
        <v>0.36</v>
      </c>
      <c r="T23" s="98">
        <f t="shared" ref="T23:T36" si="7">AI22</f>
        <v>12.23397300958033</v>
      </c>
      <c r="U23" s="93">
        <v>25.21</v>
      </c>
      <c r="V23" s="98">
        <f>$AI22</f>
        <v>12.23397300958033</v>
      </c>
      <c r="W23" s="93">
        <v>21.42</v>
      </c>
      <c r="X23" s="98">
        <f t="shared" si="2"/>
        <v>12.23397300958033</v>
      </c>
      <c r="Y23" s="93">
        <v>0.11</v>
      </c>
      <c r="Z23" s="98">
        <f t="shared" si="3"/>
        <v>12.23397300958033</v>
      </c>
      <c r="AA23" s="93">
        <v>5.8</v>
      </c>
      <c r="AB23" s="98">
        <f t="shared" ref="AB23:AB36" si="8">AI22</f>
        <v>12.23397300958033</v>
      </c>
      <c r="AC23" s="93">
        <v>1.7</v>
      </c>
      <c r="AD23" s="98">
        <f t="shared" si="4"/>
        <v>12.23397300958033</v>
      </c>
      <c r="AE23" s="93">
        <v>1.84</v>
      </c>
      <c r="AF23" s="96">
        <f t="shared" ref="AF23:AF36" si="9">AI22</f>
        <v>12.23397300958033</v>
      </c>
      <c r="AG23" s="10">
        <f t="shared" si="5"/>
        <v>7.97</v>
      </c>
      <c r="AH23" s="95">
        <f>I23+AC5+AC6+AC7+AC8</f>
        <v>5.7220095999999998</v>
      </c>
      <c r="AI23" s="96">
        <f t="shared" ref="AI23:AI36" si="10">((B23+E23+I23*J23+K23*L23+M23*N23+O23*P23-S23*T23)/(I23+K23+M23+O23+Q23+I23-S23)*AH23+AE23*AF23)/(AH23+AE23)</f>
        <v>13.143669012637048</v>
      </c>
      <c r="AK23" s="96"/>
    </row>
    <row r="24" spans="1:70" x14ac:dyDescent="0.15">
      <c r="A24" s="10">
        <f t="shared" si="6"/>
        <v>2018</v>
      </c>
      <c r="B24" s="10">
        <v>1</v>
      </c>
      <c r="D24" s="10">
        <v>6.8</v>
      </c>
      <c r="E24" s="10">
        <f t="shared" si="0"/>
        <v>66.64</v>
      </c>
      <c r="I24" s="94">
        <f>'Modell During mining'!$G7/1000000</f>
        <v>1.8907584000000004</v>
      </c>
      <c r="J24" s="94">
        <f>'Modell During mining'!$D7</f>
        <v>17.374638021411329</v>
      </c>
      <c r="K24" s="93">
        <v>0.95</v>
      </c>
      <c r="L24" s="93">
        <v>0.6</v>
      </c>
      <c r="M24" s="93">
        <v>0.31</v>
      </c>
      <c r="N24" s="93">
        <v>0.6</v>
      </c>
      <c r="O24" s="93">
        <v>1.26</v>
      </c>
      <c r="P24" s="93">
        <v>2</v>
      </c>
      <c r="Q24" s="93">
        <v>1.6</v>
      </c>
      <c r="R24" s="93">
        <v>0</v>
      </c>
      <c r="S24" s="93">
        <v>0.36</v>
      </c>
      <c r="T24" s="98">
        <f t="shared" si="7"/>
        <v>13.143669012637048</v>
      </c>
      <c r="U24" s="93">
        <v>25.21</v>
      </c>
      <c r="V24" s="98">
        <f t="shared" si="1"/>
        <v>13.143669012637048</v>
      </c>
      <c r="W24" s="93">
        <v>21.42</v>
      </c>
      <c r="X24" s="98">
        <f t="shared" si="2"/>
        <v>13.143669012637048</v>
      </c>
      <c r="Y24" s="93">
        <v>0.11</v>
      </c>
      <c r="Z24" s="98">
        <f t="shared" si="3"/>
        <v>13.143669012637048</v>
      </c>
      <c r="AA24" s="93">
        <v>5.8</v>
      </c>
      <c r="AB24" s="98">
        <f t="shared" si="8"/>
        <v>13.143669012637048</v>
      </c>
      <c r="AC24" s="93">
        <v>1.7</v>
      </c>
      <c r="AD24" s="98">
        <f t="shared" si="4"/>
        <v>13.143669012637048</v>
      </c>
      <c r="AE24" s="93">
        <v>1.84</v>
      </c>
      <c r="AF24" s="96">
        <f t="shared" si="9"/>
        <v>13.143669012637048</v>
      </c>
      <c r="AG24" s="10">
        <f t="shared" si="5"/>
        <v>7.97</v>
      </c>
      <c r="AH24" s="95">
        <f>I24+AH5+AH6+AH7+AH8</f>
        <v>5.9107584000000006</v>
      </c>
      <c r="AI24" s="96">
        <f t="shared" si="10"/>
        <v>13.134802873113864</v>
      </c>
      <c r="AK24" s="96"/>
    </row>
    <row r="25" spans="1:70" x14ac:dyDescent="0.15">
      <c r="A25" s="10">
        <f t="shared" si="6"/>
        <v>2019</v>
      </c>
      <c r="B25" s="10">
        <v>1</v>
      </c>
      <c r="D25" s="10">
        <v>6.8</v>
      </c>
      <c r="E25" s="10">
        <f t="shared" si="0"/>
        <v>66.64</v>
      </c>
      <c r="I25" s="94">
        <f>'Modell During mining'!$G8/1000000</f>
        <v>2.0795072000000006</v>
      </c>
      <c r="J25" s="94">
        <f>'Modell During mining'!$D8</f>
        <v>15.877363229647225</v>
      </c>
      <c r="K25" s="93">
        <v>0.95</v>
      </c>
      <c r="L25" s="93">
        <v>0.6</v>
      </c>
      <c r="M25" s="93">
        <v>0.31</v>
      </c>
      <c r="N25" s="93">
        <v>0.6</v>
      </c>
      <c r="O25" s="93">
        <v>1.26</v>
      </c>
      <c r="P25" s="93">
        <v>2</v>
      </c>
      <c r="Q25" s="93">
        <v>1.6</v>
      </c>
      <c r="R25" s="93">
        <v>0</v>
      </c>
      <c r="S25" s="93">
        <v>0.36</v>
      </c>
      <c r="T25" s="98">
        <f t="shared" si="7"/>
        <v>13.134802873113864</v>
      </c>
      <c r="U25" s="93">
        <v>25.21</v>
      </c>
      <c r="V25" s="98">
        <f t="shared" si="1"/>
        <v>13.134802873113864</v>
      </c>
      <c r="W25" s="93">
        <v>21.42</v>
      </c>
      <c r="X25" s="98">
        <f t="shared" si="2"/>
        <v>13.134802873113864</v>
      </c>
      <c r="Y25" s="93">
        <v>0.11</v>
      </c>
      <c r="Z25" s="98">
        <f t="shared" si="3"/>
        <v>13.134802873113864</v>
      </c>
      <c r="AA25" s="93">
        <v>5.8</v>
      </c>
      <c r="AB25" s="98">
        <f t="shared" si="8"/>
        <v>13.134802873113864</v>
      </c>
      <c r="AC25" s="93">
        <v>1.7</v>
      </c>
      <c r="AD25" s="98">
        <f t="shared" si="4"/>
        <v>13.134802873113864</v>
      </c>
      <c r="AE25" s="93">
        <v>1.84</v>
      </c>
      <c r="AF25" s="96">
        <f t="shared" si="9"/>
        <v>13.134802873113864</v>
      </c>
      <c r="AG25" s="10">
        <f t="shared" si="5"/>
        <v>7.97</v>
      </c>
      <c r="AH25" s="95">
        <f>AK4+AK5+AK6+AK7+AK8</f>
        <v>6.0995072000000006</v>
      </c>
      <c r="AI25" s="96">
        <f t="shared" si="10"/>
        <v>12.66815749296536</v>
      </c>
      <c r="AK25" s="96"/>
    </row>
    <row r="26" spans="1:70" x14ac:dyDescent="0.15">
      <c r="A26" s="10">
        <f t="shared" si="6"/>
        <v>2020</v>
      </c>
      <c r="B26" s="10">
        <v>1</v>
      </c>
      <c r="D26" s="10">
        <v>6.8</v>
      </c>
      <c r="E26" s="10">
        <f t="shared" si="0"/>
        <v>66.64</v>
      </c>
      <c r="I26" s="94">
        <f>'Modell During mining'!$G9/1000000</f>
        <v>2.2682560000000005</v>
      </c>
      <c r="J26" s="94">
        <f>'Modell During mining'!$D9</f>
        <v>14.629274438242621</v>
      </c>
      <c r="K26" s="93">
        <v>0.95</v>
      </c>
      <c r="L26" s="93">
        <v>0.6</v>
      </c>
      <c r="M26" s="93">
        <v>0.31</v>
      </c>
      <c r="N26" s="93">
        <v>0.6</v>
      </c>
      <c r="O26" s="93">
        <v>1.26</v>
      </c>
      <c r="P26" s="93">
        <v>2</v>
      </c>
      <c r="Q26" s="93">
        <v>1.6</v>
      </c>
      <c r="R26" s="93">
        <v>0</v>
      </c>
      <c r="S26" s="93">
        <v>0.36</v>
      </c>
      <c r="T26" s="98">
        <f t="shared" si="7"/>
        <v>12.66815749296536</v>
      </c>
      <c r="U26" s="93">
        <v>25.21</v>
      </c>
      <c r="V26" s="98">
        <f t="shared" si="1"/>
        <v>12.66815749296536</v>
      </c>
      <c r="W26" s="93">
        <v>21.42</v>
      </c>
      <c r="X26" s="98">
        <f t="shared" si="2"/>
        <v>12.66815749296536</v>
      </c>
      <c r="Y26" s="93">
        <v>0.11</v>
      </c>
      <c r="Z26" s="98">
        <f t="shared" si="3"/>
        <v>12.66815749296536</v>
      </c>
      <c r="AA26" s="93">
        <v>5.8</v>
      </c>
      <c r="AB26" s="98">
        <f t="shared" si="8"/>
        <v>12.66815749296536</v>
      </c>
      <c r="AC26" s="93">
        <v>1.7</v>
      </c>
      <c r="AD26" s="98">
        <f t="shared" si="4"/>
        <v>12.66815749296536</v>
      </c>
      <c r="AE26" s="93">
        <v>1.84</v>
      </c>
      <c r="AF26" s="96">
        <f t="shared" si="9"/>
        <v>12.66815749296536</v>
      </c>
      <c r="AG26" s="10">
        <f t="shared" si="5"/>
        <v>7.97</v>
      </c>
      <c r="AH26" s="95">
        <f>AN4+AN5+AN6+AN7+AN8</f>
        <v>6.2882560000000005</v>
      </c>
      <c r="AI26" s="96">
        <f t="shared" si="10"/>
        <v>12.149410545710689</v>
      </c>
      <c r="AK26" s="96"/>
    </row>
    <row r="27" spans="1:70" x14ac:dyDescent="0.15">
      <c r="A27" s="10">
        <f t="shared" si="6"/>
        <v>2021</v>
      </c>
      <c r="B27" s="10">
        <v>1</v>
      </c>
      <c r="D27" s="10">
        <v>6.8</v>
      </c>
      <c r="E27" s="10">
        <f t="shared" si="0"/>
        <v>66.64</v>
      </c>
      <c r="I27" s="94">
        <f>'Modell During mining'!$G10/1000000</f>
        <v>2.4570048000000009</v>
      </c>
      <c r="J27" s="94">
        <f>'Modell During mining'!$D10</f>
        <v>13.572943726977764</v>
      </c>
      <c r="K27" s="93">
        <v>0.95</v>
      </c>
      <c r="L27" s="93">
        <v>0.6</v>
      </c>
      <c r="M27" s="93">
        <v>0.31</v>
      </c>
      <c r="N27" s="93">
        <v>0.6</v>
      </c>
      <c r="O27" s="93">
        <v>1.26</v>
      </c>
      <c r="P27" s="93">
        <v>2</v>
      </c>
      <c r="Q27" s="93">
        <v>1.6</v>
      </c>
      <c r="R27" s="93">
        <v>0</v>
      </c>
      <c r="S27" s="93">
        <v>0.36</v>
      </c>
      <c r="T27" s="98">
        <f t="shared" si="7"/>
        <v>12.149410545710689</v>
      </c>
      <c r="U27" s="93">
        <v>25.21</v>
      </c>
      <c r="V27" s="98">
        <f t="shared" si="1"/>
        <v>12.149410545710689</v>
      </c>
      <c r="W27" s="93">
        <v>21.42</v>
      </c>
      <c r="X27" s="98">
        <f t="shared" si="2"/>
        <v>12.149410545710689</v>
      </c>
      <c r="Y27" s="93">
        <v>0.11</v>
      </c>
      <c r="Z27" s="98">
        <f t="shared" si="3"/>
        <v>12.149410545710689</v>
      </c>
      <c r="AA27" s="93">
        <v>5.8</v>
      </c>
      <c r="AB27" s="98">
        <f t="shared" si="8"/>
        <v>12.149410545710689</v>
      </c>
      <c r="AC27" s="93">
        <v>1.7</v>
      </c>
      <c r="AD27" s="98">
        <f t="shared" si="4"/>
        <v>12.149410545710689</v>
      </c>
      <c r="AE27" s="93">
        <v>1.84</v>
      </c>
      <c r="AF27" s="96">
        <f t="shared" si="9"/>
        <v>12.149410545710689</v>
      </c>
      <c r="AG27" s="10">
        <f t="shared" si="5"/>
        <v>7.97</v>
      </c>
      <c r="AH27" s="95">
        <f>AQ4+AQ5+AQ6+AQ7+AQ8</f>
        <v>6.4770048000000013</v>
      </c>
      <c r="AI27" s="96">
        <f t="shared" si="10"/>
        <v>11.656230882673826</v>
      </c>
      <c r="AK27" s="96"/>
    </row>
    <row r="28" spans="1:70" x14ac:dyDescent="0.15">
      <c r="A28" s="10">
        <f t="shared" si="6"/>
        <v>2022</v>
      </c>
      <c r="B28" s="10">
        <v>1</v>
      </c>
      <c r="D28" s="10">
        <v>6.8</v>
      </c>
      <c r="E28" s="10">
        <f t="shared" si="0"/>
        <v>66.64</v>
      </c>
      <c r="I28" s="94">
        <f>'Modell During mining'!$G11/1000000</f>
        <v>2.6457536000000004</v>
      </c>
      <c r="J28" s="94">
        <f>'Modell During mining'!$D11</f>
        <v>12.667330871037299</v>
      </c>
      <c r="K28" s="93">
        <v>0.95</v>
      </c>
      <c r="L28" s="93">
        <v>0.6</v>
      </c>
      <c r="M28" s="93">
        <v>0.31</v>
      </c>
      <c r="N28" s="93">
        <v>0.6</v>
      </c>
      <c r="O28" s="93">
        <v>1.26</v>
      </c>
      <c r="P28" s="93">
        <v>2</v>
      </c>
      <c r="Q28" s="93">
        <v>1.6</v>
      </c>
      <c r="R28" s="93">
        <v>0</v>
      </c>
      <c r="S28" s="93">
        <v>0.36</v>
      </c>
      <c r="T28" s="98">
        <f t="shared" si="7"/>
        <v>11.656230882673826</v>
      </c>
      <c r="U28" s="93">
        <v>25.21</v>
      </c>
      <c r="V28" s="98">
        <f t="shared" si="1"/>
        <v>11.656230882673826</v>
      </c>
      <c r="W28" s="93">
        <v>21.42</v>
      </c>
      <c r="X28" s="98">
        <f t="shared" si="2"/>
        <v>11.656230882673826</v>
      </c>
      <c r="Y28" s="93">
        <v>0.11</v>
      </c>
      <c r="Z28" s="98">
        <f t="shared" si="3"/>
        <v>11.656230882673826</v>
      </c>
      <c r="AA28" s="93">
        <v>5.8</v>
      </c>
      <c r="AB28" s="98">
        <f t="shared" si="8"/>
        <v>11.656230882673826</v>
      </c>
      <c r="AC28" s="93">
        <v>1.7</v>
      </c>
      <c r="AD28" s="98">
        <f t="shared" si="4"/>
        <v>11.656230882673826</v>
      </c>
      <c r="AE28" s="93">
        <v>1.84</v>
      </c>
      <c r="AF28" s="96">
        <f t="shared" si="9"/>
        <v>11.656230882673826</v>
      </c>
      <c r="AG28" s="10">
        <f t="shared" si="5"/>
        <v>7.97</v>
      </c>
      <c r="AH28" s="95">
        <f>AT4+AT5+AT6+AT7+AT8</f>
        <v>6.6657536000000004</v>
      </c>
      <c r="AI28" s="96">
        <f t="shared" si="10"/>
        <v>11.199777655370287</v>
      </c>
      <c r="AK28" s="96"/>
    </row>
    <row r="29" spans="1:70" x14ac:dyDescent="0.15">
      <c r="A29" s="10">
        <f t="shared" si="6"/>
        <v>2023</v>
      </c>
      <c r="B29" s="10">
        <v>1</v>
      </c>
      <c r="D29" s="10">
        <v>6.8</v>
      </c>
      <c r="E29" s="10">
        <f t="shared" si="0"/>
        <v>66.64</v>
      </c>
      <c r="I29" s="94">
        <f>'Modell During mining'!$G12/1000000</f>
        <v>2.8345024000000008</v>
      </c>
      <c r="J29" s="94">
        <f>'Modell During mining'!$D12</f>
        <v>11.882327078488936</v>
      </c>
      <c r="K29" s="93">
        <v>0.95</v>
      </c>
      <c r="L29" s="93">
        <v>0.6</v>
      </c>
      <c r="M29" s="93">
        <v>0.31</v>
      </c>
      <c r="N29" s="93">
        <v>0.6</v>
      </c>
      <c r="O29" s="93">
        <v>1.26</v>
      </c>
      <c r="P29" s="93">
        <v>2</v>
      </c>
      <c r="Q29" s="93">
        <v>1.6</v>
      </c>
      <c r="R29" s="93">
        <v>0</v>
      </c>
      <c r="S29" s="93">
        <v>0.36</v>
      </c>
      <c r="T29" s="98">
        <f t="shared" si="7"/>
        <v>11.199777655370287</v>
      </c>
      <c r="U29" s="93">
        <v>25.21</v>
      </c>
      <c r="V29" s="98">
        <f t="shared" si="1"/>
        <v>11.199777655370287</v>
      </c>
      <c r="W29" s="93">
        <v>21.42</v>
      </c>
      <c r="X29" s="98">
        <f t="shared" si="2"/>
        <v>11.199777655370287</v>
      </c>
      <c r="Y29" s="93">
        <v>0.11</v>
      </c>
      <c r="Z29" s="98">
        <f t="shared" si="3"/>
        <v>11.199777655370287</v>
      </c>
      <c r="AA29" s="93">
        <v>5.8</v>
      </c>
      <c r="AB29" s="98">
        <f t="shared" si="8"/>
        <v>11.199777655370287</v>
      </c>
      <c r="AC29" s="93">
        <v>1.7</v>
      </c>
      <c r="AD29" s="98">
        <f t="shared" si="4"/>
        <v>11.199777655370287</v>
      </c>
      <c r="AE29" s="93">
        <v>1.84</v>
      </c>
      <c r="AF29" s="96">
        <f t="shared" si="9"/>
        <v>11.199777655370287</v>
      </c>
      <c r="AG29" s="10">
        <f t="shared" si="5"/>
        <v>7.97</v>
      </c>
      <c r="AH29" s="95">
        <f>AW4+AW5+AW6+AW7+AW8</f>
        <v>6.8545024000000003</v>
      </c>
      <c r="AI29" s="96">
        <f t="shared" si="10"/>
        <v>10.778527464661211</v>
      </c>
      <c r="AK29" s="96"/>
    </row>
    <row r="30" spans="1:70" x14ac:dyDescent="0.15">
      <c r="A30" s="10">
        <f t="shared" si="6"/>
        <v>2024</v>
      </c>
      <c r="B30" s="10">
        <v>1</v>
      </c>
      <c r="D30" s="10">
        <v>6.8</v>
      </c>
      <c r="E30" s="10">
        <f t="shared" si="0"/>
        <v>66.64</v>
      </c>
      <c r="I30" s="94">
        <f>'Modell During mining'!$G13/1000000</f>
        <v>3.0232512000000011</v>
      </c>
      <c r="J30" s="94">
        <f>'Modell During mining'!$D13</f>
        <v>11.195342612841991</v>
      </c>
      <c r="K30" s="93">
        <v>0.95</v>
      </c>
      <c r="L30" s="93">
        <v>0.6</v>
      </c>
      <c r="M30" s="93">
        <v>0.31</v>
      </c>
      <c r="N30" s="93">
        <v>0.6</v>
      </c>
      <c r="O30" s="93">
        <v>1.26</v>
      </c>
      <c r="P30" s="93">
        <v>2</v>
      </c>
      <c r="Q30" s="93">
        <v>1.6</v>
      </c>
      <c r="R30" s="93">
        <v>0</v>
      </c>
      <c r="S30" s="93">
        <v>0.36</v>
      </c>
      <c r="T30" s="98">
        <f t="shared" si="7"/>
        <v>10.778527464661211</v>
      </c>
      <c r="U30" s="93">
        <v>25.21</v>
      </c>
      <c r="V30" s="98">
        <f t="shared" si="1"/>
        <v>10.778527464661211</v>
      </c>
      <c r="W30" s="93">
        <v>21.42</v>
      </c>
      <c r="X30" s="98">
        <f t="shared" si="2"/>
        <v>10.778527464661211</v>
      </c>
      <c r="Y30" s="93">
        <v>0.11</v>
      </c>
      <c r="Z30" s="98">
        <f t="shared" si="3"/>
        <v>10.778527464661211</v>
      </c>
      <c r="AA30" s="93">
        <v>5.8</v>
      </c>
      <c r="AB30" s="98">
        <f t="shared" si="8"/>
        <v>10.778527464661211</v>
      </c>
      <c r="AC30" s="93">
        <v>1.7</v>
      </c>
      <c r="AD30" s="98">
        <f t="shared" si="4"/>
        <v>10.778527464661211</v>
      </c>
      <c r="AE30" s="93">
        <v>1.84</v>
      </c>
      <c r="AF30" s="96">
        <f t="shared" si="9"/>
        <v>10.778527464661211</v>
      </c>
      <c r="AG30" s="10">
        <f t="shared" si="5"/>
        <v>7.97</v>
      </c>
      <c r="AH30" s="95">
        <f>AZ4+AZ5+AZ6+AZ7+AZ8</f>
        <v>7.0432512000000003</v>
      </c>
      <c r="AI30" s="96">
        <f t="shared" si="10"/>
        <v>10.389018781011286</v>
      </c>
      <c r="AK30" s="96"/>
    </row>
    <row r="31" spans="1:70" x14ac:dyDescent="0.15">
      <c r="A31" s="10">
        <f t="shared" si="6"/>
        <v>2025</v>
      </c>
      <c r="B31" s="10">
        <v>1</v>
      </c>
      <c r="D31" s="10">
        <v>6.8</v>
      </c>
      <c r="E31" s="10">
        <f t="shared" si="0"/>
        <v>66.64</v>
      </c>
      <c r="I31" s="94">
        <f>'Modell During mining'!$G14/1000000</f>
        <v>3.2120000000000011</v>
      </c>
      <c r="J31" s="94">
        <f>'Modell During mining'!$D14</f>
        <v>10.589097557848534</v>
      </c>
      <c r="K31" s="93">
        <v>0.95</v>
      </c>
      <c r="L31" s="93">
        <v>0.6</v>
      </c>
      <c r="M31" s="93">
        <v>0.31</v>
      </c>
      <c r="N31" s="93">
        <v>0.6</v>
      </c>
      <c r="O31" s="93">
        <v>1.26</v>
      </c>
      <c r="P31" s="93">
        <v>2</v>
      </c>
      <c r="Q31" s="93">
        <v>1.6</v>
      </c>
      <c r="R31" s="93">
        <v>0</v>
      </c>
      <c r="S31" s="93">
        <v>0.36</v>
      </c>
      <c r="T31" s="98">
        <f t="shared" si="7"/>
        <v>10.389018781011286</v>
      </c>
      <c r="U31" s="93">
        <v>25.21</v>
      </c>
      <c r="V31" s="98">
        <f t="shared" si="1"/>
        <v>10.389018781011286</v>
      </c>
      <c r="W31" s="93">
        <v>21.42</v>
      </c>
      <c r="X31" s="98">
        <f t="shared" si="2"/>
        <v>10.389018781011286</v>
      </c>
      <c r="Y31" s="93">
        <v>0.11</v>
      </c>
      <c r="Z31" s="98">
        <f t="shared" si="3"/>
        <v>10.389018781011286</v>
      </c>
      <c r="AA31" s="93">
        <v>5.8</v>
      </c>
      <c r="AB31" s="98">
        <f t="shared" si="8"/>
        <v>10.389018781011286</v>
      </c>
      <c r="AC31" s="93">
        <v>1.7</v>
      </c>
      <c r="AD31" s="98">
        <f t="shared" si="4"/>
        <v>10.389018781011286</v>
      </c>
      <c r="AE31" s="93">
        <v>1.84</v>
      </c>
      <c r="AF31" s="96">
        <f t="shared" si="9"/>
        <v>10.389018781011286</v>
      </c>
      <c r="AG31" s="10">
        <f t="shared" si="5"/>
        <v>7.97</v>
      </c>
      <c r="AH31" s="95">
        <f>BC4+BC5+BC6+BC7+BC8</f>
        <v>7.2320000000000002</v>
      </c>
      <c r="AI31" s="96">
        <f t="shared" si="10"/>
        <v>10.027875117649861</v>
      </c>
      <c r="AK31" s="96"/>
    </row>
    <row r="32" spans="1:70" x14ac:dyDescent="0.15">
      <c r="A32" s="10">
        <f t="shared" si="6"/>
        <v>2026</v>
      </c>
      <c r="B32" s="10">
        <v>1</v>
      </c>
      <c r="D32" s="10">
        <v>6.8</v>
      </c>
      <c r="E32" s="10">
        <f t="shared" si="0"/>
        <v>66.64</v>
      </c>
      <c r="I32" s="94">
        <f>'Modell During mining'!$G15/1000000</f>
        <v>3.400748800000001</v>
      </c>
      <c r="J32" s="94">
        <f>'Modell During mining'!$D15</f>
        <v>10.050148285852018</v>
      </c>
      <c r="K32" s="93">
        <v>0.95</v>
      </c>
      <c r="L32" s="93">
        <v>0.6</v>
      </c>
      <c r="M32" s="93">
        <v>0.31</v>
      </c>
      <c r="N32" s="93">
        <v>0.6</v>
      </c>
      <c r="O32" s="93">
        <v>1.26</v>
      </c>
      <c r="P32" s="93">
        <v>2</v>
      </c>
      <c r="Q32" s="93">
        <v>1.6</v>
      </c>
      <c r="R32" s="93">
        <v>0</v>
      </c>
      <c r="S32" s="93">
        <v>0.36</v>
      </c>
      <c r="T32" s="98">
        <f t="shared" si="7"/>
        <v>10.027875117649861</v>
      </c>
      <c r="U32" s="93">
        <v>25.21</v>
      </c>
      <c r="V32" s="98">
        <f t="shared" si="1"/>
        <v>10.027875117649861</v>
      </c>
      <c r="W32" s="93">
        <v>21.42</v>
      </c>
      <c r="X32" s="98">
        <f t="shared" si="2"/>
        <v>10.027875117649861</v>
      </c>
      <c r="Y32" s="93">
        <v>0.11</v>
      </c>
      <c r="Z32" s="98">
        <f t="shared" si="3"/>
        <v>10.027875117649861</v>
      </c>
      <c r="AA32" s="93">
        <v>5.8</v>
      </c>
      <c r="AB32" s="98">
        <f t="shared" si="8"/>
        <v>10.027875117649861</v>
      </c>
      <c r="AC32" s="93">
        <v>1.7</v>
      </c>
      <c r="AD32" s="98">
        <f t="shared" si="4"/>
        <v>10.027875117649861</v>
      </c>
      <c r="AE32" s="93">
        <v>1.84</v>
      </c>
      <c r="AF32" s="96">
        <f t="shared" si="9"/>
        <v>10.027875117649861</v>
      </c>
      <c r="AG32" s="10">
        <f t="shared" si="5"/>
        <v>7.97</v>
      </c>
      <c r="AH32" s="95">
        <f>BF4+BF5+BF6+BF7+BF8</f>
        <v>7.4207488000000001</v>
      </c>
      <c r="AI32" s="96">
        <f t="shared" si="10"/>
        <v>9.6921165424036797</v>
      </c>
      <c r="AK32" s="96"/>
    </row>
    <row r="33" spans="1:37" x14ac:dyDescent="0.15">
      <c r="A33" s="10">
        <f t="shared" si="6"/>
        <v>2027</v>
      </c>
      <c r="B33" s="10">
        <v>1</v>
      </c>
      <c r="D33" s="10">
        <v>6.8</v>
      </c>
      <c r="E33" s="10">
        <f t="shared" si="0"/>
        <v>66.64</v>
      </c>
      <c r="I33" s="94">
        <f>'Modell During mining'!$G16/1000000</f>
        <v>3.5894976000000014</v>
      </c>
      <c r="J33" s="94">
        <f>'Modell During mining'!$D16</f>
        <v>9.5678788279610814</v>
      </c>
      <c r="K33" s="93">
        <v>0.95</v>
      </c>
      <c r="L33" s="93">
        <v>0.6</v>
      </c>
      <c r="M33" s="93">
        <v>0.31</v>
      </c>
      <c r="N33" s="93">
        <v>0.6</v>
      </c>
      <c r="O33" s="93">
        <v>1.26</v>
      </c>
      <c r="P33" s="93">
        <v>2</v>
      </c>
      <c r="Q33" s="93">
        <v>1.6</v>
      </c>
      <c r="R33" s="93">
        <v>0</v>
      </c>
      <c r="S33" s="93">
        <v>0.36</v>
      </c>
      <c r="T33" s="98">
        <f t="shared" si="7"/>
        <v>9.6921165424036797</v>
      </c>
      <c r="U33" s="93">
        <v>25.21</v>
      </c>
      <c r="V33" s="98">
        <f t="shared" si="1"/>
        <v>9.6921165424036797</v>
      </c>
      <c r="W33" s="93">
        <v>21.42</v>
      </c>
      <c r="X33" s="98">
        <f t="shared" si="2"/>
        <v>9.6921165424036797</v>
      </c>
      <c r="Y33" s="93">
        <v>0.11</v>
      </c>
      <c r="Z33" s="98">
        <f t="shared" si="3"/>
        <v>9.6921165424036797</v>
      </c>
      <c r="AA33" s="93">
        <v>5.8</v>
      </c>
      <c r="AB33" s="98">
        <f t="shared" si="8"/>
        <v>9.6921165424036797</v>
      </c>
      <c r="AC33" s="93">
        <v>1.7</v>
      </c>
      <c r="AD33" s="98">
        <f t="shared" si="4"/>
        <v>9.6921165424036797</v>
      </c>
      <c r="AE33" s="93">
        <v>1.84</v>
      </c>
      <c r="AF33" s="96">
        <f t="shared" si="9"/>
        <v>9.6921165424036797</v>
      </c>
      <c r="AG33" s="10">
        <f t="shared" si="5"/>
        <v>7.97</v>
      </c>
      <c r="AH33" s="95">
        <f>BI4+BI5+BI6+BI7+BI8</f>
        <v>7.609497600000001</v>
      </c>
      <c r="AI33" s="96">
        <f t="shared" si="10"/>
        <v>9.3791545436227839</v>
      </c>
      <c r="AK33" s="96"/>
    </row>
    <row r="34" spans="1:37" x14ac:dyDescent="0.15">
      <c r="A34" s="10">
        <f t="shared" si="6"/>
        <v>2028</v>
      </c>
      <c r="B34" s="10">
        <v>1</v>
      </c>
      <c r="D34" s="10">
        <v>6.8</v>
      </c>
      <c r="E34" s="10">
        <f t="shared" si="0"/>
        <v>66.64</v>
      </c>
      <c r="I34" s="94">
        <f>'Modell During mining'!$G17/1000000</f>
        <v>3.7782464000000013</v>
      </c>
      <c r="J34" s="94">
        <f>'Modell During mining'!$D17</f>
        <v>9.133794571254251</v>
      </c>
      <c r="K34" s="93">
        <v>0.95</v>
      </c>
      <c r="L34" s="93">
        <v>0.6</v>
      </c>
      <c r="M34" s="93">
        <v>0.31</v>
      </c>
      <c r="N34" s="93">
        <v>0.6</v>
      </c>
      <c r="O34" s="93">
        <v>1.26</v>
      </c>
      <c r="P34" s="93">
        <v>2</v>
      </c>
      <c r="Q34" s="93">
        <v>1.6</v>
      </c>
      <c r="R34" s="93">
        <v>0</v>
      </c>
      <c r="S34" s="93">
        <v>0.36</v>
      </c>
      <c r="T34" s="98">
        <f t="shared" si="7"/>
        <v>9.3791545436227839</v>
      </c>
      <c r="U34" s="93">
        <v>25.21</v>
      </c>
      <c r="V34" s="98">
        <f t="shared" si="1"/>
        <v>9.3791545436227839</v>
      </c>
      <c r="W34" s="93">
        <v>21.42</v>
      </c>
      <c r="X34" s="98">
        <f t="shared" si="2"/>
        <v>9.3791545436227839</v>
      </c>
      <c r="Y34" s="93">
        <v>0.11</v>
      </c>
      <c r="Z34" s="98">
        <f t="shared" si="3"/>
        <v>9.3791545436227839</v>
      </c>
      <c r="AA34" s="93">
        <v>5.8</v>
      </c>
      <c r="AB34" s="98">
        <f t="shared" si="8"/>
        <v>9.3791545436227839</v>
      </c>
      <c r="AC34" s="93">
        <v>1.7</v>
      </c>
      <c r="AD34" s="98">
        <f t="shared" si="4"/>
        <v>9.3791545436227839</v>
      </c>
      <c r="AE34" s="93">
        <v>1.84</v>
      </c>
      <c r="AF34" s="96">
        <f t="shared" si="9"/>
        <v>9.3791545436227839</v>
      </c>
      <c r="AG34" s="10">
        <f t="shared" si="5"/>
        <v>7.97</v>
      </c>
      <c r="AH34" s="95">
        <f>BL4+BL5+BL6+BL7+BL8</f>
        <v>7.7982464000000009</v>
      </c>
      <c r="AI34" s="96">
        <f t="shared" si="10"/>
        <v>9.0867391740165093</v>
      </c>
      <c r="AK34" s="96"/>
    </row>
    <row r="35" spans="1:37" x14ac:dyDescent="0.15">
      <c r="A35" s="10">
        <f t="shared" si="6"/>
        <v>2029</v>
      </c>
      <c r="B35" s="10">
        <v>1</v>
      </c>
      <c r="D35" s="10">
        <v>6.8</v>
      </c>
      <c r="E35" s="10">
        <f t="shared" si="0"/>
        <v>66.64</v>
      </c>
      <c r="I35" s="94">
        <f>'Modell During mining'!$G18/1000000</f>
        <v>3.9669952000000017</v>
      </c>
      <c r="J35" s="94">
        <f>'Modell During mining'!$D18</f>
        <v>8.7410175904182399</v>
      </c>
      <c r="K35" s="93">
        <v>0.95</v>
      </c>
      <c r="L35" s="93">
        <v>0.6</v>
      </c>
      <c r="M35" s="93">
        <v>0.31</v>
      </c>
      <c r="N35" s="93">
        <v>0.6</v>
      </c>
      <c r="O35" s="93">
        <v>1.26</v>
      </c>
      <c r="P35" s="93">
        <v>2</v>
      </c>
      <c r="Q35" s="93">
        <v>1.6</v>
      </c>
      <c r="R35" s="93">
        <v>0</v>
      </c>
      <c r="S35" s="93">
        <v>0.36</v>
      </c>
      <c r="T35" s="98">
        <f t="shared" si="7"/>
        <v>9.0867391740165093</v>
      </c>
      <c r="U35" s="93">
        <v>25.21</v>
      </c>
      <c r="V35" s="98">
        <f t="shared" si="1"/>
        <v>9.0867391740165093</v>
      </c>
      <c r="W35" s="93">
        <v>21.42</v>
      </c>
      <c r="X35" s="98">
        <f t="shared" si="2"/>
        <v>9.0867391740165093</v>
      </c>
      <c r="Y35" s="93">
        <v>0.11</v>
      </c>
      <c r="Z35" s="98">
        <f t="shared" si="3"/>
        <v>9.0867391740165093</v>
      </c>
      <c r="AA35" s="93">
        <v>5.8</v>
      </c>
      <c r="AB35" s="98">
        <f t="shared" si="8"/>
        <v>9.0867391740165093</v>
      </c>
      <c r="AC35" s="93">
        <v>1.7</v>
      </c>
      <c r="AD35" s="98">
        <f t="shared" si="4"/>
        <v>9.0867391740165093</v>
      </c>
      <c r="AE35" s="93">
        <v>1.84</v>
      </c>
      <c r="AF35" s="96">
        <f t="shared" si="9"/>
        <v>9.0867391740165093</v>
      </c>
      <c r="AG35" s="10">
        <f t="shared" si="5"/>
        <v>7.97</v>
      </c>
      <c r="AH35" s="95">
        <f>BO4+BO5+BO6+BO7+BO8</f>
        <v>7.9869952000000008</v>
      </c>
      <c r="AI35" s="96">
        <f t="shared" si="10"/>
        <v>8.8129071365707308</v>
      </c>
      <c r="AK35" s="96"/>
    </row>
    <row r="36" spans="1:37" x14ac:dyDescent="0.15">
      <c r="A36" s="10">
        <f t="shared" si="6"/>
        <v>2030</v>
      </c>
      <c r="B36" s="10">
        <v>1</v>
      </c>
      <c r="D36" s="10">
        <v>6.8</v>
      </c>
      <c r="E36" s="10">
        <f t="shared" si="0"/>
        <v>66.64</v>
      </c>
      <c r="I36" s="94">
        <f>'Modell During mining'!$G19/1000000</f>
        <v>4.1557440000000003</v>
      </c>
      <c r="J36" s="94">
        <f>'Modell During mining'!$D19</f>
        <v>8.3839195078976392</v>
      </c>
      <c r="K36" s="93">
        <v>0.95</v>
      </c>
      <c r="L36" s="93">
        <v>0.6</v>
      </c>
      <c r="M36" s="93">
        <v>0.31</v>
      </c>
      <c r="N36" s="93">
        <v>0.6</v>
      </c>
      <c r="O36" s="93">
        <v>1.26</v>
      </c>
      <c r="P36" s="93">
        <v>2</v>
      </c>
      <c r="Q36" s="93">
        <v>1.6</v>
      </c>
      <c r="R36" s="93">
        <v>0</v>
      </c>
      <c r="S36" s="93">
        <v>0.36</v>
      </c>
      <c r="T36" s="98">
        <f t="shared" si="7"/>
        <v>8.8129071365707308</v>
      </c>
      <c r="U36" s="93">
        <v>25.21</v>
      </c>
      <c r="V36" s="98">
        <f t="shared" si="1"/>
        <v>8.8129071365707308</v>
      </c>
      <c r="W36" s="93">
        <v>21.42</v>
      </c>
      <c r="X36" s="98">
        <f t="shared" si="2"/>
        <v>8.8129071365707308</v>
      </c>
      <c r="Y36" s="93">
        <v>0.11</v>
      </c>
      <c r="Z36" s="98">
        <f t="shared" si="3"/>
        <v>8.8129071365707308</v>
      </c>
      <c r="AA36" s="93">
        <v>5.8</v>
      </c>
      <c r="AB36" s="98">
        <f t="shared" si="8"/>
        <v>8.8129071365707308</v>
      </c>
      <c r="AC36" s="93">
        <v>1.7</v>
      </c>
      <c r="AD36" s="98">
        <f t="shared" si="4"/>
        <v>8.8129071365707308</v>
      </c>
      <c r="AE36" s="93">
        <v>1.84</v>
      </c>
      <c r="AF36" s="96">
        <f t="shared" si="9"/>
        <v>8.8129071365707308</v>
      </c>
      <c r="AG36" s="10">
        <f t="shared" si="5"/>
        <v>7.97</v>
      </c>
      <c r="AH36" s="95">
        <f>BR4+BR5+BR6+BR7+BR8</f>
        <v>8.1757439999999999</v>
      </c>
      <c r="AI36" s="96">
        <f t="shared" si="10"/>
        <v>8.5559378182833186</v>
      </c>
      <c r="AK36" s="96"/>
    </row>
    <row r="37" spans="1:37" x14ac:dyDescent="0.15">
      <c r="A37" s="10">
        <f>A36+0.5</f>
        <v>2030.5</v>
      </c>
      <c r="I37" s="94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8"/>
      <c r="U37" s="93"/>
      <c r="V37" s="98"/>
      <c r="W37" s="93"/>
      <c r="X37" s="98"/>
      <c r="Y37" s="93"/>
      <c r="Z37" s="98"/>
      <c r="AA37" s="93"/>
      <c r="AB37" s="98"/>
      <c r="AC37" s="93"/>
      <c r="AD37" s="98"/>
      <c r="AE37" s="93"/>
      <c r="AF37" s="96"/>
      <c r="AG37" s="10"/>
      <c r="AH37" s="95"/>
      <c r="AI37" s="96"/>
      <c r="AK37" s="96"/>
    </row>
    <row r="38" spans="1:37" x14ac:dyDescent="0.15">
      <c r="A38" s="10"/>
      <c r="I38" s="94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8"/>
      <c r="U38" s="93"/>
      <c r="V38" s="98"/>
      <c r="W38" s="93"/>
      <c r="X38" s="98"/>
      <c r="Y38" s="93"/>
      <c r="Z38" s="98"/>
      <c r="AA38" s="93"/>
      <c r="AB38" s="98"/>
      <c r="AC38" s="93"/>
      <c r="AD38" s="98"/>
      <c r="AE38" s="93"/>
      <c r="AF38" s="96"/>
      <c r="AG38" s="10"/>
      <c r="AH38" s="95"/>
      <c r="AI38" s="96"/>
      <c r="AK38" s="96"/>
    </row>
    <row r="39" spans="1:37" x14ac:dyDescent="0.15">
      <c r="A39" s="10"/>
      <c r="I39" s="94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8"/>
      <c r="U39" s="93"/>
      <c r="V39" s="98"/>
      <c r="W39" s="93"/>
      <c r="X39" s="98"/>
      <c r="Y39" s="93"/>
      <c r="Z39" s="98"/>
      <c r="AA39" s="93"/>
      <c r="AB39" s="98"/>
      <c r="AC39" s="93"/>
      <c r="AD39" s="98"/>
      <c r="AE39" s="93"/>
      <c r="AF39" s="96"/>
      <c r="AG39" s="10"/>
      <c r="AH39" s="95"/>
      <c r="AI39" s="96"/>
      <c r="AK39" s="96"/>
    </row>
    <row r="40" spans="1:37" x14ac:dyDescent="0.15">
      <c r="A40" s="10">
        <f>7/12</f>
        <v>0.58333333333333337</v>
      </c>
      <c r="S40" s="10"/>
      <c r="T40" s="10"/>
    </row>
    <row r="41" spans="1:37" x14ac:dyDescent="0.15">
      <c r="A41">
        <f>5/12</f>
        <v>0.41666666666666669</v>
      </c>
      <c r="D41" s="10" t="s">
        <v>1089</v>
      </c>
      <c r="E41" s="10">
        <v>9.8000000000000007</v>
      </c>
      <c r="F41" s="10" t="s">
        <v>1456</v>
      </c>
      <c r="G41" s="10">
        <v>11.7</v>
      </c>
      <c r="H41" s="10">
        <v>1.36</v>
      </c>
      <c r="J41" s="11" t="s">
        <v>429</v>
      </c>
      <c r="K41" s="11" t="s">
        <v>429</v>
      </c>
      <c r="L41" s="11" t="s">
        <v>429</v>
      </c>
      <c r="M41" s="11" t="s">
        <v>429</v>
      </c>
      <c r="N41" s="11" t="s">
        <v>429</v>
      </c>
      <c r="O41" s="11" t="s">
        <v>429</v>
      </c>
      <c r="P41" s="11" t="s">
        <v>429</v>
      </c>
      <c r="Q41" s="11" t="s">
        <v>429</v>
      </c>
      <c r="R41" s="11" t="s">
        <v>429</v>
      </c>
      <c r="S41" s="11" t="s">
        <v>429</v>
      </c>
      <c r="T41" s="11" t="s">
        <v>429</v>
      </c>
      <c r="U41" s="11" t="s">
        <v>429</v>
      </c>
      <c r="V41" s="11" t="s">
        <v>429</v>
      </c>
      <c r="W41" s="11" t="s">
        <v>429</v>
      </c>
      <c r="X41" s="11" t="s">
        <v>429</v>
      </c>
      <c r="Y41" s="11" t="s">
        <v>429</v>
      </c>
      <c r="Z41" s="11" t="s">
        <v>429</v>
      </c>
      <c r="AA41" s="11" t="s">
        <v>429</v>
      </c>
      <c r="AB41" s="11" t="s">
        <v>429</v>
      </c>
      <c r="AC41" s="11" t="s">
        <v>429</v>
      </c>
      <c r="AD41" s="11" t="s">
        <v>429</v>
      </c>
      <c r="AE41" s="11" t="s">
        <v>429</v>
      </c>
      <c r="AF41" s="11" t="s">
        <v>429</v>
      </c>
      <c r="AG41" s="11" t="s">
        <v>429</v>
      </c>
      <c r="AH41" s="11" t="s">
        <v>429</v>
      </c>
      <c r="AI41" t="s">
        <v>1443</v>
      </c>
      <c r="AJ41" t="s">
        <v>1444</v>
      </c>
      <c r="AK41" t="s">
        <v>1445</v>
      </c>
    </row>
    <row r="42" spans="1:37" ht="29" customHeight="1" x14ac:dyDescent="0.15">
      <c r="A42" s="85" t="s">
        <v>946</v>
      </c>
      <c r="B42" s="10" t="s">
        <v>1058</v>
      </c>
      <c r="D42" s="97" t="s">
        <v>1056</v>
      </c>
      <c r="E42" s="97" t="s">
        <v>1439</v>
      </c>
      <c r="F42" s="97" t="s">
        <v>1056</v>
      </c>
      <c r="G42" s="97" t="s">
        <v>1438</v>
      </c>
      <c r="H42" s="97" t="s">
        <v>1428</v>
      </c>
      <c r="I42" s="85" t="s">
        <v>1208</v>
      </c>
      <c r="J42" s="172" t="s">
        <v>428</v>
      </c>
      <c r="K42" s="85" t="s">
        <v>919</v>
      </c>
      <c r="L42" s="85" t="s">
        <v>1206</v>
      </c>
      <c r="M42" s="85" t="s">
        <v>947</v>
      </c>
      <c r="N42" s="85" t="s">
        <v>1206</v>
      </c>
      <c r="O42" s="85" t="s">
        <v>779</v>
      </c>
      <c r="P42" s="85" t="s">
        <v>1206</v>
      </c>
      <c r="Q42" s="85" t="s">
        <v>780</v>
      </c>
      <c r="R42" s="85" t="s">
        <v>1206</v>
      </c>
      <c r="S42" s="85" t="s">
        <v>948</v>
      </c>
      <c r="T42" s="85" t="s">
        <v>1206</v>
      </c>
      <c r="U42" s="85" t="s">
        <v>949</v>
      </c>
      <c r="V42" s="85" t="s">
        <v>1206</v>
      </c>
      <c r="W42" s="85" t="s">
        <v>950</v>
      </c>
      <c r="X42" s="85" t="s">
        <v>1206</v>
      </c>
      <c r="Y42" s="85" t="s">
        <v>783</v>
      </c>
      <c r="Z42" s="85" t="s">
        <v>1206</v>
      </c>
      <c r="AA42" s="85" t="s">
        <v>784</v>
      </c>
      <c r="AB42" s="85" t="s">
        <v>1206</v>
      </c>
      <c r="AC42" s="85" t="s">
        <v>785</v>
      </c>
      <c r="AD42" s="85" t="s">
        <v>1206</v>
      </c>
      <c r="AE42" s="85" t="s">
        <v>1205</v>
      </c>
      <c r="AF42" s="85" t="s">
        <v>1206</v>
      </c>
      <c r="AG42" s="85" t="s">
        <v>1060</v>
      </c>
      <c r="AH42" s="85" t="s">
        <v>1061</v>
      </c>
      <c r="AI42" s="97" t="s">
        <v>1440</v>
      </c>
      <c r="AJ42" s="97" t="s">
        <v>1441</v>
      </c>
      <c r="AK42" s="97" t="s">
        <v>1442</v>
      </c>
    </row>
    <row r="43" spans="1:37" x14ac:dyDescent="0.15">
      <c r="A43" s="10">
        <v>2014.5</v>
      </c>
      <c r="B43" s="10">
        <v>1</v>
      </c>
      <c r="C43" s="10">
        <v>9.8000000000000007</v>
      </c>
      <c r="D43" s="96">
        <f>5/12*7</f>
        <v>2.916666666666667</v>
      </c>
      <c r="E43" s="96">
        <f>C43*D43</f>
        <v>28.583333333333339</v>
      </c>
      <c r="F43" s="96">
        <f>D43*0.8</f>
        <v>2.3333333333333335</v>
      </c>
      <c r="G43" s="122">
        <f>(C43*0.4*D43+G$41*0.6*F43)</f>
        <v>27.813333333333333</v>
      </c>
      <c r="H43" s="122">
        <f>(C43*0.4+H$41*0.6)*D43</f>
        <v>13.813333333333336</v>
      </c>
      <c r="I43" s="94">
        <f>'Modell During mining'!$G4/1000000*A$40</f>
        <v>0.77263199999999999</v>
      </c>
      <c r="J43" s="94">
        <f>'Modell During mining'!$D4</f>
        <v>24.426881511508714</v>
      </c>
      <c r="K43" s="93">
        <v>0.95</v>
      </c>
      <c r="L43" s="93">
        <v>0.6</v>
      </c>
      <c r="M43" s="93">
        <v>0.31</v>
      </c>
      <c r="N43" s="93">
        <v>0.6</v>
      </c>
      <c r="O43" s="93">
        <v>1.26</v>
      </c>
      <c r="P43" s="93">
        <v>2</v>
      </c>
      <c r="Q43" s="93">
        <v>1.6</v>
      </c>
      <c r="R43" s="93">
        <v>0</v>
      </c>
      <c r="S43" s="93">
        <v>0.36</v>
      </c>
      <c r="T43" s="93">
        <f>AF43</f>
        <v>2.5</v>
      </c>
      <c r="U43" s="93">
        <v>25.21</v>
      </c>
      <c r="V43" s="93">
        <v>2.5</v>
      </c>
      <c r="W43" s="93">
        <v>21.42</v>
      </c>
      <c r="X43" s="93">
        <v>2.5</v>
      </c>
      <c r="Y43" s="93">
        <v>0.11</v>
      </c>
      <c r="Z43" s="93">
        <v>2.5</v>
      </c>
      <c r="AA43" s="93">
        <v>5.8</v>
      </c>
      <c r="AB43" s="93">
        <v>2.5</v>
      </c>
      <c r="AC43" s="93">
        <v>1.7</v>
      </c>
      <c r="AD43" s="93">
        <v>2.5</v>
      </c>
      <c r="AE43" s="93">
        <v>1.84</v>
      </c>
      <c r="AF43" s="10">
        <v>2.5</v>
      </c>
      <c r="AG43" s="10">
        <f t="shared" ref="AG43:AG74" si="11">S43+Y43+AA43+AC43</f>
        <v>7.97</v>
      </c>
      <c r="AH43" s="95">
        <f t="shared" ref="AH43:AH74" si="12">I43+K43+M43+O43+Q43</f>
        <v>4.8926320000000008</v>
      </c>
      <c r="AI43" s="10">
        <v>2.5</v>
      </c>
      <c r="AJ43" s="10">
        <v>2.5</v>
      </c>
      <c r="AK43" s="10">
        <v>2.5</v>
      </c>
    </row>
    <row r="44" spans="1:37" x14ac:dyDescent="0.15">
      <c r="A44" s="10">
        <v>2015</v>
      </c>
      <c r="B44" s="10">
        <v>0</v>
      </c>
      <c r="C44" s="10">
        <v>9.8000000000000007</v>
      </c>
      <c r="D44" s="96">
        <f>5/12*5</f>
        <v>2.0833333333333335</v>
      </c>
      <c r="E44" s="96">
        <f t="shared" ref="E44:E74" si="13">C44*D44</f>
        <v>20.416666666666668</v>
      </c>
      <c r="F44" s="96">
        <f t="shared" ref="F44:F74" si="14">D44*0.8</f>
        <v>1.666666666666667</v>
      </c>
      <c r="G44" s="122">
        <f t="shared" ref="G44:G74" si="15">(C44*0.4*D44+G$41*0.6*F44)</f>
        <v>19.866666666666667</v>
      </c>
      <c r="H44" s="122">
        <f>(C44*0.4+H$41*0.6)*D44</f>
        <v>9.8666666666666689</v>
      </c>
      <c r="I44" s="94">
        <f>'Modell During mining'!$G4/1000000*A$41</f>
        <v>0.55188000000000004</v>
      </c>
      <c r="J44" s="94">
        <v>1</v>
      </c>
      <c r="K44" s="93">
        <v>0</v>
      </c>
      <c r="L44" s="93">
        <v>0.6</v>
      </c>
      <c r="M44" s="93">
        <v>0</v>
      </c>
      <c r="N44" s="93">
        <v>0.6</v>
      </c>
      <c r="O44" s="93">
        <v>1.26</v>
      </c>
      <c r="P44" s="93">
        <v>0.5</v>
      </c>
      <c r="Q44" s="93">
        <v>0</v>
      </c>
      <c r="R44" s="93">
        <v>0</v>
      </c>
      <c r="S44" s="93">
        <v>0.36</v>
      </c>
      <c r="T44" s="98">
        <f>AF44</f>
        <v>7.6461471635247715</v>
      </c>
      <c r="U44" s="93">
        <v>25.21</v>
      </c>
      <c r="V44" s="93">
        <v>2.5</v>
      </c>
      <c r="W44" s="93">
        <v>21.42</v>
      </c>
      <c r="X44" s="93">
        <v>2.5</v>
      </c>
      <c r="Y44" s="93">
        <v>0.11</v>
      </c>
      <c r="Z44" s="93">
        <v>2.5</v>
      </c>
      <c r="AA44" s="93">
        <v>5.8</v>
      </c>
      <c r="AB44" s="93">
        <v>2.5</v>
      </c>
      <c r="AC44" s="93">
        <v>1.7</v>
      </c>
      <c r="AD44" s="93">
        <v>2.5</v>
      </c>
      <c r="AE44" s="93">
        <v>1.84</v>
      </c>
      <c r="AF44" s="96">
        <f t="shared" ref="AF44:AF74" si="16">AI44</f>
        <v>7.6461471635247715</v>
      </c>
      <c r="AG44" s="10">
        <f t="shared" si="11"/>
        <v>7.97</v>
      </c>
      <c r="AH44" s="95">
        <f t="shared" si="12"/>
        <v>1.8118799999999999</v>
      </c>
      <c r="AI44" s="96">
        <f>(($B43+$E43+$I43*$J43+$K43*$L43+$M43*$N43+$O43*$P43-$S43*$T43)/($I43+$K43+$M43+$O43+$Q43+$I43-$S43)*$AH43+$AE43*$AF43)/($AH43+$AE43)</f>
        <v>7.6461471635247715</v>
      </c>
      <c r="AJ44" s="96">
        <f>(($B43+$G43+$I43*$J43+$K43*$L43+$M43*$N43+$O43*$P43-$S43*$T43)/($I43+$K43+$M43+$O43+$Q43+$I43-$S43)*$AH43+$AE43*$AF43)/($AH43+$AE43)</f>
        <v>7.5406741390811094</v>
      </c>
      <c r="AK44" s="96">
        <f>(($B43+$H43+$I43*$J43+$K43*$L43+$M43*$N43+$O43*$P43-$S43*$T43)/($I43+$K43+$M43+$O43+$Q43+$I43-$S43)*$AH43+$AE43*$AF43)/($AH43+$AE43)</f>
        <v>5.622982785559981</v>
      </c>
    </row>
    <row r="45" spans="1:37" x14ac:dyDescent="0.15">
      <c r="A45" s="10">
        <v>2015.5</v>
      </c>
      <c r="B45" s="10">
        <v>1</v>
      </c>
      <c r="C45" s="10">
        <v>9.8000000000000007</v>
      </c>
      <c r="D45" s="96">
        <f>5.5/12*7</f>
        <v>3.208333333333333</v>
      </c>
      <c r="E45" s="96">
        <f t="shared" si="13"/>
        <v>31.441666666666666</v>
      </c>
      <c r="F45" s="96">
        <f t="shared" si="14"/>
        <v>2.5666666666666664</v>
      </c>
      <c r="G45" s="122">
        <f t="shared" si="15"/>
        <v>30.594666666666662</v>
      </c>
      <c r="H45" s="122">
        <f t="shared" ref="H45:H74" si="17">(C45*0.4+H$41*0.6)*D45</f>
        <v>15.194666666666667</v>
      </c>
      <c r="I45" s="94">
        <f>'Modell During mining'!$G5/1000000*A$40</f>
        <v>0.8827354666666668</v>
      </c>
      <c r="J45" s="94">
        <f>'Modell During mining'!$D5</f>
        <v>21.489716810013995</v>
      </c>
      <c r="K45" s="93">
        <v>0.95</v>
      </c>
      <c r="L45" s="93">
        <v>0.6</v>
      </c>
      <c r="M45" s="93">
        <v>0.31</v>
      </c>
      <c r="N45" s="93">
        <v>0.6</v>
      </c>
      <c r="O45" s="93">
        <v>1.26</v>
      </c>
      <c r="P45" s="93">
        <v>2</v>
      </c>
      <c r="Q45" s="93">
        <v>1.6</v>
      </c>
      <c r="R45" s="93">
        <v>0</v>
      </c>
      <c r="S45" s="93">
        <v>0.36</v>
      </c>
      <c r="T45" s="98">
        <f>AI44</f>
        <v>7.6461471635247715</v>
      </c>
      <c r="U45" s="93">
        <v>25.21</v>
      </c>
      <c r="V45" s="98">
        <f>$AI44</f>
        <v>7.6461471635247715</v>
      </c>
      <c r="W45" s="93">
        <v>21.42</v>
      </c>
      <c r="X45" s="98">
        <f>$AI44</f>
        <v>7.6461471635247715</v>
      </c>
      <c r="Y45" s="93">
        <v>0.11</v>
      </c>
      <c r="Z45" s="98">
        <f>$AI44</f>
        <v>7.6461471635247715</v>
      </c>
      <c r="AA45" s="93">
        <v>5.8</v>
      </c>
      <c r="AB45" s="98">
        <f>$AI44</f>
        <v>7.6461471635247715</v>
      </c>
      <c r="AC45" s="93">
        <v>1.7</v>
      </c>
      <c r="AD45" s="98">
        <f>$AI44</f>
        <v>7.6461471635247715</v>
      </c>
      <c r="AE45" s="93">
        <v>1.84</v>
      </c>
      <c r="AF45" s="96">
        <f t="shared" si="16"/>
        <v>8.5189432293734253</v>
      </c>
      <c r="AG45" s="10">
        <f t="shared" si="11"/>
        <v>7.97</v>
      </c>
      <c r="AH45" s="95">
        <f t="shared" si="12"/>
        <v>5.0027354666666675</v>
      </c>
      <c r="AI45" s="96">
        <f t="shared" ref="AI45:AI75" si="18">((B44+E44+I44*J44+K44*L44+M44*N44+O44*P44-S44*T44)/(I44+K44+M44+O44+Q44+I44-S44)*AH44+AE44*AF44)/(AH44+AE44)</f>
        <v>8.5189432293734253</v>
      </c>
      <c r="AJ45" s="96">
        <f t="shared" ref="AJ45:AJ75" si="19">(($B44+$G44+$I44*$J44+$K44*$L44+$M44*$N44+$O44*$P44-$S44*$T44)/($I44+$K44+$M44+$O44+$Q44+$I44-$S44)*$AH44+$AE44*$AF44)/($AH44+$AE44)</f>
        <v>8.3827580272829181</v>
      </c>
      <c r="AK45" s="96">
        <f t="shared" ref="AK45:AK75" si="20">(($B44+$H44+$I44*$J44+$K44*$L44+$M44*$N44+$O44*$P44-$S44*$T44)/($I44+$K44+$M44+$O44+$Q44+$I44-$S44)*$AH44+$AE44*$AF44)/($AH44+$AE44)</f>
        <v>5.906663443819177</v>
      </c>
    </row>
    <row r="46" spans="1:37" x14ac:dyDescent="0.15">
      <c r="A46" s="10">
        <f>A44+1</f>
        <v>2016</v>
      </c>
      <c r="B46" s="10">
        <v>0</v>
      </c>
      <c r="C46" s="10">
        <v>9.8000000000000007</v>
      </c>
      <c r="D46" s="96">
        <f>5/12*5</f>
        <v>2.0833333333333335</v>
      </c>
      <c r="E46" s="96">
        <f t="shared" si="13"/>
        <v>20.416666666666668</v>
      </c>
      <c r="F46" s="96">
        <f t="shared" si="14"/>
        <v>1.666666666666667</v>
      </c>
      <c r="G46" s="122">
        <f t="shared" si="15"/>
        <v>19.866666666666667</v>
      </c>
      <c r="H46" s="122">
        <f t="shared" si="17"/>
        <v>9.8666666666666689</v>
      </c>
      <c r="I46" s="94">
        <f>'Modell During mining'!$G5/1000000*A$41</f>
        <v>0.63052533333333338</v>
      </c>
      <c r="J46" s="94">
        <v>1</v>
      </c>
      <c r="K46" s="93">
        <v>0</v>
      </c>
      <c r="L46" s="93">
        <v>0.6</v>
      </c>
      <c r="M46" s="93">
        <v>0</v>
      </c>
      <c r="N46" s="93">
        <v>0.6</v>
      </c>
      <c r="O46" s="93">
        <v>1.26</v>
      </c>
      <c r="P46" s="93">
        <v>0.5</v>
      </c>
      <c r="Q46" s="93">
        <v>0</v>
      </c>
      <c r="R46" s="93">
        <v>0</v>
      </c>
      <c r="S46" s="93">
        <v>0.36</v>
      </c>
      <c r="T46" s="98">
        <f>AF46</f>
        <v>9.162471662311324</v>
      </c>
      <c r="U46" s="93">
        <v>25.21</v>
      </c>
      <c r="V46" s="93">
        <v>2.5</v>
      </c>
      <c r="W46" s="93">
        <v>21.42</v>
      </c>
      <c r="X46" s="93">
        <v>2.5</v>
      </c>
      <c r="Y46" s="93">
        <v>0.11</v>
      </c>
      <c r="Z46" s="93">
        <v>2.5</v>
      </c>
      <c r="AA46" s="93">
        <v>5.8</v>
      </c>
      <c r="AB46" s="93">
        <v>2.5</v>
      </c>
      <c r="AC46" s="93">
        <v>1.7</v>
      </c>
      <c r="AD46" s="93">
        <v>2.5</v>
      </c>
      <c r="AE46" s="93">
        <v>1.84</v>
      </c>
      <c r="AF46" s="96">
        <f t="shared" si="16"/>
        <v>9.162471662311324</v>
      </c>
      <c r="AG46" s="10">
        <f t="shared" si="11"/>
        <v>7.97</v>
      </c>
      <c r="AH46" s="95">
        <f t="shared" si="12"/>
        <v>1.8905253333333334</v>
      </c>
      <c r="AI46" s="96">
        <f t="shared" si="18"/>
        <v>9.162471662311324</v>
      </c>
      <c r="AJ46" s="96">
        <f t="shared" si="19"/>
        <v>9.0504010100097432</v>
      </c>
      <c r="AK46" s="96">
        <f t="shared" si="20"/>
        <v>7.0127527863446195</v>
      </c>
    </row>
    <row r="47" spans="1:37" x14ac:dyDescent="0.15">
      <c r="A47" s="10">
        <v>2016.5</v>
      </c>
      <c r="B47" s="10">
        <v>1</v>
      </c>
      <c r="C47" s="10">
        <v>9.8000000000000007</v>
      </c>
      <c r="D47" s="96">
        <f>5.5/12*7</f>
        <v>3.208333333333333</v>
      </c>
      <c r="E47" s="96">
        <f>C47*D47</f>
        <v>31.441666666666666</v>
      </c>
      <c r="F47" s="96">
        <f t="shared" si="14"/>
        <v>2.5666666666666664</v>
      </c>
      <c r="G47" s="122">
        <f t="shared" si="15"/>
        <v>30.594666666666662</v>
      </c>
      <c r="H47" s="122">
        <f t="shared" si="17"/>
        <v>15.194666666666667</v>
      </c>
      <c r="I47" s="94">
        <f>'Modell During mining'!$G6/1000000*A$40</f>
        <v>0.9928389333333334</v>
      </c>
      <c r="J47" s="94">
        <f>'Modell During mining'!$D6</f>
        <v>19.204001210580159</v>
      </c>
      <c r="K47" s="93">
        <v>0.95</v>
      </c>
      <c r="L47" s="93">
        <v>0.6</v>
      </c>
      <c r="M47" s="93">
        <v>0.31</v>
      </c>
      <c r="N47" s="93">
        <v>0.6</v>
      </c>
      <c r="O47" s="93">
        <v>1.26</v>
      </c>
      <c r="P47" s="93">
        <v>2</v>
      </c>
      <c r="Q47" s="93">
        <v>1.6</v>
      </c>
      <c r="R47" s="93">
        <v>0</v>
      </c>
      <c r="S47" s="93">
        <v>0.36</v>
      </c>
      <c r="T47" s="98">
        <f>AI46</f>
        <v>9.162471662311324</v>
      </c>
      <c r="U47" s="93">
        <v>25.21</v>
      </c>
      <c r="V47" s="98">
        <f>$AI46</f>
        <v>9.162471662311324</v>
      </c>
      <c r="W47" s="93">
        <v>21.42</v>
      </c>
      <c r="X47" s="98">
        <f>$AI46</f>
        <v>9.162471662311324</v>
      </c>
      <c r="Y47" s="93">
        <v>0.11</v>
      </c>
      <c r="Z47" s="98">
        <f>$AI46</f>
        <v>9.162471662311324</v>
      </c>
      <c r="AA47" s="93">
        <v>5.8</v>
      </c>
      <c r="AB47" s="98">
        <f>$AI46</f>
        <v>9.162471662311324</v>
      </c>
      <c r="AC47" s="93">
        <v>1.7</v>
      </c>
      <c r="AD47" s="98">
        <f>$AI46</f>
        <v>9.162471662311324</v>
      </c>
      <c r="AE47" s="93">
        <v>1.84</v>
      </c>
      <c r="AF47" s="96">
        <f t="shared" si="16"/>
        <v>8.829041102921785</v>
      </c>
      <c r="AG47" s="10">
        <f t="shared" si="11"/>
        <v>7.97</v>
      </c>
      <c r="AH47" s="95">
        <f t="shared" si="12"/>
        <v>5.1128389333333342</v>
      </c>
      <c r="AI47" s="96">
        <f t="shared" si="18"/>
        <v>8.829041102921785</v>
      </c>
      <c r="AJ47" s="96">
        <f t="shared" si="19"/>
        <v>8.7000647036992422</v>
      </c>
      <c r="AK47" s="96">
        <f t="shared" si="20"/>
        <v>6.3550392632893633</v>
      </c>
    </row>
    <row r="48" spans="1:37" x14ac:dyDescent="0.15">
      <c r="A48" s="10">
        <f>A46+1</f>
        <v>2017</v>
      </c>
      <c r="B48" s="10">
        <v>0</v>
      </c>
      <c r="C48" s="10">
        <v>9.8000000000000007</v>
      </c>
      <c r="D48" s="96">
        <f>5/12*5</f>
        <v>2.0833333333333335</v>
      </c>
      <c r="E48" s="96">
        <f t="shared" si="13"/>
        <v>20.416666666666668</v>
      </c>
      <c r="F48" s="96">
        <f t="shared" si="14"/>
        <v>1.666666666666667</v>
      </c>
      <c r="G48" s="122">
        <f t="shared" si="15"/>
        <v>19.866666666666667</v>
      </c>
      <c r="H48" s="122">
        <f t="shared" si="17"/>
        <v>9.8666666666666689</v>
      </c>
      <c r="I48" s="94">
        <f>'Modell During mining'!$G6/1000000*A$41</f>
        <v>0.70917066666666673</v>
      </c>
      <c r="J48" s="94">
        <v>1</v>
      </c>
      <c r="K48" s="93">
        <v>0</v>
      </c>
      <c r="L48" s="93">
        <v>0.6</v>
      </c>
      <c r="M48" s="93">
        <v>0</v>
      </c>
      <c r="N48" s="93">
        <v>0.6</v>
      </c>
      <c r="O48" s="93">
        <v>1.26</v>
      </c>
      <c r="P48" s="93">
        <v>0.5</v>
      </c>
      <c r="Q48" s="93">
        <v>0</v>
      </c>
      <c r="R48" s="93">
        <v>0</v>
      </c>
      <c r="S48" s="93">
        <v>0.36</v>
      </c>
      <c r="T48" s="98">
        <f>AF48</f>
        <v>8.9259040152841091</v>
      </c>
      <c r="U48" s="93">
        <v>25.21</v>
      </c>
      <c r="V48" s="93">
        <v>2.5</v>
      </c>
      <c r="W48" s="93">
        <v>21.42</v>
      </c>
      <c r="X48" s="93">
        <v>2.5</v>
      </c>
      <c r="Y48" s="93">
        <v>0.11</v>
      </c>
      <c r="Z48" s="93">
        <v>2.5</v>
      </c>
      <c r="AA48" s="93">
        <v>5.8</v>
      </c>
      <c r="AB48" s="93">
        <v>2.5</v>
      </c>
      <c r="AC48" s="93">
        <v>1.7</v>
      </c>
      <c r="AD48" s="93">
        <v>2.5</v>
      </c>
      <c r="AE48" s="93">
        <v>1.84</v>
      </c>
      <c r="AF48" s="96">
        <f t="shared" si="16"/>
        <v>8.9259040152841091</v>
      </c>
      <c r="AG48" s="10">
        <f t="shared" si="11"/>
        <v>7.97</v>
      </c>
      <c r="AH48" s="95">
        <f t="shared" si="12"/>
        <v>1.9691706666666668</v>
      </c>
      <c r="AI48" s="96">
        <f t="shared" si="18"/>
        <v>8.9259040152841091</v>
      </c>
      <c r="AJ48" s="96">
        <f t="shared" si="19"/>
        <v>8.8175008209859254</v>
      </c>
      <c r="AK48" s="96">
        <f t="shared" si="20"/>
        <v>6.8465336519280591</v>
      </c>
    </row>
    <row r="49" spans="1:37" x14ac:dyDescent="0.15">
      <c r="A49" s="10">
        <f>A48+0.5</f>
        <v>2017.5</v>
      </c>
      <c r="B49" s="10">
        <v>1</v>
      </c>
      <c r="C49" s="10">
        <v>9.8000000000000007</v>
      </c>
      <c r="D49" s="96">
        <f>5.5/12*7</f>
        <v>3.208333333333333</v>
      </c>
      <c r="E49" s="96">
        <f t="shared" si="13"/>
        <v>31.441666666666666</v>
      </c>
      <c r="F49" s="96">
        <f t="shared" si="14"/>
        <v>2.5666666666666664</v>
      </c>
      <c r="G49" s="122">
        <f t="shared" si="15"/>
        <v>30.594666666666662</v>
      </c>
      <c r="H49" s="122">
        <f t="shared" si="17"/>
        <v>15.194666666666667</v>
      </c>
      <c r="I49" s="94">
        <f>'Modell During mining'!$G7/1000000*A$40</f>
        <v>1.1029424000000003</v>
      </c>
      <c r="J49" s="94">
        <f>'Modell During mining'!$D7</f>
        <v>17.374638021411329</v>
      </c>
      <c r="K49" s="93">
        <v>0.95</v>
      </c>
      <c r="L49" s="93">
        <v>0.6</v>
      </c>
      <c r="M49" s="93">
        <v>0.31</v>
      </c>
      <c r="N49" s="93">
        <v>0.6</v>
      </c>
      <c r="O49" s="93">
        <v>1.26</v>
      </c>
      <c r="P49" s="93">
        <v>2</v>
      </c>
      <c r="Q49" s="93">
        <v>1.6</v>
      </c>
      <c r="R49" s="93">
        <v>0</v>
      </c>
      <c r="S49" s="93">
        <v>0.36</v>
      </c>
      <c r="T49" s="98">
        <f>AI48</f>
        <v>8.9259040152841091</v>
      </c>
      <c r="U49" s="93">
        <v>25.21</v>
      </c>
      <c r="V49" s="98">
        <f>$AI48</f>
        <v>8.9259040152841091</v>
      </c>
      <c r="W49" s="93">
        <v>21.42</v>
      </c>
      <c r="X49" s="98">
        <f>$AI48</f>
        <v>8.9259040152841091</v>
      </c>
      <c r="Y49" s="93">
        <v>0.11</v>
      </c>
      <c r="Z49" s="98">
        <f>$AI48</f>
        <v>8.9259040152841091</v>
      </c>
      <c r="AA49" s="93">
        <v>5.8</v>
      </c>
      <c r="AB49" s="98">
        <f>$AI48</f>
        <v>8.9259040152841091</v>
      </c>
      <c r="AC49" s="93">
        <v>1.7</v>
      </c>
      <c r="AD49" s="98">
        <f>$AI48</f>
        <v>8.9259040152841091</v>
      </c>
      <c r="AE49" s="93">
        <v>1.84</v>
      </c>
      <c r="AF49" s="96">
        <f t="shared" si="16"/>
        <v>8.4463123755651264</v>
      </c>
      <c r="AG49" s="10">
        <f t="shared" si="11"/>
        <v>7.97</v>
      </c>
      <c r="AH49" s="95">
        <f t="shared" si="12"/>
        <v>5.2229424000000009</v>
      </c>
      <c r="AI49" s="96">
        <f t="shared" si="18"/>
        <v>8.4463123755651264</v>
      </c>
      <c r="AJ49" s="96">
        <f t="shared" si="19"/>
        <v>8.3236706541438998</v>
      </c>
      <c r="AK49" s="96">
        <f t="shared" si="20"/>
        <v>6.0938211737579682</v>
      </c>
    </row>
    <row r="50" spans="1:37" x14ac:dyDescent="0.15">
      <c r="A50" s="10">
        <f>A48+1</f>
        <v>2018</v>
      </c>
      <c r="B50" s="10">
        <v>0</v>
      </c>
      <c r="C50" s="10">
        <v>9.8000000000000007</v>
      </c>
      <c r="D50" s="96">
        <f>5/12*5</f>
        <v>2.0833333333333335</v>
      </c>
      <c r="E50" s="96">
        <f t="shared" si="13"/>
        <v>20.416666666666668</v>
      </c>
      <c r="F50" s="96">
        <f t="shared" si="14"/>
        <v>1.666666666666667</v>
      </c>
      <c r="G50" s="122">
        <f t="shared" si="15"/>
        <v>19.866666666666667</v>
      </c>
      <c r="H50" s="122">
        <f t="shared" si="17"/>
        <v>9.8666666666666689</v>
      </c>
      <c r="I50" s="94">
        <f>'Modell During mining'!$G7/1000000*A$41</f>
        <v>0.78781600000000018</v>
      </c>
      <c r="J50" s="94">
        <v>1</v>
      </c>
      <c r="K50" s="93">
        <v>0</v>
      </c>
      <c r="L50" s="93">
        <v>0.6</v>
      </c>
      <c r="M50" s="93">
        <v>0</v>
      </c>
      <c r="N50" s="93">
        <v>0.6</v>
      </c>
      <c r="O50" s="93">
        <v>1.26</v>
      </c>
      <c r="P50" s="93">
        <v>0.5</v>
      </c>
      <c r="Q50" s="93">
        <v>0</v>
      </c>
      <c r="R50" s="93">
        <v>0</v>
      </c>
      <c r="S50" s="93">
        <v>0.36</v>
      </c>
      <c r="T50" s="98">
        <f>AF50</f>
        <v>8.6047035717844569</v>
      </c>
      <c r="U50" s="93">
        <v>25.21</v>
      </c>
      <c r="V50" s="93">
        <v>2.5</v>
      </c>
      <c r="W50" s="93">
        <v>21.42</v>
      </c>
      <c r="X50" s="93">
        <v>2.5</v>
      </c>
      <c r="Y50" s="93">
        <v>0.11</v>
      </c>
      <c r="Z50" s="93">
        <v>2.5</v>
      </c>
      <c r="AA50" s="93">
        <v>5.8</v>
      </c>
      <c r="AB50" s="93">
        <v>2.5</v>
      </c>
      <c r="AC50" s="93">
        <v>1.7</v>
      </c>
      <c r="AD50" s="93">
        <v>2.5</v>
      </c>
      <c r="AE50" s="93">
        <v>1.84</v>
      </c>
      <c r="AF50" s="96">
        <f t="shared" si="16"/>
        <v>8.6047035717844569</v>
      </c>
      <c r="AG50" s="10">
        <f t="shared" si="11"/>
        <v>7.97</v>
      </c>
      <c r="AH50" s="95">
        <f t="shared" si="12"/>
        <v>2.0478160000000001</v>
      </c>
      <c r="AI50" s="96">
        <f t="shared" si="18"/>
        <v>8.6047035717844569</v>
      </c>
      <c r="AJ50" s="96">
        <f t="shared" si="19"/>
        <v>8.499715944881352</v>
      </c>
      <c r="AK50" s="96">
        <f t="shared" si="20"/>
        <v>6.590850001188552</v>
      </c>
    </row>
    <row r="51" spans="1:37" x14ac:dyDescent="0.15">
      <c r="A51" s="10">
        <f>A50+0.5</f>
        <v>2018.5</v>
      </c>
      <c r="B51" s="10">
        <v>1</v>
      </c>
      <c r="C51" s="10">
        <v>9.8000000000000007</v>
      </c>
      <c r="D51" s="96">
        <f>5.5/12*7</f>
        <v>3.208333333333333</v>
      </c>
      <c r="E51" s="96">
        <f t="shared" si="13"/>
        <v>31.441666666666666</v>
      </c>
      <c r="F51" s="96">
        <f t="shared" si="14"/>
        <v>2.5666666666666664</v>
      </c>
      <c r="G51" s="122">
        <f t="shared" si="15"/>
        <v>30.594666666666662</v>
      </c>
      <c r="H51" s="122">
        <f t="shared" si="17"/>
        <v>15.194666666666667</v>
      </c>
      <c r="I51" s="94">
        <f>'Modell During mining'!$G8/1000000*A$40</f>
        <v>1.213045866666667</v>
      </c>
      <c r="J51" s="94">
        <f>'Modell During mining'!$D8</f>
        <v>15.877363229647225</v>
      </c>
      <c r="K51" s="93">
        <v>0.95</v>
      </c>
      <c r="L51" s="93">
        <v>0.6</v>
      </c>
      <c r="M51" s="93">
        <v>0.31</v>
      </c>
      <c r="N51" s="93">
        <v>0.6</v>
      </c>
      <c r="O51" s="93">
        <v>1.26</v>
      </c>
      <c r="P51" s="93">
        <v>2</v>
      </c>
      <c r="Q51" s="93">
        <v>3.6</v>
      </c>
      <c r="R51" s="93">
        <v>0</v>
      </c>
      <c r="S51" s="93">
        <v>0.36</v>
      </c>
      <c r="T51" s="98">
        <f>AI50</f>
        <v>8.6047035717844569</v>
      </c>
      <c r="U51" s="93">
        <v>25.21</v>
      </c>
      <c r="V51" s="98">
        <f>$AI50</f>
        <v>8.6047035717844569</v>
      </c>
      <c r="W51" s="93">
        <v>21.42</v>
      </c>
      <c r="X51" s="98">
        <f>$AI50</f>
        <v>8.6047035717844569</v>
      </c>
      <c r="Y51" s="93">
        <v>0.11</v>
      </c>
      <c r="Z51" s="98">
        <f>$AI50</f>
        <v>8.6047035717844569</v>
      </c>
      <c r="AA51" s="93">
        <v>5.8</v>
      </c>
      <c r="AB51" s="98">
        <f>$AI50</f>
        <v>8.6047035717844569</v>
      </c>
      <c r="AC51" s="93">
        <v>1.7</v>
      </c>
      <c r="AD51" s="98">
        <f>$AI50</f>
        <v>8.6047035717844569</v>
      </c>
      <c r="AE51" s="93">
        <v>1.84</v>
      </c>
      <c r="AF51" s="96">
        <f t="shared" si="16"/>
        <v>8.0589009318081786</v>
      </c>
      <c r="AG51" s="10">
        <f t="shared" si="11"/>
        <v>7.97</v>
      </c>
      <c r="AH51" s="95">
        <f t="shared" si="12"/>
        <v>7.3330458666666676</v>
      </c>
      <c r="AI51" s="96">
        <f t="shared" si="18"/>
        <v>8.0589009318081786</v>
      </c>
      <c r="AJ51" s="96">
        <f t="shared" si="19"/>
        <v>7.9418804637362284</v>
      </c>
      <c r="AK51" s="96">
        <f t="shared" si="20"/>
        <v>5.8142355897007727</v>
      </c>
    </row>
    <row r="52" spans="1:37" x14ac:dyDescent="0.15">
      <c r="A52" s="10">
        <f>A50+1</f>
        <v>2019</v>
      </c>
      <c r="B52" s="10">
        <v>0</v>
      </c>
      <c r="C52" s="10">
        <v>9.8000000000000007</v>
      </c>
      <c r="D52" s="96">
        <f>5/12*5</f>
        <v>2.0833333333333335</v>
      </c>
      <c r="E52" s="96">
        <f t="shared" si="13"/>
        <v>20.416666666666668</v>
      </c>
      <c r="F52" s="96">
        <f t="shared" si="14"/>
        <v>1.666666666666667</v>
      </c>
      <c r="G52" s="122">
        <f t="shared" si="15"/>
        <v>19.866666666666667</v>
      </c>
      <c r="H52" s="122">
        <f t="shared" si="17"/>
        <v>9.8666666666666689</v>
      </c>
      <c r="I52" s="94">
        <f>'Modell During mining'!$G8/1000000*A$41</f>
        <v>0.86646133333333364</v>
      </c>
      <c r="J52" s="94">
        <v>1</v>
      </c>
      <c r="K52" s="93">
        <v>0</v>
      </c>
      <c r="L52" s="93">
        <v>0.6</v>
      </c>
      <c r="M52" s="93">
        <v>0</v>
      </c>
      <c r="N52" s="93">
        <v>0.6</v>
      </c>
      <c r="O52" s="93">
        <v>1.26</v>
      </c>
      <c r="P52" s="93">
        <v>0.5</v>
      </c>
      <c r="Q52" s="93">
        <v>0</v>
      </c>
      <c r="R52" s="93">
        <v>0</v>
      </c>
      <c r="S52" s="93">
        <v>0.36</v>
      </c>
      <c r="T52" s="98">
        <f>AF52</f>
        <v>6.682849131129645</v>
      </c>
      <c r="U52" s="93">
        <v>25.21</v>
      </c>
      <c r="V52" s="93">
        <v>2.5</v>
      </c>
      <c r="W52" s="93">
        <v>21.42</v>
      </c>
      <c r="X52" s="93">
        <v>2.5</v>
      </c>
      <c r="Y52" s="93">
        <v>0.11</v>
      </c>
      <c r="Z52" s="93">
        <v>2.5</v>
      </c>
      <c r="AA52" s="93">
        <v>5.8</v>
      </c>
      <c r="AB52" s="93">
        <v>2.5</v>
      </c>
      <c r="AC52" s="93">
        <v>1.7</v>
      </c>
      <c r="AD52" s="93">
        <v>2.5</v>
      </c>
      <c r="AE52" s="93">
        <v>1.84</v>
      </c>
      <c r="AF52" s="96">
        <f t="shared" si="16"/>
        <v>6.682849131129645</v>
      </c>
      <c r="AG52" s="10">
        <f t="shared" si="11"/>
        <v>7.97</v>
      </c>
      <c r="AH52" s="95">
        <f t="shared" si="12"/>
        <v>2.1264613333333338</v>
      </c>
      <c r="AI52" s="96">
        <f t="shared" si="18"/>
        <v>6.682849131129645</v>
      </c>
      <c r="AJ52" s="96">
        <f t="shared" si="19"/>
        <v>6.6001353947002617</v>
      </c>
      <c r="AK52" s="96">
        <f t="shared" si="20"/>
        <v>5.0962492778023947</v>
      </c>
    </row>
    <row r="53" spans="1:37" x14ac:dyDescent="0.15">
      <c r="A53" s="10">
        <f>A52+0.5</f>
        <v>2019.5</v>
      </c>
      <c r="B53" s="10">
        <v>1</v>
      </c>
      <c r="C53" s="10">
        <v>9.8000000000000007</v>
      </c>
      <c r="D53" s="96">
        <f>5.5/12*7</f>
        <v>3.208333333333333</v>
      </c>
      <c r="E53" s="96">
        <f t="shared" si="13"/>
        <v>31.441666666666666</v>
      </c>
      <c r="F53" s="96">
        <f t="shared" si="14"/>
        <v>2.5666666666666664</v>
      </c>
      <c r="G53" s="122">
        <f t="shared" si="15"/>
        <v>30.594666666666662</v>
      </c>
      <c r="H53" s="122">
        <f t="shared" si="17"/>
        <v>15.194666666666667</v>
      </c>
      <c r="I53" s="94">
        <f>'Modell During mining'!$G9/1000000*A$40</f>
        <v>1.3231493333333337</v>
      </c>
      <c r="J53" s="94">
        <f>'Modell During mining'!$D9</f>
        <v>14.629274438242621</v>
      </c>
      <c r="K53" s="93">
        <v>0.95</v>
      </c>
      <c r="L53" s="93">
        <v>0.6</v>
      </c>
      <c r="M53" s="93">
        <v>0.31</v>
      </c>
      <c r="N53" s="93">
        <v>0.6</v>
      </c>
      <c r="O53" s="93">
        <v>1.26</v>
      </c>
      <c r="P53" s="93">
        <v>2</v>
      </c>
      <c r="Q53" s="93">
        <v>1.6</v>
      </c>
      <c r="R53" s="93">
        <v>0</v>
      </c>
      <c r="S53" s="93">
        <v>0.36</v>
      </c>
      <c r="T53" s="98">
        <f>AI52</f>
        <v>6.682849131129645</v>
      </c>
      <c r="U53" s="93">
        <v>25.21</v>
      </c>
      <c r="V53" s="98">
        <f>$AI52</f>
        <v>6.682849131129645</v>
      </c>
      <c r="W53" s="93">
        <v>21.42</v>
      </c>
      <c r="X53" s="98">
        <f>$AI52</f>
        <v>6.682849131129645</v>
      </c>
      <c r="Y53" s="93">
        <v>0.11</v>
      </c>
      <c r="Z53" s="98">
        <f>$AI52</f>
        <v>6.682849131129645</v>
      </c>
      <c r="AA53" s="93">
        <v>5.8</v>
      </c>
      <c r="AB53" s="98">
        <f>$AI52</f>
        <v>6.682849131129645</v>
      </c>
      <c r="AC53" s="93">
        <v>1.7</v>
      </c>
      <c r="AD53" s="98">
        <f>$AI52</f>
        <v>6.682849131129645</v>
      </c>
      <c r="AE53" s="93">
        <v>1.84</v>
      </c>
      <c r="AF53" s="96">
        <f t="shared" si="16"/>
        <v>7.0721417699288702</v>
      </c>
      <c r="AG53" s="10">
        <f t="shared" si="11"/>
        <v>7.97</v>
      </c>
      <c r="AH53" s="95">
        <f t="shared" si="12"/>
        <v>5.4431493333333343</v>
      </c>
      <c r="AI53" s="96">
        <f t="shared" si="18"/>
        <v>7.0721417699288702</v>
      </c>
      <c r="AJ53" s="96">
        <f t="shared" si="19"/>
        <v>6.9601518713632196</v>
      </c>
      <c r="AK53" s="96">
        <f t="shared" si="20"/>
        <v>4.9239718974423043</v>
      </c>
    </row>
    <row r="54" spans="1:37" x14ac:dyDescent="0.15">
      <c r="A54" s="10">
        <f>A52+1</f>
        <v>2020</v>
      </c>
      <c r="B54" s="10">
        <v>0</v>
      </c>
      <c r="C54" s="10">
        <v>9.8000000000000007</v>
      </c>
      <c r="D54" s="96">
        <f>5/12*5</f>
        <v>2.0833333333333335</v>
      </c>
      <c r="E54" s="96">
        <f t="shared" si="13"/>
        <v>20.416666666666668</v>
      </c>
      <c r="F54" s="96">
        <f t="shared" si="14"/>
        <v>1.666666666666667</v>
      </c>
      <c r="G54" s="122">
        <f t="shared" si="15"/>
        <v>19.866666666666667</v>
      </c>
      <c r="H54" s="122">
        <f t="shared" si="17"/>
        <v>9.8666666666666689</v>
      </c>
      <c r="I54" s="94">
        <f>'Modell During mining'!$G9/1000000*A$41</f>
        <v>0.94510666666666687</v>
      </c>
      <c r="J54" s="94">
        <v>1</v>
      </c>
      <c r="K54" s="93">
        <v>0</v>
      </c>
      <c r="L54" s="93">
        <v>0.6</v>
      </c>
      <c r="M54" s="93">
        <v>0</v>
      </c>
      <c r="N54" s="93">
        <v>0.6</v>
      </c>
      <c r="O54" s="93">
        <v>1.26</v>
      </c>
      <c r="P54" s="93">
        <v>0.5</v>
      </c>
      <c r="Q54" s="93">
        <v>0</v>
      </c>
      <c r="R54" s="93">
        <v>0</v>
      </c>
      <c r="S54" s="93">
        <v>0.36</v>
      </c>
      <c r="T54" s="98">
        <f>AF54</f>
        <v>7.9310317929826342</v>
      </c>
      <c r="U54" s="93">
        <v>25.21</v>
      </c>
      <c r="V54" s="93">
        <v>2.5</v>
      </c>
      <c r="W54" s="93">
        <v>21.42</v>
      </c>
      <c r="X54" s="93">
        <v>2.5</v>
      </c>
      <c r="Y54" s="93">
        <v>0.11</v>
      </c>
      <c r="Z54" s="93">
        <v>2.5</v>
      </c>
      <c r="AA54" s="93">
        <v>5.8</v>
      </c>
      <c r="AB54" s="93">
        <v>2.5</v>
      </c>
      <c r="AC54" s="93">
        <v>1.7</v>
      </c>
      <c r="AD54" s="93">
        <v>2.5</v>
      </c>
      <c r="AE54" s="93">
        <v>1.84</v>
      </c>
      <c r="AF54" s="96">
        <f t="shared" si="16"/>
        <v>7.9310317929826342</v>
      </c>
      <c r="AG54" s="10">
        <f t="shared" si="11"/>
        <v>7.97</v>
      </c>
      <c r="AH54" s="95">
        <f t="shared" si="12"/>
        <v>2.205106666666667</v>
      </c>
      <c r="AI54" s="96">
        <f t="shared" si="18"/>
        <v>7.9310317929826342</v>
      </c>
      <c r="AJ54" s="96">
        <f t="shared" si="19"/>
        <v>7.832220345117304</v>
      </c>
      <c r="AK54" s="96">
        <f t="shared" si="20"/>
        <v>6.0356485657476435</v>
      </c>
    </row>
    <row r="55" spans="1:37" x14ac:dyDescent="0.15">
      <c r="A55" s="10">
        <f>A54+0.5</f>
        <v>2020.5</v>
      </c>
      <c r="B55" s="10">
        <v>1</v>
      </c>
      <c r="C55" s="10">
        <v>9.8000000000000007</v>
      </c>
      <c r="D55" s="96">
        <f>5.5/12*7</f>
        <v>3.208333333333333</v>
      </c>
      <c r="E55" s="96">
        <f t="shared" si="13"/>
        <v>31.441666666666666</v>
      </c>
      <c r="F55" s="96">
        <f t="shared" si="14"/>
        <v>2.5666666666666664</v>
      </c>
      <c r="G55" s="122">
        <f t="shared" si="15"/>
        <v>30.594666666666662</v>
      </c>
      <c r="H55" s="122">
        <f t="shared" si="17"/>
        <v>15.194666666666667</v>
      </c>
      <c r="I55" s="94">
        <f>'Modell During mining'!$G10/1000000*A$40</f>
        <v>1.4332528000000007</v>
      </c>
      <c r="J55" s="94">
        <f>'Modell During mining'!$D10</f>
        <v>13.572943726977764</v>
      </c>
      <c r="K55" s="93">
        <v>0.95</v>
      </c>
      <c r="L55" s="93">
        <v>0.6</v>
      </c>
      <c r="M55" s="93">
        <v>0.31</v>
      </c>
      <c r="N55" s="93">
        <v>0.6</v>
      </c>
      <c r="O55" s="93">
        <v>1.26</v>
      </c>
      <c r="P55" s="93">
        <v>2</v>
      </c>
      <c r="Q55" s="93">
        <v>1.6</v>
      </c>
      <c r="R55" s="93">
        <v>0</v>
      </c>
      <c r="S55" s="93">
        <v>0.36</v>
      </c>
      <c r="T55" s="98">
        <f>AI54</f>
        <v>7.9310317929826342</v>
      </c>
      <c r="U55" s="93">
        <v>25.21</v>
      </c>
      <c r="V55" s="98">
        <f>$AI54</f>
        <v>7.9310317929826342</v>
      </c>
      <c r="W55" s="93">
        <v>21.42</v>
      </c>
      <c r="X55" s="98">
        <f>$AI54</f>
        <v>7.9310317929826342</v>
      </c>
      <c r="Y55" s="93">
        <v>0.11</v>
      </c>
      <c r="Z55" s="98">
        <f>$AI54</f>
        <v>7.9310317929826342</v>
      </c>
      <c r="AA55" s="93">
        <v>5.8</v>
      </c>
      <c r="AB55" s="98">
        <f>$AI54</f>
        <v>7.9310317929826342</v>
      </c>
      <c r="AC55" s="93">
        <v>1.7</v>
      </c>
      <c r="AD55" s="98">
        <f>$AI54</f>
        <v>7.9310317929826342</v>
      </c>
      <c r="AE55" s="93">
        <v>1.84</v>
      </c>
      <c r="AF55" s="96">
        <f t="shared" si="16"/>
        <v>7.3463482557666993</v>
      </c>
      <c r="AG55" s="10">
        <f t="shared" si="11"/>
        <v>7.97</v>
      </c>
      <c r="AH55" s="95">
        <f t="shared" si="12"/>
        <v>5.553252800000001</v>
      </c>
      <c r="AI55" s="96">
        <f t="shared" si="18"/>
        <v>7.3463482557666993</v>
      </c>
      <c r="AJ55" s="96">
        <f t="shared" si="19"/>
        <v>7.2388936824754238</v>
      </c>
      <c r="AK55" s="96">
        <f t="shared" si="20"/>
        <v>5.2851741680885969</v>
      </c>
    </row>
    <row r="56" spans="1:37" x14ac:dyDescent="0.15">
      <c r="A56" s="10">
        <f>A54+1</f>
        <v>2021</v>
      </c>
      <c r="B56" s="10">
        <v>0</v>
      </c>
      <c r="C56" s="10">
        <v>9.8000000000000007</v>
      </c>
      <c r="D56" s="96">
        <f>5/12*5</f>
        <v>2.0833333333333335</v>
      </c>
      <c r="E56" s="96">
        <f t="shared" si="13"/>
        <v>20.416666666666668</v>
      </c>
      <c r="F56" s="96">
        <f t="shared" si="14"/>
        <v>1.666666666666667</v>
      </c>
      <c r="G56" s="122">
        <f t="shared" si="15"/>
        <v>19.866666666666667</v>
      </c>
      <c r="H56" s="122">
        <f t="shared" si="17"/>
        <v>9.8666666666666689</v>
      </c>
      <c r="I56" s="94">
        <f>'Modell During mining'!$G10/1000000*A$41</f>
        <v>1.0237520000000004</v>
      </c>
      <c r="J56" s="94">
        <v>1</v>
      </c>
      <c r="K56" s="93">
        <v>0</v>
      </c>
      <c r="L56" s="93">
        <v>0.6</v>
      </c>
      <c r="M56" s="93">
        <v>0</v>
      </c>
      <c r="N56" s="93">
        <v>0.6</v>
      </c>
      <c r="O56" s="93">
        <v>1.26</v>
      </c>
      <c r="P56" s="93">
        <v>0.5</v>
      </c>
      <c r="Q56" s="93">
        <v>0</v>
      </c>
      <c r="R56" s="93">
        <v>0</v>
      </c>
      <c r="S56" s="93">
        <v>0.36</v>
      </c>
      <c r="T56" s="98">
        <f>AF56</f>
        <v>7.7584191983439608</v>
      </c>
      <c r="U56" s="93">
        <v>25.21</v>
      </c>
      <c r="V56" s="93">
        <v>2.5</v>
      </c>
      <c r="W56" s="93">
        <v>21.42</v>
      </c>
      <c r="X56" s="93">
        <v>2.5</v>
      </c>
      <c r="Y56" s="93">
        <v>0.11</v>
      </c>
      <c r="Z56" s="93">
        <v>2.5</v>
      </c>
      <c r="AA56" s="93">
        <v>5.8</v>
      </c>
      <c r="AB56" s="93">
        <v>2.5</v>
      </c>
      <c r="AC56" s="93">
        <v>1.7</v>
      </c>
      <c r="AD56" s="93">
        <v>2.5</v>
      </c>
      <c r="AE56" s="93">
        <v>1.84</v>
      </c>
      <c r="AF56" s="96">
        <f t="shared" si="16"/>
        <v>7.7584191983439608</v>
      </c>
      <c r="AG56" s="10">
        <f t="shared" si="11"/>
        <v>7.97</v>
      </c>
      <c r="AH56" s="95">
        <f t="shared" si="12"/>
        <v>2.2837520000000007</v>
      </c>
      <c r="AI56" s="96">
        <f t="shared" si="18"/>
        <v>7.7584191983439608</v>
      </c>
      <c r="AJ56" s="96">
        <f t="shared" si="19"/>
        <v>7.6624104674746079</v>
      </c>
      <c r="AK56" s="96">
        <f t="shared" si="20"/>
        <v>5.9167971789409535</v>
      </c>
    </row>
    <row r="57" spans="1:37" x14ac:dyDescent="0.15">
      <c r="A57" s="10">
        <f>A56+0.5</f>
        <v>2021.5</v>
      </c>
      <c r="B57" s="10">
        <v>1</v>
      </c>
      <c r="C57" s="10">
        <v>9.8000000000000007</v>
      </c>
      <c r="D57" s="96">
        <f>5.5/12*7</f>
        <v>3.208333333333333</v>
      </c>
      <c r="E57" s="96">
        <f t="shared" si="13"/>
        <v>31.441666666666666</v>
      </c>
      <c r="F57" s="96">
        <f t="shared" si="14"/>
        <v>2.5666666666666664</v>
      </c>
      <c r="G57" s="122">
        <f t="shared" si="15"/>
        <v>30.594666666666662</v>
      </c>
      <c r="H57" s="122">
        <f t="shared" si="17"/>
        <v>15.194666666666667</v>
      </c>
      <c r="I57" s="94">
        <f>'Modell During mining'!$G11/1000000*A$40</f>
        <v>1.5433562666666669</v>
      </c>
      <c r="J57" s="94">
        <f>'Modell During mining'!$D11</f>
        <v>12.667330871037299</v>
      </c>
      <c r="K57" s="93">
        <v>0.95</v>
      </c>
      <c r="L57" s="93">
        <v>0.6</v>
      </c>
      <c r="M57" s="93">
        <v>0.31</v>
      </c>
      <c r="N57" s="93">
        <v>0.6</v>
      </c>
      <c r="O57" s="93">
        <v>1.26</v>
      </c>
      <c r="P57" s="93">
        <v>2</v>
      </c>
      <c r="Q57" s="93">
        <v>1.6</v>
      </c>
      <c r="R57" s="93">
        <v>0</v>
      </c>
      <c r="S57" s="93">
        <v>0.36</v>
      </c>
      <c r="T57" s="98">
        <f>AI56</f>
        <v>7.7584191983439608</v>
      </c>
      <c r="U57" s="93">
        <v>25.21</v>
      </c>
      <c r="V57" s="98">
        <f>$AI56</f>
        <v>7.7584191983439608</v>
      </c>
      <c r="W57" s="93">
        <v>21.42</v>
      </c>
      <c r="X57" s="98">
        <f>$AI56</f>
        <v>7.7584191983439608</v>
      </c>
      <c r="Y57" s="93">
        <v>0.11</v>
      </c>
      <c r="Z57" s="98">
        <f>$AI56</f>
        <v>7.7584191983439608</v>
      </c>
      <c r="AA57" s="93">
        <v>5.8</v>
      </c>
      <c r="AB57" s="98">
        <f>$AI56</f>
        <v>7.7584191983439608</v>
      </c>
      <c r="AC57" s="93">
        <v>1.7</v>
      </c>
      <c r="AD57" s="98">
        <f>$AI56</f>
        <v>7.7584191983439608</v>
      </c>
      <c r="AE57" s="93">
        <v>1.84</v>
      </c>
      <c r="AF57" s="96">
        <f t="shared" si="16"/>
        <v>7.0837869870000869</v>
      </c>
      <c r="AG57" s="10">
        <f t="shared" si="11"/>
        <v>7.97</v>
      </c>
      <c r="AH57" s="95">
        <f t="shared" si="12"/>
        <v>5.6633562666666677</v>
      </c>
      <c r="AI57" s="96">
        <f t="shared" si="18"/>
        <v>7.0837869870000869</v>
      </c>
      <c r="AJ57" s="96">
        <f t="shared" si="19"/>
        <v>6.9804478839085418</v>
      </c>
      <c r="AK57" s="96">
        <f t="shared" si="20"/>
        <v>5.1015551004259043</v>
      </c>
    </row>
    <row r="58" spans="1:37" x14ac:dyDescent="0.15">
      <c r="A58" s="10">
        <f>A56+1</f>
        <v>2022</v>
      </c>
      <c r="B58" s="10">
        <v>0</v>
      </c>
      <c r="C58" s="10">
        <v>9.8000000000000007</v>
      </c>
      <c r="D58" s="96">
        <f>5/12*5</f>
        <v>2.0833333333333335</v>
      </c>
      <c r="E58" s="96">
        <f t="shared" si="13"/>
        <v>20.416666666666668</v>
      </c>
      <c r="F58" s="96">
        <f t="shared" si="14"/>
        <v>1.666666666666667</v>
      </c>
      <c r="G58" s="122">
        <f t="shared" si="15"/>
        <v>19.866666666666667</v>
      </c>
      <c r="H58" s="122">
        <f t="shared" si="17"/>
        <v>9.8666666666666689</v>
      </c>
      <c r="I58" s="94">
        <f>'Modell During mining'!$G11/1000000*A$41</f>
        <v>1.1023973333333335</v>
      </c>
      <c r="J58" s="94">
        <v>1</v>
      </c>
      <c r="K58" s="93">
        <v>0</v>
      </c>
      <c r="L58" s="93">
        <v>0.6</v>
      </c>
      <c r="M58" s="93">
        <v>0</v>
      </c>
      <c r="N58" s="93">
        <v>0.6</v>
      </c>
      <c r="O58" s="93">
        <v>1.26</v>
      </c>
      <c r="P58" s="93">
        <v>0.5</v>
      </c>
      <c r="Q58" s="93">
        <v>0</v>
      </c>
      <c r="R58" s="93">
        <v>0</v>
      </c>
      <c r="S58" s="93">
        <v>0.36</v>
      </c>
      <c r="T58" s="98">
        <f>AF58</f>
        <v>7.5218983621770183</v>
      </c>
      <c r="U58" s="93">
        <v>25.21</v>
      </c>
      <c r="V58" s="93">
        <v>2.5</v>
      </c>
      <c r="W58" s="93">
        <v>21.42</v>
      </c>
      <c r="X58" s="93">
        <v>2.5</v>
      </c>
      <c r="Y58" s="93">
        <v>0.11</v>
      </c>
      <c r="Z58" s="93">
        <v>2.5</v>
      </c>
      <c r="AA58" s="93">
        <v>5.8</v>
      </c>
      <c r="AB58" s="93">
        <v>2.5</v>
      </c>
      <c r="AC58" s="93">
        <v>1.7</v>
      </c>
      <c r="AD58" s="93">
        <v>2.5</v>
      </c>
      <c r="AE58" s="93">
        <v>1.84</v>
      </c>
      <c r="AF58" s="96">
        <f t="shared" si="16"/>
        <v>7.5218983621770183</v>
      </c>
      <c r="AG58" s="10">
        <f t="shared" si="11"/>
        <v>7.97</v>
      </c>
      <c r="AH58" s="95">
        <f t="shared" si="12"/>
        <v>2.3623973333333335</v>
      </c>
      <c r="AI58" s="96">
        <f t="shared" si="18"/>
        <v>7.5218983621770183</v>
      </c>
      <c r="AJ58" s="96">
        <f t="shared" si="19"/>
        <v>7.4285257235963611</v>
      </c>
      <c r="AK58" s="96">
        <f t="shared" si="20"/>
        <v>5.730841385766225</v>
      </c>
    </row>
    <row r="59" spans="1:37" x14ac:dyDescent="0.15">
      <c r="A59" s="10">
        <f>A58+0.5</f>
        <v>2022.5</v>
      </c>
      <c r="B59" s="10">
        <v>1</v>
      </c>
      <c r="C59" s="10">
        <v>9.8000000000000007</v>
      </c>
      <c r="D59" s="96">
        <f>5.5/12*7</f>
        <v>3.208333333333333</v>
      </c>
      <c r="E59" s="96">
        <f t="shared" si="13"/>
        <v>31.441666666666666</v>
      </c>
      <c r="F59" s="96">
        <f t="shared" si="14"/>
        <v>2.5666666666666664</v>
      </c>
      <c r="G59" s="122">
        <f t="shared" si="15"/>
        <v>30.594666666666662</v>
      </c>
      <c r="H59" s="122">
        <f t="shared" si="17"/>
        <v>15.194666666666667</v>
      </c>
      <c r="I59" s="94">
        <f>'Modell During mining'!$G12/1000000*A$40</f>
        <v>1.6534597333333338</v>
      </c>
      <c r="J59" s="94">
        <f>'Modell During mining'!$D12</f>
        <v>11.882327078488936</v>
      </c>
      <c r="K59" s="93">
        <v>0.95</v>
      </c>
      <c r="L59" s="93">
        <v>0.6</v>
      </c>
      <c r="M59" s="93">
        <v>0.31</v>
      </c>
      <c r="N59" s="93">
        <v>0.6</v>
      </c>
      <c r="O59" s="93">
        <v>1.26</v>
      </c>
      <c r="P59" s="93">
        <v>2</v>
      </c>
      <c r="Q59" s="93">
        <v>0.6</v>
      </c>
      <c r="R59" s="93">
        <v>0</v>
      </c>
      <c r="S59" s="93">
        <v>0.36</v>
      </c>
      <c r="T59" s="98">
        <f>AI58</f>
        <v>7.5218983621770183</v>
      </c>
      <c r="U59" s="93">
        <v>25.21</v>
      </c>
      <c r="V59" s="98">
        <f>$AI58</f>
        <v>7.5218983621770183</v>
      </c>
      <c r="W59" s="93">
        <v>21.42</v>
      </c>
      <c r="X59" s="98">
        <f>$AI58</f>
        <v>7.5218983621770183</v>
      </c>
      <c r="Y59" s="93">
        <v>0.11</v>
      </c>
      <c r="Z59" s="98">
        <f>$AI58</f>
        <v>7.5218983621770183</v>
      </c>
      <c r="AA59" s="93">
        <v>5.8</v>
      </c>
      <c r="AB59" s="98">
        <f>$AI58</f>
        <v>7.5218983621770183</v>
      </c>
      <c r="AC59" s="93">
        <v>1.7</v>
      </c>
      <c r="AD59" s="98">
        <f>$AI58</f>
        <v>7.5218983621770183</v>
      </c>
      <c r="AE59" s="93">
        <v>1.84</v>
      </c>
      <c r="AF59" s="96">
        <f t="shared" si="16"/>
        <v>6.813451643234977</v>
      </c>
      <c r="AG59" s="10">
        <f t="shared" si="11"/>
        <v>7.97</v>
      </c>
      <c r="AH59" s="95">
        <f t="shared" si="12"/>
        <v>4.7734597333333335</v>
      </c>
      <c r="AI59" s="96">
        <f t="shared" si="18"/>
        <v>6.813451643234977</v>
      </c>
      <c r="AJ59" s="96">
        <f t="shared" si="19"/>
        <v>6.7138685442308956</v>
      </c>
      <c r="AK59" s="96">
        <f t="shared" si="20"/>
        <v>4.9032667441566984</v>
      </c>
    </row>
    <row r="60" spans="1:37" x14ac:dyDescent="0.15">
      <c r="A60" s="10">
        <f>A58+1</f>
        <v>2023</v>
      </c>
      <c r="B60" s="10">
        <v>0</v>
      </c>
      <c r="C60" s="10">
        <v>9.8000000000000007</v>
      </c>
      <c r="D60" s="96">
        <f>5/12*5</f>
        <v>2.0833333333333335</v>
      </c>
      <c r="E60" s="96">
        <f t="shared" si="13"/>
        <v>20.416666666666668</v>
      </c>
      <c r="F60" s="96">
        <f t="shared" si="14"/>
        <v>1.666666666666667</v>
      </c>
      <c r="G60" s="122">
        <f t="shared" si="15"/>
        <v>19.866666666666667</v>
      </c>
      <c r="H60" s="122">
        <f t="shared" si="17"/>
        <v>9.8666666666666689</v>
      </c>
      <c r="I60" s="94">
        <f>'Modell During mining'!$G12/1000000*A$41</f>
        <v>1.1810426666666671</v>
      </c>
      <c r="J60" s="94">
        <v>1</v>
      </c>
      <c r="K60" s="93">
        <v>0</v>
      </c>
      <c r="L60" s="93">
        <v>0.6</v>
      </c>
      <c r="M60" s="93">
        <v>0</v>
      </c>
      <c r="N60" s="93">
        <v>0.6</v>
      </c>
      <c r="O60" s="93">
        <v>1.26</v>
      </c>
      <c r="P60" s="93">
        <v>0.5</v>
      </c>
      <c r="Q60" s="93">
        <v>0</v>
      </c>
      <c r="R60" s="93">
        <v>0</v>
      </c>
      <c r="S60" s="93">
        <v>0.36</v>
      </c>
      <c r="T60" s="98">
        <f>AF60</f>
        <v>8.1601968549950872</v>
      </c>
      <c r="U60" s="93">
        <v>25.21</v>
      </c>
      <c r="V60" s="93">
        <v>2.5</v>
      </c>
      <c r="W60" s="93">
        <v>21.42</v>
      </c>
      <c r="X60" s="93">
        <v>2.5</v>
      </c>
      <c r="Y60" s="93">
        <v>0.11</v>
      </c>
      <c r="Z60" s="93">
        <v>2.5</v>
      </c>
      <c r="AA60" s="93">
        <v>5.8</v>
      </c>
      <c r="AB60" s="93">
        <v>2.5</v>
      </c>
      <c r="AC60" s="93">
        <v>1.7</v>
      </c>
      <c r="AD60" s="93">
        <v>2.5</v>
      </c>
      <c r="AE60" s="93">
        <v>1.84</v>
      </c>
      <c r="AF60" s="96">
        <f t="shared" si="16"/>
        <v>8.1601968549950872</v>
      </c>
      <c r="AG60" s="10">
        <f t="shared" si="11"/>
        <v>7.97</v>
      </c>
      <c r="AH60" s="95">
        <f t="shared" si="12"/>
        <v>2.4410426666666671</v>
      </c>
      <c r="AI60" s="96">
        <f t="shared" si="18"/>
        <v>8.1601968549950872</v>
      </c>
      <c r="AJ60" s="96">
        <f t="shared" si="19"/>
        <v>8.0594295299460743</v>
      </c>
      <c r="AK60" s="96">
        <f t="shared" si="20"/>
        <v>6.2272963472368028</v>
      </c>
    </row>
    <row r="61" spans="1:37" x14ac:dyDescent="0.15">
      <c r="A61" s="10">
        <f>A60+0.5</f>
        <v>2023.5</v>
      </c>
      <c r="B61" s="10">
        <v>1</v>
      </c>
      <c r="C61" s="10">
        <v>9.8000000000000007</v>
      </c>
      <c r="D61" s="96">
        <f>5.5/12*7</f>
        <v>3.208333333333333</v>
      </c>
      <c r="E61" s="96">
        <f t="shared" si="13"/>
        <v>31.441666666666666</v>
      </c>
      <c r="F61" s="96">
        <f t="shared" si="14"/>
        <v>2.5666666666666664</v>
      </c>
      <c r="G61" s="122">
        <f t="shared" si="15"/>
        <v>30.594666666666662</v>
      </c>
      <c r="H61" s="122">
        <f t="shared" si="17"/>
        <v>15.194666666666667</v>
      </c>
      <c r="I61" s="94">
        <f>'Modell During mining'!$G13/1000000*A$40</f>
        <v>1.7635632000000008</v>
      </c>
      <c r="J61" s="94">
        <f>'Modell During mining'!$D13</f>
        <v>11.195342612841991</v>
      </c>
      <c r="K61" s="93">
        <v>0.95</v>
      </c>
      <c r="L61" s="93">
        <v>0.6</v>
      </c>
      <c r="M61" s="93">
        <v>0.31</v>
      </c>
      <c r="N61" s="93">
        <v>0.6</v>
      </c>
      <c r="O61" s="93">
        <v>1.26</v>
      </c>
      <c r="P61" s="93">
        <v>2</v>
      </c>
      <c r="Q61" s="93">
        <v>1.6</v>
      </c>
      <c r="R61" s="93">
        <v>0</v>
      </c>
      <c r="S61" s="93">
        <v>0.36</v>
      </c>
      <c r="T61" s="98">
        <f>AI60</f>
        <v>8.1601968549950872</v>
      </c>
      <c r="U61" s="93">
        <v>25.21</v>
      </c>
      <c r="V61" s="98">
        <f>$AI60</f>
        <v>8.1601968549950872</v>
      </c>
      <c r="W61" s="93">
        <v>21.42</v>
      </c>
      <c r="X61" s="98">
        <f>$AI60</f>
        <v>8.1601968549950872</v>
      </c>
      <c r="Y61" s="93">
        <v>0.11</v>
      </c>
      <c r="Z61" s="98">
        <f>$AI60</f>
        <v>8.1601968549950872</v>
      </c>
      <c r="AA61" s="93">
        <v>5.8</v>
      </c>
      <c r="AB61" s="98">
        <f>$AI60</f>
        <v>8.1601968549950872</v>
      </c>
      <c r="AC61" s="93">
        <v>1.7</v>
      </c>
      <c r="AD61" s="98">
        <f>$AI60</f>
        <v>8.1601968549950872</v>
      </c>
      <c r="AE61" s="93">
        <v>1.84</v>
      </c>
      <c r="AF61" s="96">
        <f t="shared" si="16"/>
        <v>6.8790814443613471</v>
      </c>
      <c r="AG61" s="10">
        <f t="shared" si="11"/>
        <v>7.97</v>
      </c>
      <c r="AH61" s="95">
        <f t="shared" si="12"/>
        <v>5.8835632000000011</v>
      </c>
      <c r="AI61" s="96">
        <f t="shared" si="18"/>
        <v>6.8790814443613471</v>
      </c>
      <c r="AJ61" s="96">
        <f t="shared" si="19"/>
        <v>6.7829438642818598</v>
      </c>
      <c r="AK61" s="96">
        <f t="shared" si="20"/>
        <v>5.0349878628366307</v>
      </c>
    </row>
    <row r="62" spans="1:37" x14ac:dyDescent="0.15">
      <c r="A62" s="10">
        <f>A60+1</f>
        <v>2024</v>
      </c>
      <c r="B62" s="10">
        <v>0</v>
      </c>
      <c r="C62" s="10">
        <v>9.8000000000000007</v>
      </c>
      <c r="D62" s="96">
        <f>5/12*5</f>
        <v>2.0833333333333335</v>
      </c>
      <c r="E62" s="96">
        <f t="shared" si="13"/>
        <v>20.416666666666668</v>
      </c>
      <c r="F62" s="96">
        <f t="shared" si="14"/>
        <v>1.666666666666667</v>
      </c>
      <c r="G62" s="122">
        <f t="shared" si="15"/>
        <v>19.866666666666667</v>
      </c>
      <c r="H62" s="122">
        <f t="shared" si="17"/>
        <v>9.8666666666666689</v>
      </c>
      <c r="I62" s="94">
        <f>'Modell During mining'!$G13/1000000*A$41</f>
        <v>1.2596880000000006</v>
      </c>
      <c r="J62" s="94">
        <v>1</v>
      </c>
      <c r="K62" s="93">
        <v>0</v>
      </c>
      <c r="L62" s="93">
        <v>0.6</v>
      </c>
      <c r="M62" s="93">
        <v>0</v>
      </c>
      <c r="N62" s="93">
        <v>0.6</v>
      </c>
      <c r="O62" s="93">
        <v>1.26</v>
      </c>
      <c r="P62" s="93">
        <v>0.5</v>
      </c>
      <c r="Q62" s="93">
        <v>0</v>
      </c>
      <c r="R62" s="93">
        <v>0</v>
      </c>
      <c r="S62" s="93">
        <v>0.36</v>
      </c>
      <c r="T62" s="98">
        <f>AF62</f>
        <v>7.1294406698711903</v>
      </c>
      <c r="U62" s="93">
        <v>25.21</v>
      </c>
      <c r="V62" s="93">
        <v>2.5</v>
      </c>
      <c r="W62" s="93">
        <v>21.42</v>
      </c>
      <c r="X62" s="93">
        <v>2.5</v>
      </c>
      <c r="Y62" s="93">
        <v>0.11</v>
      </c>
      <c r="Z62" s="93">
        <v>2.5</v>
      </c>
      <c r="AA62" s="93">
        <v>5.8</v>
      </c>
      <c r="AB62" s="93">
        <v>2.5</v>
      </c>
      <c r="AC62" s="93">
        <v>1.7</v>
      </c>
      <c r="AD62" s="93">
        <v>2.5</v>
      </c>
      <c r="AE62" s="93">
        <v>1.84</v>
      </c>
      <c r="AF62" s="96">
        <f t="shared" si="16"/>
        <v>7.1294406698711903</v>
      </c>
      <c r="AG62" s="10">
        <f t="shared" si="11"/>
        <v>7.97</v>
      </c>
      <c r="AH62" s="95">
        <f t="shared" si="12"/>
        <v>2.5196880000000004</v>
      </c>
      <c r="AI62" s="96">
        <f t="shared" si="18"/>
        <v>7.1294406698711903</v>
      </c>
      <c r="AJ62" s="96">
        <f t="shared" si="19"/>
        <v>7.040898568290566</v>
      </c>
      <c r="AK62" s="96">
        <f t="shared" si="20"/>
        <v>5.431042175915576</v>
      </c>
    </row>
    <row r="63" spans="1:37" x14ac:dyDescent="0.15">
      <c r="A63" s="10">
        <f>A62+0.5</f>
        <v>2024.5</v>
      </c>
      <c r="B63" s="10">
        <v>1</v>
      </c>
      <c r="C63" s="10">
        <v>9.8000000000000007</v>
      </c>
      <c r="D63" s="96">
        <f>5.5/12*7</f>
        <v>3.208333333333333</v>
      </c>
      <c r="E63" s="96">
        <f t="shared" si="13"/>
        <v>31.441666666666666</v>
      </c>
      <c r="F63" s="96">
        <f t="shared" si="14"/>
        <v>2.5666666666666664</v>
      </c>
      <c r="G63" s="122">
        <f t="shared" si="15"/>
        <v>30.594666666666662</v>
      </c>
      <c r="H63" s="122">
        <f t="shared" si="17"/>
        <v>15.194666666666667</v>
      </c>
      <c r="I63" s="94">
        <f>'Modell During mining'!$G14/1000000*A$40</f>
        <v>1.8736666666666675</v>
      </c>
      <c r="J63" s="94">
        <f>'Modell During mining'!$D14</f>
        <v>10.589097557848534</v>
      </c>
      <c r="K63" s="93">
        <v>0.95</v>
      </c>
      <c r="L63" s="93">
        <v>0.6</v>
      </c>
      <c r="M63" s="93">
        <v>0.31</v>
      </c>
      <c r="N63" s="93">
        <v>0.6</v>
      </c>
      <c r="O63" s="93">
        <v>1.26</v>
      </c>
      <c r="P63" s="93">
        <v>2</v>
      </c>
      <c r="Q63" s="93">
        <v>1.6</v>
      </c>
      <c r="R63" s="93">
        <v>0</v>
      </c>
      <c r="S63" s="93">
        <v>0.36</v>
      </c>
      <c r="T63" s="98">
        <f>AI62</f>
        <v>7.1294406698711903</v>
      </c>
      <c r="U63" s="93">
        <v>25.21</v>
      </c>
      <c r="V63" s="98">
        <f>$AI62</f>
        <v>7.1294406698711903</v>
      </c>
      <c r="W63" s="93">
        <v>21.42</v>
      </c>
      <c r="X63" s="98">
        <f>$AI62</f>
        <v>7.1294406698711903</v>
      </c>
      <c r="Y63" s="93">
        <v>0.11</v>
      </c>
      <c r="Z63" s="98">
        <f>$AI62</f>
        <v>7.1294406698711903</v>
      </c>
      <c r="AA63" s="93">
        <v>5.8</v>
      </c>
      <c r="AB63" s="98">
        <f>$AI62</f>
        <v>7.1294406698711903</v>
      </c>
      <c r="AC63" s="93">
        <v>1.7</v>
      </c>
      <c r="AD63" s="98">
        <f>$AI62</f>
        <v>7.1294406698711903</v>
      </c>
      <c r="AE63" s="93">
        <v>1.84</v>
      </c>
      <c r="AF63" s="96">
        <f t="shared" si="16"/>
        <v>6.3454328372530826</v>
      </c>
      <c r="AG63" s="10">
        <f t="shared" si="11"/>
        <v>7.97</v>
      </c>
      <c r="AH63" s="95">
        <f t="shared" si="12"/>
        <v>5.9936666666666678</v>
      </c>
      <c r="AI63" s="96">
        <f t="shared" si="18"/>
        <v>6.3454328372530826</v>
      </c>
      <c r="AJ63" s="96">
        <f t="shared" si="19"/>
        <v>6.2524704671144304</v>
      </c>
      <c r="AK63" s="96">
        <f t="shared" si="20"/>
        <v>4.5622455555025754</v>
      </c>
    </row>
    <row r="64" spans="1:37" x14ac:dyDescent="0.15">
      <c r="A64" s="10">
        <f>A62+1</f>
        <v>2025</v>
      </c>
      <c r="B64" s="10">
        <v>0</v>
      </c>
      <c r="C64" s="10">
        <v>9.8000000000000007</v>
      </c>
      <c r="D64" s="96">
        <f>5/12*5</f>
        <v>2.0833333333333335</v>
      </c>
      <c r="E64" s="96">
        <f t="shared" si="13"/>
        <v>20.416666666666668</v>
      </c>
      <c r="F64" s="96">
        <f t="shared" si="14"/>
        <v>1.666666666666667</v>
      </c>
      <c r="G64" s="122">
        <f t="shared" si="15"/>
        <v>19.866666666666667</v>
      </c>
      <c r="H64" s="122">
        <f t="shared" si="17"/>
        <v>9.8666666666666689</v>
      </c>
      <c r="I64" s="94">
        <f>'Modell During mining'!$G14/1000000*A$41</f>
        <v>1.3383333333333338</v>
      </c>
      <c r="J64" s="94">
        <v>1</v>
      </c>
      <c r="K64" s="93">
        <v>0</v>
      </c>
      <c r="L64" s="93">
        <v>0.6</v>
      </c>
      <c r="M64" s="93">
        <v>0</v>
      </c>
      <c r="N64" s="93">
        <v>0.6</v>
      </c>
      <c r="O64" s="93">
        <v>1.26</v>
      </c>
      <c r="P64" s="93">
        <v>0.5</v>
      </c>
      <c r="Q64" s="93">
        <v>0</v>
      </c>
      <c r="R64" s="93">
        <v>0</v>
      </c>
      <c r="S64" s="93">
        <v>0.36</v>
      </c>
      <c r="T64" s="98">
        <f>AF64</f>
        <v>6.891113589678727</v>
      </c>
      <c r="U64" s="93">
        <v>25.21</v>
      </c>
      <c r="V64" s="93">
        <v>2.5</v>
      </c>
      <c r="W64" s="93">
        <v>21.42</v>
      </c>
      <c r="X64" s="93">
        <v>2.5</v>
      </c>
      <c r="Y64" s="93">
        <v>0.11</v>
      </c>
      <c r="Z64" s="93">
        <v>2.5</v>
      </c>
      <c r="AA64" s="93">
        <v>5.8</v>
      </c>
      <c r="AB64" s="93">
        <v>2.5</v>
      </c>
      <c r="AC64" s="93">
        <v>1.7</v>
      </c>
      <c r="AD64" s="93">
        <v>2.5</v>
      </c>
      <c r="AE64" s="93">
        <v>1.84</v>
      </c>
      <c r="AF64" s="96">
        <f t="shared" si="16"/>
        <v>6.891113589678727</v>
      </c>
      <c r="AG64" s="10">
        <f t="shared" si="11"/>
        <v>7.97</v>
      </c>
      <c r="AH64" s="95">
        <f t="shared" si="12"/>
        <v>2.5983333333333336</v>
      </c>
      <c r="AI64" s="96">
        <f t="shared" si="18"/>
        <v>6.891113589678727</v>
      </c>
      <c r="AJ64" s="96">
        <f t="shared" si="19"/>
        <v>6.804790851175694</v>
      </c>
      <c r="AK64" s="96">
        <f t="shared" si="20"/>
        <v>5.2352865147569601</v>
      </c>
    </row>
    <row r="65" spans="1:40" x14ac:dyDescent="0.15">
      <c r="A65" s="10">
        <f>A64+0.5</f>
        <v>2025.5</v>
      </c>
      <c r="B65" s="10">
        <v>1</v>
      </c>
      <c r="C65" s="10">
        <v>9.8000000000000007</v>
      </c>
      <c r="D65" s="96">
        <f>5.5/12*7</f>
        <v>3.208333333333333</v>
      </c>
      <c r="E65" s="96">
        <f t="shared" si="13"/>
        <v>31.441666666666666</v>
      </c>
      <c r="F65" s="96">
        <f t="shared" si="14"/>
        <v>2.5666666666666664</v>
      </c>
      <c r="G65" s="122">
        <f t="shared" si="15"/>
        <v>30.594666666666662</v>
      </c>
      <c r="H65" s="122">
        <f t="shared" si="17"/>
        <v>15.194666666666667</v>
      </c>
      <c r="I65" s="94">
        <f>'Modell During mining'!$G15/1000000*A40</f>
        <v>1.983770133333334</v>
      </c>
      <c r="J65" s="94">
        <f>'Modell During mining'!$D15</f>
        <v>10.050148285852018</v>
      </c>
      <c r="K65" s="93">
        <v>0.95</v>
      </c>
      <c r="L65" s="93">
        <v>0.6</v>
      </c>
      <c r="M65" s="93">
        <v>0.31</v>
      </c>
      <c r="N65" s="93">
        <v>0.6</v>
      </c>
      <c r="O65" s="93">
        <v>1.26</v>
      </c>
      <c r="P65" s="93">
        <v>2</v>
      </c>
      <c r="Q65" s="93">
        <v>1.6</v>
      </c>
      <c r="R65" s="93">
        <v>0</v>
      </c>
      <c r="S65" s="93">
        <v>0.36</v>
      </c>
      <c r="T65" s="98">
        <f>AI64</f>
        <v>6.891113589678727</v>
      </c>
      <c r="U65" s="93">
        <v>25.21</v>
      </c>
      <c r="V65" s="98">
        <f>$AI64</f>
        <v>6.891113589678727</v>
      </c>
      <c r="W65" s="93">
        <v>21.42</v>
      </c>
      <c r="X65" s="98">
        <f>$AI64</f>
        <v>6.891113589678727</v>
      </c>
      <c r="Y65" s="93">
        <v>0.11</v>
      </c>
      <c r="Z65" s="98">
        <f>$AI64</f>
        <v>6.891113589678727</v>
      </c>
      <c r="AA65" s="93">
        <v>5.8</v>
      </c>
      <c r="AB65" s="98">
        <f>$AI64</f>
        <v>6.891113589678727</v>
      </c>
      <c r="AC65" s="93">
        <v>1.7</v>
      </c>
      <c r="AD65" s="98">
        <f>$AI64</f>
        <v>6.891113589678727</v>
      </c>
      <c r="AE65" s="93">
        <v>1.84</v>
      </c>
      <c r="AF65" s="96">
        <f t="shared" si="16"/>
        <v>6.1147749936579787</v>
      </c>
      <c r="AG65" s="10">
        <f t="shared" si="11"/>
        <v>7.97</v>
      </c>
      <c r="AH65" s="95">
        <f t="shared" si="12"/>
        <v>6.1037701333333345</v>
      </c>
      <c r="AI65" s="96">
        <f t="shared" si="18"/>
        <v>6.1147749936579787</v>
      </c>
      <c r="AJ65" s="96">
        <f t="shared" si="19"/>
        <v>6.0247508143256558</v>
      </c>
      <c r="AK65" s="96">
        <f t="shared" si="20"/>
        <v>4.3879475537379689</v>
      </c>
    </row>
    <row r="66" spans="1:40" x14ac:dyDescent="0.15">
      <c r="A66" s="10">
        <f>A64+1</f>
        <v>2026</v>
      </c>
      <c r="B66" s="10">
        <v>0</v>
      </c>
      <c r="C66" s="10">
        <v>9.8000000000000007</v>
      </c>
      <c r="D66" s="96">
        <f>5/12*5</f>
        <v>2.0833333333333335</v>
      </c>
      <c r="E66" s="96">
        <f t="shared" si="13"/>
        <v>20.416666666666668</v>
      </c>
      <c r="F66" s="96">
        <f t="shared" si="14"/>
        <v>1.666666666666667</v>
      </c>
      <c r="G66" s="122">
        <f t="shared" si="15"/>
        <v>19.866666666666667</v>
      </c>
      <c r="H66" s="122">
        <f t="shared" si="17"/>
        <v>9.8666666666666689</v>
      </c>
      <c r="I66" s="94">
        <f>'Modell During mining'!$G15/1000000*A41</f>
        <v>1.4169786666666671</v>
      </c>
      <c r="J66" s="94">
        <v>1</v>
      </c>
      <c r="K66" s="93">
        <v>0</v>
      </c>
      <c r="L66" s="93">
        <v>0.6</v>
      </c>
      <c r="M66" s="93">
        <v>0</v>
      </c>
      <c r="N66" s="93">
        <v>0.6</v>
      </c>
      <c r="O66" s="93">
        <v>1.26</v>
      </c>
      <c r="P66" s="93">
        <v>0.5</v>
      </c>
      <c r="Q66" s="93">
        <v>0</v>
      </c>
      <c r="R66" s="93">
        <v>0</v>
      </c>
      <c r="S66" s="93">
        <v>0.36</v>
      </c>
      <c r="T66" s="98">
        <f>AF66</f>
        <v>6.7036048356907028</v>
      </c>
      <c r="U66" s="93">
        <v>25.21</v>
      </c>
      <c r="V66" s="93">
        <v>2.5</v>
      </c>
      <c r="W66" s="93">
        <v>21.42</v>
      </c>
      <c r="X66" s="93">
        <v>2.5</v>
      </c>
      <c r="Y66" s="93">
        <v>0.11</v>
      </c>
      <c r="Z66" s="93">
        <v>2.5</v>
      </c>
      <c r="AA66" s="93">
        <v>5.8</v>
      </c>
      <c r="AB66" s="93">
        <v>2.5</v>
      </c>
      <c r="AC66" s="93">
        <v>1.7</v>
      </c>
      <c r="AD66" s="93">
        <v>2.5</v>
      </c>
      <c r="AE66" s="93">
        <v>1.84</v>
      </c>
      <c r="AF66" s="96">
        <f t="shared" si="16"/>
        <v>6.7036048356907028</v>
      </c>
      <c r="AG66" s="10">
        <f t="shared" si="11"/>
        <v>7.97</v>
      </c>
      <c r="AH66" s="95">
        <f t="shared" si="12"/>
        <v>2.6769786666666668</v>
      </c>
      <c r="AI66" s="96">
        <f t="shared" si="18"/>
        <v>6.7036048356907028</v>
      </c>
      <c r="AJ66" s="96">
        <f t="shared" si="19"/>
        <v>6.6193851464157891</v>
      </c>
      <c r="AK66" s="96">
        <f t="shared" si="20"/>
        <v>5.0881180686900978</v>
      </c>
    </row>
    <row r="67" spans="1:40" x14ac:dyDescent="0.15">
      <c r="A67" s="10">
        <f>A66+0.5</f>
        <v>2026.5</v>
      </c>
      <c r="B67" s="10">
        <v>1</v>
      </c>
      <c r="C67" s="10">
        <v>9.8000000000000007</v>
      </c>
      <c r="D67" s="96">
        <f>5.5/12*7</f>
        <v>3.208333333333333</v>
      </c>
      <c r="E67" s="96">
        <f t="shared" si="13"/>
        <v>31.441666666666666</v>
      </c>
      <c r="F67" s="96">
        <f t="shared" si="14"/>
        <v>2.5666666666666664</v>
      </c>
      <c r="G67" s="122">
        <f t="shared" si="15"/>
        <v>30.594666666666662</v>
      </c>
      <c r="H67" s="122">
        <f t="shared" si="17"/>
        <v>15.194666666666667</v>
      </c>
      <c r="I67" s="94">
        <f>'Modell During mining'!$G16/1000000*A40</f>
        <v>2.0938736000000011</v>
      </c>
      <c r="J67" s="94">
        <f>'Modell During mining'!$D16</f>
        <v>9.5678788279610814</v>
      </c>
      <c r="K67" s="93">
        <v>0.95</v>
      </c>
      <c r="L67" s="93">
        <v>0.6</v>
      </c>
      <c r="M67" s="93">
        <v>0.31</v>
      </c>
      <c r="N67" s="93">
        <v>0.6</v>
      </c>
      <c r="O67" s="93">
        <v>1.26</v>
      </c>
      <c r="P67" s="93">
        <v>2</v>
      </c>
      <c r="Q67" s="93">
        <v>1.6</v>
      </c>
      <c r="R67" s="93">
        <v>0</v>
      </c>
      <c r="S67" s="93">
        <v>0.36</v>
      </c>
      <c r="T67" s="98">
        <f>AI66</f>
        <v>6.7036048356907028</v>
      </c>
      <c r="U67" s="93">
        <v>25.21</v>
      </c>
      <c r="V67" s="98">
        <f>$AI66</f>
        <v>6.7036048356907028</v>
      </c>
      <c r="W67" s="93">
        <v>21.42</v>
      </c>
      <c r="X67" s="98">
        <f>$AI66</f>
        <v>6.7036048356907028</v>
      </c>
      <c r="Y67" s="93">
        <v>0.11</v>
      </c>
      <c r="Z67" s="98">
        <f>$AI66</f>
        <v>6.7036048356907028</v>
      </c>
      <c r="AA67" s="93">
        <v>5.8</v>
      </c>
      <c r="AB67" s="98">
        <f>$AI66</f>
        <v>6.7036048356907028</v>
      </c>
      <c r="AC67" s="93">
        <v>1.7</v>
      </c>
      <c r="AD67" s="98">
        <f>$AI66</f>
        <v>6.7036048356907028</v>
      </c>
      <c r="AE67" s="93">
        <v>1.84</v>
      </c>
      <c r="AF67" s="96">
        <f t="shared" si="16"/>
        <v>5.9130872700006716</v>
      </c>
      <c r="AG67" s="10">
        <f t="shared" si="11"/>
        <v>7.97</v>
      </c>
      <c r="AH67" s="95">
        <f t="shared" si="12"/>
        <v>6.2138736000000012</v>
      </c>
      <c r="AI67" s="96">
        <f t="shared" si="18"/>
        <v>5.9130872700006716</v>
      </c>
      <c r="AJ67" s="96">
        <f t="shared" si="19"/>
        <v>5.8257921011815217</v>
      </c>
      <c r="AK67" s="96">
        <f t="shared" si="20"/>
        <v>4.2386072135606208</v>
      </c>
    </row>
    <row r="68" spans="1:40" x14ac:dyDescent="0.15">
      <c r="A68" s="10">
        <f>A66+1</f>
        <v>2027</v>
      </c>
      <c r="B68" s="10">
        <v>0</v>
      </c>
      <c r="C68" s="10">
        <v>9.8000000000000007</v>
      </c>
      <c r="D68" s="96">
        <f>5/12*5</f>
        <v>2.0833333333333335</v>
      </c>
      <c r="E68" s="96">
        <f t="shared" si="13"/>
        <v>20.416666666666668</v>
      </c>
      <c r="F68" s="96">
        <f t="shared" si="14"/>
        <v>1.666666666666667</v>
      </c>
      <c r="G68" s="122">
        <f t="shared" si="15"/>
        <v>19.866666666666667</v>
      </c>
      <c r="H68" s="122">
        <f t="shared" si="17"/>
        <v>9.8666666666666689</v>
      </c>
      <c r="I68" s="94">
        <f>'Modell During mining'!$G16/1000000*A41</f>
        <v>1.4956240000000007</v>
      </c>
      <c r="J68" s="94">
        <v>1</v>
      </c>
      <c r="K68" s="93">
        <v>0</v>
      </c>
      <c r="L68" s="93">
        <v>0.6</v>
      </c>
      <c r="M68" s="93">
        <v>0</v>
      </c>
      <c r="N68" s="93">
        <v>0.6</v>
      </c>
      <c r="O68" s="93">
        <v>1.26</v>
      </c>
      <c r="P68" s="93">
        <v>0.5</v>
      </c>
      <c r="Q68" s="93">
        <v>0</v>
      </c>
      <c r="R68" s="93">
        <v>0</v>
      </c>
      <c r="S68" s="93">
        <v>0.36</v>
      </c>
      <c r="T68" s="98">
        <f>AF68</f>
        <v>6.5288014751399057</v>
      </c>
      <c r="U68" s="93">
        <v>25.21</v>
      </c>
      <c r="V68" s="93">
        <v>2.5</v>
      </c>
      <c r="W68" s="93">
        <v>21.42</v>
      </c>
      <c r="X68" s="93">
        <v>2.5</v>
      </c>
      <c r="Y68" s="93">
        <v>0.11</v>
      </c>
      <c r="Z68" s="93">
        <v>2.5</v>
      </c>
      <c r="AA68" s="93">
        <v>5.8</v>
      </c>
      <c r="AB68" s="93">
        <v>2.5</v>
      </c>
      <c r="AC68" s="93">
        <v>1.7</v>
      </c>
      <c r="AD68" s="93">
        <v>2.5</v>
      </c>
      <c r="AE68" s="93">
        <v>1.84</v>
      </c>
      <c r="AF68" s="96">
        <f t="shared" si="16"/>
        <v>6.5288014751399057</v>
      </c>
      <c r="AG68" s="10">
        <f t="shared" si="11"/>
        <v>7.97</v>
      </c>
      <c r="AH68" s="95">
        <f t="shared" si="12"/>
        <v>2.755624000000001</v>
      </c>
      <c r="AI68" s="96">
        <f t="shared" si="18"/>
        <v>6.5288014751399057</v>
      </c>
      <c r="AJ68" s="96">
        <f t="shared" si="19"/>
        <v>6.4465777836174558</v>
      </c>
      <c r="AK68" s="96">
        <f t="shared" si="20"/>
        <v>4.9516015741183512</v>
      </c>
    </row>
    <row r="69" spans="1:40" x14ac:dyDescent="0.15">
      <c r="A69" s="10">
        <f>A68+0.5</f>
        <v>2027.5</v>
      </c>
      <c r="B69" s="10">
        <v>1</v>
      </c>
      <c r="C69" s="10">
        <v>9.8000000000000007</v>
      </c>
      <c r="D69" s="96">
        <f>5.5/12*7</f>
        <v>3.208333333333333</v>
      </c>
      <c r="E69" s="96">
        <f t="shared" si="13"/>
        <v>31.441666666666666</v>
      </c>
      <c r="F69" s="96">
        <f t="shared" si="14"/>
        <v>2.5666666666666664</v>
      </c>
      <c r="G69" s="122">
        <f t="shared" si="15"/>
        <v>30.594666666666662</v>
      </c>
      <c r="H69" s="122">
        <f t="shared" si="17"/>
        <v>15.194666666666667</v>
      </c>
      <c r="I69" s="94">
        <f>'Modell During mining'!$G17/1000000*A40</f>
        <v>2.2039770666666674</v>
      </c>
      <c r="J69" s="94">
        <f>'Modell During mining'!$D17</f>
        <v>9.133794571254251</v>
      </c>
      <c r="K69" s="93">
        <v>0.95</v>
      </c>
      <c r="L69" s="93">
        <v>0.6</v>
      </c>
      <c r="M69" s="93">
        <v>0.31</v>
      </c>
      <c r="N69" s="93">
        <v>0.6</v>
      </c>
      <c r="O69" s="93">
        <v>1.26</v>
      </c>
      <c r="P69" s="93">
        <v>2</v>
      </c>
      <c r="Q69" s="93">
        <v>1.6</v>
      </c>
      <c r="R69" s="93">
        <v>0</v>
      </c>
      <c r="S69" s="93">
        <v>0.36</v>
      </c>
      <c r="T69" s="98">
        <f>AI68</f>
        <v>6.5288014751399057</v>
      </c>
      <c r="U69" s="93">
        <v>25.21</v>
      </c>
      <c r="V69" s="98">
        <f>$AI68</f>
        <v>6.5288014751399057</v>
      </c>
      <c r="W69" s="93">
        <v>21.42</v>
      </c>
      <c r="X69" s="98">
        <f>$AI68</f>
        <v>6.5288014751399057</v>
      </c>
      <c r="Y69" s="93">
        <v>0.11</v>
      </c>
      <c r="Z69" s="98">
        <f>$AI68</f>
        <v>6.5288014751399057</v>
      </c>
      <c r="AA69" s="93">
        <v>5.8</v>
      </c>
      <c r="AB69" s="98">
        <f>$AI68</f>
        <v>6.5288014751399057</v>
      </c>
      <c r="AC69" s="93">
        <v>1.7</v>
      </c>
      <c r="AD69" s="98">
        <f>$AI68</f>
        <v>6.5288014751399057</v>
      </c>
      <c r="AE69" s="93">
        <v>1.84</v>
      </c>
      <c r="AF69" s="96">
        <f t="shared" si="16"/>
        <v>5.7254673059778938</v>
      </c>
      <c r="AG69" s="10">
        <f t="shared" si="11"/>
        <v>7.97</v>
      </c>
      <c r="AH69" s="95">
        <f t="shared" si="12"/>
        <v>6.3239770666666679</v>
      </c>
      <c r="AI69" s="96">
        <f t="shared" si="18"/>
        <v>5.7254673059778938</v>
      </c>
      <c r="AJ69" s="96">
        <f t="shared" si="19"/>
        <v>5.6407154439124829</v>
      </c>
      <c r="AK69" s="96">
        <f t="shared" si="20"/>
        <v>4.0997724972686509</v>
      </c>
    </row>
    <row r="70" spans="1:40" x14ac:dyDescent="0.15">
      <c r="A70" s="10">
        <f>A68+1</f>
        <v>2028</v>
      </c>
      <c r="B70" s="10">
        <v>0</v>
      </c>
      <c r="C70" s="10">
        <v>9.8000000000000007</v>
      </c>
      <c r="D70" s="96">
        <f>5/12*5</f>
        <v>2.0833333333333335</v>
      </c>
      <c r="E70" s="96">
        <f t="shared" si="13"/>
        <v>20.416666666666668</v>
      </c>
      <c r="F70" s="96">
        <f t="shared" si="14"/>
        <v>1.666666666666667</v>
      </c>
      <c r="G70" s="122">
        <f t="shared" si="15"/>
        <v>19.866666666666667</v>
      </c>
      <c r="H70" s="122">
        <f t="shared" si="17"/>
        <v>9.8666666666666689</v>
      </c>
      <c r="I70" s="94">
        <f>'Modell During mining'!$G17/1000000*A41</f>
        <v>1.574269333333334</v>
      </c>
      <c r="J70" s="94">
        <v>1</v>
      </c>
      <c r="K70" s="93">
        <v>0</v>
      </c>
      <c r="L70" s="93">
        <v>0.6</v>
      </c>
      <c r="M70" s="93">
        <v>0</v>
      </c>
      <c r="N70" s="93">
        <v>0.6</v>
      </c>
      <c r="O70" s="93">
        <v>1.26</v>
      </c>
      <c r="P70" s="93">
        <v>0.5</v>
      </c>
      <c r="Q70" s="93">
        <v>0</v>
      </c>
      <c r="R70" s="93">
        <v>0</v>
      </c>
      <c r="S70" s="93">
        <v>0.36</v>
      </c>
      <c r="T70" s="98">
        <f>AF70</f>
        <v>6.3639647529761154</v>
      </c>
      <c r="U70" s="93">
        <v>25.21</v>
      </c>
      <c r="V70" s="93">
        <v>2.5</v>
      </c>
      <c r="W70" s="93">
        <v>21.42</v>
      </c>
      <c r="X70" s="93">
        <v>2.5</v>
      </c>
      <c r="Y70" s="93">
        <v>0.11</v>
      </c>
      <c r="Z70" s="93">
        <v>2.5</v>
      </c>
      <c r="AA70" s="93">
        <v>5.8</v>
      </c>
      <c r="AB70" s="93">
        <v>2.5</v>
      </c>
      <c r="AC70" s="93">
        <v>1.7</v>
      </c>
      <c r="AD70" s="93">
        <v>2.5</v>
      </c>
      <c r="AE70" s="93">
        <v>1.84</v>
      </c>
      <c r="AF70" s="96">
        <f t="shared" si="16"/>
        <v>6.3639647529761154</v>
      </c>
      <c r="AG70" s="10">
        <f t="shared" si="11"/>
        <v>7.97</v>
      </c>
      <c r="AH70" s="95">
        <f t="shared" si="12"/>
        <v>2.8342693333333342</v>
      </c>
      <c r="AI70" s="96">
        <f t="shared" si="18"/>
        <v>6.3639647529761154</v>
      </c>
      <c r="AJ70" s="96">
        <f t="shared" si="19"/>
        <v>6.2836382925504015</v>
      </c>
      <c r="AK70" s="96">
        <f t="shared" si="20"/>
        <v>4.823157193901034</v>
      </c>
    </row>
    <row r="71" spans="1:40" x14ac:dyDescent="0.15">
      <c r="A71" s="10">
        <f>A70+0.5</f>
        <v>2028.5</v>
      </c>
      <c r="B71" s="10">
        <v>1</v>
      </c>
      <c r="C71" s="10">
        <v>9.8000000000000007</v>
      </c>
      <c r="D71" s="96">
        <f>5.5/12*7</f>
        <v>3.208333333333333</v>
      </c>
      <c r="E71" s="96">
        <f t="shared" si="13"/>
        <v>31.441666666666666</v>
      </c>
      <c r="F71" s="96">
        <f t="shared" si="14"/>
        <v>2.5666666666666664</v>
      </c>
      <c r="G71" s="122">
        <f t="shared" si="15"/>
        <v>30.594666666666662</v>
      </c>
      <c r="H71" s="122">
        <f t="shared" si="17"/>
        <v>15.194666666666667</v>
      </c>
      <c r="I71" s="94">
        <f>'Modell During mining'!$G18/1000000*A40</f>
        <v>2.3140805333333345</v>
      </c>
      <c r="J71" s="94">
        <f>'Modell During mining'!$D18</f>
        <v>8.7410175904182399</v>
      </c>
      <c r="K71" s="93">
        <v>0.95</v>
      </c>
      <c r="L71" s="93">
        <v>0.6</v>
      </c>
      <c r="M71" s="93">
        <v>0.31</v>
      </c>
      <c r="N71" s="93">
        <v>0.6</v>
      </c>
      <c r="O71" s="93">
        <v>1.26</v>
      </c>
      <c r="P71" s="93">
        <v>2</v>
      </c>
      <c r="Q71" s="93">
        <v>1.6</v>
      </c>
      <c r="R71" s="93">
        <v>0</v>
      </c>
      <c r="S71" s="93">
        <v>0.36</v>
      </c>
      <c r="T71" s="98">
        <f>AI70</f>
        <v>6.3639647529761154</v>
      </c>
      <c r="U71" s="93">
        <v>25.21</v>
      </c>
      <c r="V71" s="98">
        <f>$AI70</f>
        <v>6.3639647529761154</v>
      </c>
      <c r="W71" s="93">
        <v>21.42</v>
      </c>
      <c r="X71" s="98">
        <f>$AI70</f>
        <v>6.3639647529761154</v>
      </c>
      <c r="Y71" s="93">
        <v>0.11</v>
      </c>
      <c r="Z71" s="98">
        <f>$AI70</f>
        <v>6.3639647529761154</v>
      </c>
      <c r="AA71" s="93">
        <v>5.8</v>
      </c>
      <c r="AB71" s="98">
        <f>$AI70</f>
        <v>6.3639647529761154</v>
      </c>
      <c r="AC71" s="93">
        <v>1.7</v>
      </c>
      <c r="AD71" s="98">
        <f>$AI70</f>
        <v>6.3639647529761154</v>
      </c>
      <c r="AE71" s="93">
        <v>1.84</v>
      </c>
      <c r="AF71" s="96">
        <f t="shared" si="16"/>
        <v>5.5499794742664728</v>
      </c>
      <c r="AG71" s="10">
        <f t="shared" si="11"/>
        <v>7.97</v>
      </c>
      <c r="AH71" s="95">
        <f t="shared" si="12"/>
        <v>6.4340805333333346</v>
      </c>
      <c r="AI71" s="96">
        <f t="shared" si="18"/>
        <v>5.5499794742664728</v>
      </c>
      <c r="AJ71" s="96">
        <f t="shared" si="19"/>
        <v>5.4676051655984637</v>
      </c>
      <c r="AK71" s="96">
        <f t="shared" si="20"/>
        <v>3.9698904625437565</v>
      </c>
    </row>
    <row r="72" spans="1:40" x14ac:dyDescent="0.15">
      <c r="A72" s="10">
        <f>A70+1</f>
        <v>2029</v>
      </c>
      <c r="B72" s="10">
        <v>0</v>
      </c>
      <c r="C72" s="10">
        <v>9.8000000000000007</v>
      </c>
      <c r="D72" s="96">
        <f>5/12*5</f>
        <v>2.0833333333333335</v>
      </c>
      <c r="E72" s="96">
        <f t="shared" si="13"/>
        <v>20.416666666666668</v>
      </c>
      <c r="F72" s="96">
        <f t="shared" si="14"/>
        <v>1.666666666666667</v>
      </c>
      <c r="G72" s="122">
        <f t="shared" si="15"/>
        <v>19.866666666666667</v>
      </c>
      <c r="H72" s="122">
        <f t="shared" si="17"/>
        <v>9.8666666666666689</v>
      </c>
      <c r="I72" s="94">
        <f>'Modell During mining'!$G18/1000000*A41</f>
        <v>1.6529146666666674</v>
      </c>
      <c r="J72" s="94">
        <v>1</v>
      </c>
      <c r="K72" s="93">
        <v>0</v>
      </c>
      <c r="L72" s="93">
        <v>0.6</v>
      </c>
      <c r="M72" s="93">
        <v>0</v>
      </c>
      <c r="N72" s="93">
        <v>0.6</v>
      </c>
      <c r="O72" s="93">
        <v>1.26</v>
      </c>
      <c r="P72" s="93">
        <v>0.5</v>
      </c>
      <c r="Q72" s="93">
        <v>0</v>
      </c>
      <c r="R72" s="93">
        <v>0</v>
      </c>
      <c r="S72" s="93">
        <v>0.36</v>
      </c>
      <c r="T72" s="98">
        <f>AF72</f>
        <v>6.2081742599492271</v>
      </c>
      <c r="U72" s="93">
        <v>25.21</v>
      </c>
      <c r="V72" s="93">
        <v>2.5</v>
      </c>
      <c r="W72" s="93">
        <v>21.42</v>
      </c>
      <c r="X72" s="93">
        <v>2.5</v>
      </c>
      <c r="Y72" s="93">
        <v>0.11</v>
      </c>
      <c r="Z72" s="93">
        <v>2.5</v>
      </c>
      <c r="AA72" s="93">
        <v>5.8</v>
      </c>
      <c r="AB72" s="93">
        <v>2.5</v>
      </c>
      <c r="AC72" s="93">
        <v>1.7</v>
      </c>
      <c r="AD72" s="93">
        <v>2.5</v>
      </c>
      <c r="AE72" s="93">
        <v>1.84</v>
      </c>
      <c r="AF72" s="96">
        <f t="shared" si="16"/>
        <v>6.2081742599492271</v>
      </c>
      <c r="AG72" s="10">
        <f t="shared" si="11"/>
        <v>7.97</v>
      </c>
      <c r="AH72" s="95">
        <f t="shared" si="12"/>
        <v>2.9129146666666674</v>
      </c>
      <c r="AI72" s="96">
        <f t="shared" si="18"/>
        <v>6.2081742599492271</v>
      </c>
      <c r="AJ72" s="96">
        <f t="shared" si="19"/>
        <v>6.1296536981651188</v>
      </c>
      <c r="AK72" s="96">
        <f t="shared" si="20"/>
        <v>4.7020071202722642</v>
      </c>
    </row>
    <row r="73" spans="1:40" x14ac:dyDescent="0.15">
      <c r="A73" s="10">
        <f>A72+0.5</f>
        <v>2029.5</v>
      </c>
      <c r="B73" s="10">
        <v>1</v>
      </c>
      <c r="C73" s="10">
        <v>9.8000000000000007</v>
      </c>
      <c r="D73" s="96">
        <f>5.5/12*7</f>
        <v>3.208333333333333</v>
      </c>
      <c r="E73" s="96">
        <f t="shared" si="13"/>
        <v>31.441666666666666</v>
      </c>
      <c r="F73" s="96">
        <f t="shared" si="14"/>
        <v>2.5666666666666664</v>
      </c>
      <c r="G73" s="122">
        <f t="shared" si="15"/>
        <v>30.594666666666662</v>
      </c>
      <c r="H73" s="122">
        <f t="shared" si="17"/>
        <v>15.194666666666667</v>
      </c>
      <c r="I73" s="94">
        <f>'Modell During mining'!$G19/1000000*A40</f>
        <v>2.4241840000000003</v>
      </c>
      <c r="J73" s="94">
        <f>'Modell During mining'!$D19</f>
        <v>8.3839195078976392</v>
      </c>
      <c r="K73" s="93">
        <v>0.95</v>
      </c>
      <c r="L73" s="93">
        <v>0.6</v>
      </c>
      <c r="M73" s="93">
        <v>0.31</v>
      </c>
      <c r="N73" s="93">
        <v>0.6</v>
      </c>
      <c r="O73" s="93">
        <v>1.26</v>
      </c>
      <c r="P73" s="93">
        <v>2</v>
      </c>
      <c r="Q73" s="93">
        <v>1.6</v>
      </c>
      <c r="R73" s="93">
        <v>0</v>
      </c>
      <c r="S73" s="93">
        <v>0.36</v>
      </c>
      <c r="T73" s="98">
        <f>AI72</f>
        <v>6.2081742599492271</v>
      </c>
      <c r="U73" s="93">
        <v>25.21</v>
      </c>
      <c r="V73" s="98">
        <f>$AI72</f>
        <v>6.2081742599492271</v>
      </c>
      <c r="W73" s="93">
        <v>21.42</v>
      </c>
      <c r="X73" s="98">
        <f>$AI72</f>
        <v>6.2081742599492271</v>
      </c>
      <c r="Y73" s="93">
        <v>0.11</v>
      </c>
      <c r="Z73" s="98">
        <f>$AI72</f>
        <v>6.2081742599492271</v>
      </c>
      <c r="AA73" s="93">
        <v>5.8</v>
      </c>
      <c r="AB73" s="98">
        <f>$AI72</f>
        <v>6.2081742599492271</v>
      </c>
      <c r="AC73" s="93">
        <v>1.7</v>
      </c>
      <c r="AD73" s="98">
        <f>$AI72</f>
        <v>6.2081742599492271</v>
      </c>
      <c r="AE73" s="93">
        <v>1.84</v>
      </c>
      <c r="AF73" s="96">
        <f t="shared" si="16"/>
        <v>5.3854620195884548</v>
      </c>
      <c r="AG73" s="10">
        <f t="shared" si="11"/>
        <v>7.97</v>
      </c>
      <c r="AH73" s="95">
        <f t="shared" si="12"/>
        <v>6.5441840000000013</v>
      </c>
      <c r="AI73" s="96">
        <f t="shared" si="18"/>
        <v>5.3854620195884548</v>
      </c>
      <c r="AJ73" s="96">
        <f t="shared" si="19"/>
        <v>5.3053165848546584</v>
      </c>
      <c r="AK73" s="96">
        <f t="shared" si="20"/>
        <v>3.8481268624219975</v>
      </c>
    </row>
    <row r="74" spans="1:40" x14ac:dyDescent="0.15">
      <c r="A74" s="10">
        <f>A72+1</f>
        <v>2030</v>
      </c>
      <c r="B74" s="10">
        <v>0</v>
      </c>
      <c r="C74" s="10">
        <v>9.8000000000000007</v>
      </c>
      <c r="D74" s="96">
        <f>5/12*5</f>
        <v>2.0833333333333335</v>
      </c>
      <c r="E74" s="96">
        <f t="shared" si="13"/>
        <v>20.416666666666668</v>
      </c>
      <c r="F74" s="96">
        <f t="shared" si="14"/>
        <v>1.666666666666667</v>
      </c>
      <c r="G74" s="122">
        <f t="shared" si="15"/>
        <v>19.866666666666667</v>
      </c>
      <c r="H74" s="122">
        <f t="shared" si="17"/>
        <v>9.8666666666666689</v>
      </c>
      <c r="I74" s="94">
        <f>'Modell During mining'!$G19/1000000*A41</f>
        <v>1.7315600000000002</v>
      </c>
      <c r="J74" s="94">
        <v>1</v>
      </c>
      <c r="K74" s="93">
        <v>0</v>
      </c>
      <c r="L74" s="93">
        <v>0.6</v>
      </c>
      <c r="M74" s="93">
        <v>0</v>
      </c>
      <c r="N74" s="93">
        <v>0.6</v>
      </c>
      <c r="O74" s="93">
        <v>1.26</v>
      </c>
      <c r="P74" s="93">
        <v>0.5</v>
      </c>
      <c r="Q74" s="93">
        <v>0</v>
      </c>
      <c r="R74" s="93">
        <v>0</v>
      </c>
      <c r="S74" s="93">
        <v>0.36</v>
      </c>
      <c r="T74" s="98">
        <f>AF74</f>
        <v>6.0606837300939382</v>
      </c>
      <c r="U74" s="93">
        <v>25.21</v>
      </c>
      <c r="V74" s="93">
        <v>2.5</v>
      </c>
      <c r="W74" s="93">
        <v>21.42</v>
      </c>
      <c r="X74" s="93">
        <v>2.5</v>
      </c>
      <c r="Y74" s="93">
        <v>0.11</v>
      </c>
      <c r="Z74" s="93">
        <v>2.5</v>
      </c>
      <c r="AA74" s="93">
        <v>5.8</v>
      </c>
      <c r="AB74" s="93">
        <v>2.5</v>
      </c>
      <c r="AC74" s="93">
        <v>1.7</v>
      </c>
      <c r="AD74" s="93">
        <v>2.5</v>
      </c>
      <c r="AE74" s="93">
        <v>1.84</v>
      </c>
      <c r="AF74" s="96">
        <f t="shared" si="16"/>
        <v>6.0606837300939382</v>
      </c>
      <c r="AG74" s="10">
        <f t="shared" si="11"/>
        <v>7.97</v>
      </c>
      <c r="AH74" s="95">
        <f t="shared" si="12"/>
        <v>2.9915600000000002</v>
      </c>
      <c r="AI74" s="96">
        <f t="shared" si="18"/>
        <v>6.0606837300939382</v>
      </c>
      <c r="AJ74" s="96">
        <f t="shared" si="19"/>
        <v>5.9838844256357309</v>
      </c>
      <c r="AK74" s="96">
        <f t="shared" si="20"/>
        <v>4.5875334354864803</v>
      </c>
    </row>
    <row r="75" spans="1:40" x14ac:dyDescent="0.15">
      <c r="A75" s="10">
        <f>A74+0.5</f>
        <v>2030.5</v>
      </c>
      <c r="S75" s="10"/>
      <c r="T75" s="10"/>
      <c r="AI75" s="96">
        <f t="shared" si="18"/>
        <v>5.2309200187803704</v>
      </c>
      <c r="AJ75" s="96">
        <f t="shared" si="19"/>
        <v>5.1528694859248301</v>
      </c>
      <c r="AK75" s="96">
        <f t="shared" si="20"/>
        <v>3.7337688885513667</v>
      </c>
    </row>
    <row r="76" spans="1:40" x14ac:dyDescent="0.15">
      <c r="A76" s="10"/>
      <c r="S76" s="10"/>
      <c r="T76" s="10"/>
    </row>
    <row r="77" spans="1:40" x14ac:dyDescent="0.15">
      <c r="A77" s="10"/>
      <c r="S77" s="10"/>
      <c r="T77" s="10"/>
    </row>
    <row r="78" spans="1:40" x14ac:dyDescent="0.15">
      <c r="S78" s="10"/>
      <c r="T78" s="10"/>
    </row>
    <row r="79" spans="1:40" x14ac:dyDescent="0.15">
      <c r="A79" s="10">
        <f>7/12</f>
        <v>0.58333333333333337</v>
      </c>
      <c r="E79" s="11" t="s">
        <v>1067</v>
      </c>
      <c r="F79" s="11"/>
      <c r="G79" s="11" t="s">
        <v>1067</v>
      </c>
      <c r="H79" s="11" t="s">
        <v>1067</v>
      </c>
      <c r="S79" s="10"/>
      <c r="T79" s="10"/>
      <c r="AF79" t="s">
        <v>1449</v>
      </c>
      <c r="AJ79" t="s">
        <v>1448</v>
      </c>
      <c r="AK79" t="s">
        <v>1450</v>
      </c>
      <c r="AL79" t="s">
        <v>1451</v>
      </c>
    </row>
    <row r="80" spans="1:40" x14ac:dyDescent="0.15">
      <c r="A80">
        <f>5/12</f>
        <v>0.41666666666666669</v>
      </c>
      <c r="C80" s="118" t="s">
        <v>1200</v>
      </c>
      <c r="E80" s="10">
        <v>598</v>
      </c>
      <c r="F80" s="10" t="s">
        <v>1456</v>
      </c>
      <c r="G80" s="170">
        <v>3047</v>
      </c>
      <c r="H80" s="170">
        <v>598</v>
      </c>
      <c r="I80" s="11" t="s">
        <v>1067</v>
      </c>
      <c r="J80" s="11" t="s">
        <v>1067</v>
      </c>
      <c r="K80" s="11" t="s">
        <v>1067</v>
      </c>
      <c r="L80" s="11" t="s">
        <v>1067</v>
      </c>
      <c r="M80" s="11" t="s">
        <v>1067</v>
      </c>
      <c r="N80" s="11" t="s">
        <v>1067</v>
      </c>
      <c r="O80" s="11" t="s">
        <v>1067</v>
      </c>
      <c r="P80" s="11" t="s">
        <v>1067</v>
      </c>
      <c r="Q80" s="11" t="s">
        <v>1067</v>
      </c>
      <c r="R80" s="11" t="s">
        <v>1067</v>
      </c>
      <c r="S80" s="11" t="s">
        <v>1067</v>
      </c>
      <c r="T80" s="11" t="s">
        <v>1067</v>
      </c>
      <c r="U80" s="11" t="s">
        <v>1067</v>
      </c>
      <c r="V80" s="11" t="s">
        <v>1067</v>
      </c>
      <c r="W80" s="11" t="s">
        <v>1067</v>
      </c>
      <c r="X80" s="11" t="s">
        <v>1067</v>
      </c>
      <c r="Y80" s="11" t="s">
        <v>1067</v>
      </c>
      <c r="Z80" s="11" t="s">
        <v>1067</v>
      </c>
      <c r="AA80" s="11" t="s">
        <v>1067</v>
      </c>
      <c r="AB80" s="11" t="s">
        <v>1067</v>
      </c>
      <c r="AC80" s="11" t="s">
        <v>1067</v>
      </c>
      <c r="AD80" s="11" t="s">
        <v>1067</v>
      </c>
      <c r="AE80" s="11" t="s">
        <v>1067</v>
      </c>
      <c r="AF80" s="11" t="s">
        <v>1067</v>
      </c>
      <c r="AG80" s="11" t="s">
        <v>1067</v>
      </c>
      <c r="AH80" s="11" t="s">
        <v>1067</v>
      </c>
      <c r="AI80" s="11" t="s">
        <v>1067</v>
      </c>
      <c r="AJ80" t="s">
        <v>1443</v>
      </c>
      <c r="AL80" t="s">
        <v>1444</v>
      </c>
      <c r="AN80" t="s">
        <v>1445</v>
      </c>
    </row>
    <row r="81" spans="1:40" ht="27" customHeight="1" x14ac:dyDescent="0.15">
      <c r="B81" s="10" t="s">
        <v>1058</v>
      </c>
      <c r="D81" s="97" t="s">
        <v>1056</v>
      </c>
      <c r="E81" s="97" t="s">
        <v>1439</v>
      </c>
      <c r="F81" s="97" t="s">
        <v>1056</v>
      </c>
      <c r="G81" s="97" t="s">
        <v>1427</v>
      </c>
      <c r="H81" s="97" t="s">
        <v>1428</v>
      </c>
      <c r="I81" s="85" t="s">
        <v>918</v>
      </c>
      <c r="J81" s="85" t="s">
        <v>656</v>
      </c>
      <c r="K81" s="85" t="s">
        <v>919</v>
      </c>
      <c r="L81" s="10" t="s">
        <v>945</v>
      </c>
      <c r="M81" s="85" t="s">
        <v>947</v>
      </c>
      <c r="N81" s="10" t="s">
        <v>945</v>
      </c>
      <c r="O81" s="85" t="s">
        <v>779</v>
      </c>
      <c r="P81" s="10" t="s">
        <v>945</v>
      </c>
      <c r="Q81" s="85" t="s">
        <v>780</v>
      </c>
      <c r="R81" s="10" t="s">
        <v>945</v>
      </c>
      <c r="S81" s="85" t="s">
        <v>948</v>
      </c>
      <c r="T81" s="10" t="s">
        <v>945</v>
      </c>
      <c r="U81" s="85" t="s">
        <v>949</v>
      </c>
      <c r="V81" s="10" t="s">
        <v>945</v>
      </c>
      <c r="W81" s="85" t="s">
        <v>950</v>
      </c>
      <c r="X81" s="10" t="s">
        <v>945</v>
      </c>
      <c r="Y81" s="85" t="s">
        <v>783</v>
      </c>
      <c r="Z81" s="10" t="s">
        <v>945</v>
      </c>
      <c r="AA81" s="85" t="s">
        <v>784</v>
      </c>
      <c r="AB81" s="10" t="s">
        <v>945</v>
      </c>
      <c r="AC81" s="85" t="s">
        <v>785</v>
      </c>
      <c r="AD81" s="10" t="s">
        <v>945</v>
      </c>
      <c r="AE81" s="85" t="s">
        <v>1205</v>
      </c>
      <c r="AF81" s="10" t="s">
        <v>945</v>
      </c>
      <c r="AG81" s="85" t="s">
        <v>1060</v>
      </c>
      <c r="AH81" s="85" t="s">
        <v>1061</v>
      </c>
      <c r="AI81" s="10" t="s">
        <v>945</v>
      </c>
      <c r="AJ81" s="123" t="s">
        <v>1128</v>
      </c>
      <c r="AL81" s="97" t="s">
        <v>1447</v>
      </c>
      <c r="AN81" s="97" t="s">
        <v>1446</v>
      </c>
    </row>
    <row r="82" spans="1:40" x14ac:dyDescent="0.15">
      <c r="A82" s="10">
        <v>2014.5</v>
      </c>
      <c r="C82" s="10">
        <f t="shared" ref="C82:C113" si="21">E$80</f>
        <v>598</v>
      </c>
      <c r="D82" s="95">
        <f>5*A79</f>
        <v>2.916666666666667</v>
      </c>
      <c r="E82" s="122">
        <f t="shared" ref="E82:E113" si="22">C$82*D82</f>
        <v>1744.1666666666667</v>
      </c>
      <c r="F82" s="96">
        <f>D82*0.8</f>
        <v>2.3333333333333335</v>
      </c>
      <c r="G82" s="122">
        <f>(C82*0.4*D82+G$80*0.6*F82)</f>
        <v>4963.4666666666672</v>
      </c>
      <c r="H82" s="122">
        <f>(C82*0.4+H$80*0.6)*D82</f>
        <v>1744.1666666666667</v>
      </c>
      <c r="I82" s="94">
        <f>'Modell During mining'!$G4/1000000*A79</f>
        <v>0.77263199999999999</v>
      </c>
      <c r="J82" s="94">
        <f>'Modell During mining'!$D34</f>
        <v>4.130047192660931</v>
      </c>
      <c r="K82" s="93">
        <v>0.95</v>
      </c>
      <c r="L82" s="93">
        <v>0.01</v>
      </c>
      <c r="M82" s="93">
        <v>0.31</v>
      </c>
      <c r="N82" s="93">
        <v>0.01</v>
      </c>
      <c r="O82" s="93">
        <v>1.26</v>
      </c>
      <c r="P82" s="93">
        <v>1</v>
      </c>
      <c r="Q82" s="93">
        <v>1.6</v>
      </c>
      <c r="R82" s="93">
        <v>0</v>
      </c>
      <c r="S82" s="93">
        <v>0.36</v>
      </c>
      <c r="T82" s="93">
        <v>0.2</v>
      </c>
      <c r="U82" s="93">
        <v>25.21</v>
      </c>
      <c r="V82" s="93">
        <v>0.2</v>
      </c>
      <c r="W82" s="93">
        <v>21.42</v>
      </c>
      <c r="X82" s="93">
        <v>0.2</v>
      </c>
      <c r="Y82" s="93">
        <v>0.11</v>
      </c>
      <c r="Z82" s="93">
        <v>0.2</v>
      </c>
      <c r="AA82" s="93">
        <v>5.8</v>
      </c>
      <c r="AB82" s="93">
        <v>0.2</v>
      </c>
      <c r="AC82" s="93">
        <v>1.7</v>
      </c>
      <c r="AD82" s="93">
        <v>0.2</v>
      </c>
      <c r="AE82" s="93">
        <v>1.84</v>
      </c>
      <c r="AF82" s="10">
        <v>0.2</v>
      </c>
      <c r="AG82" s="10">
        <f>S82+Y82+AA82+AC82</f>
        <v>7.97</v>
      </c>
      <c r="AH82" s="95">
        <f>I82+K82+M82+O82+Q82</f>
        <v>4.8926320000000008</v>
      </c>
      <c r="AI82" s="96">
        <f>(($E82/1000+$I82*$J82+$K82*$L82+$M82*N$82+$O82*$P82-$S82*T$82)/($I82+$K82+$M82+$O82+$Q82+$I82-$S82)*$AH82+$AE82*$AF82)/($AH82+$AE82)</f>
        <v>0.89512482883760613</v>
      </c>
      <c r="AJ82">
        <f>AF82</f>
        <v>0.2</v>
      </c>
      <c r="AK82">
        <f>AF82</f>
        <v>0.2</v>
      </c>
      <c r="AL82">
        <f>AJ82</f>
        <v>0.2</v>
      </c>
      <c r="AM82">
        <f>AK82</f>
        <v>0.2</v>
      </c>
      <c r="AN82">
        <f>AL82</f>
        <v>0.2</v>
      </c>
    </row>
    <row r="83" spans="1:40" x14ac:dyDescent="0.15">
      <c r="A83" s="10">
        <v>2015</v>
      </c>
      <c r="C83" s="10">
        <f t="shared" si="21"/>
        <v>598</v>
      </c>
      <c r="D83" s="95">
        <f>5*A$80</f>
        <v>2.0833333333333335</v>
      </c>
      <c r="E83" s="122">
        <f t="shared" si="22"/>
        <v>1245.8333333333335</v>
      </c>
      <c r="F83" s="96">
        <f t="shared" ref="F83:F113" si="23">D83*0.8</f>
        <v>1.666666666666667</v>
      </c>
      <c r="G83" s="122">
        <f>(C83*0.4*D83+G$80*0.6*F83)</f>
        <v>3545.3333333333339</v>
      </c>
      <c r="H83" s="122">
        <f t="shared" ref="H83:H113" si="24">(C83*0.4+H$80*0.6)*D83</f>
        <v>1245.8333333333335</v>
      </c>
      <c r="I83" s="94">
        <f>'Modell During mining'!$G5/1000000*A80</f>
        <v>0.63052533333333338</v>
      </c>
      <c r="J83" s="94">
        <v>0.01</v>
      </c>
      <c r="K83" s="93">
        <v>0</v>
      </c>
      <c r="L83" s="93">
        <v>0.01</v>
      </c>
      <c r="M83" s="93">
        <v>0.31</v>
      </c>
      <c r="N83" s="93">
        <v>0.01</v>
      </c>
      <c r="O83" s="93">
        <v>1.26</v>
      </c>
      <c r="P83" s="93">
        <v>0.01</v>
      </c>
      <c r="Q83" s="93">
        <v>0</v>
      </c>
      <c r="R83" s="93">
        <v>0</v>
      </c>
      <c r="S83" s="93">
        <v>0.36</v>
      </c>
      <c r="T83" s="98">
        <f>AI82</f>
        <v>0.89512482883760613</v>
      </c>
      <c r="U83" s="93">
        <v>25.21</v>
      </c>
      <c r="V83" s="98">
        <f>$AI82</f>
        <v>0.89512482883760613</v>
      </c>
      <c r="W83" s="93">
        <v>21.42</v>
      </c>
      <c r="X83" s="98">
        <f>$AI82</f>
        <v>0.89512482883760613</v>
      </c>
      <c r="Y83" s="93">
        <v>0.11</v>
      </c>
      <c r="Z83" s="98">
        <f>$AI82</f>
        <v>0.89512482883760613</v>
      </c>
      <c r="AA83" s="93">
        <v>5.8</v>
      </c>
      <c r="AB83" s="98">
        <f>$AI82</f>
        <v>0.89512482883760613</v>
      </c>
      <c r="AC83" s="93">
        <v>1.7</v>
      </c>
      <c r="AD83" s="98">
        <f>$AI82</f>
        <v>0.89512482883760613</v>
      </c>
      <c r="AE83" s="93">
        <v>1.84</v>
      </c>
      <c r="AF83" s="98">
        <f>$AI82</f>
        <v>0.89512482883760613</v>
      </c>
      <c r="AG83" s="10">
        <f>S83+Y83+AA83+AC83</f>
        <v>7.97</v>
      </c>
      <c r="AH83" s="95">
        <f>I83+K83+M83+O83+Q83</f>
        <v>2.2005253333333332</v>
      </c>
      <c r="AI83" s="96">
        <f>((E83/1000+I83*J83+K83*L83+M83*N83+O83*P83-S83*T83)/(I83+K83+M83+O83+Q83+I83-S83)*AH83+AE83*AF83)/(AH83+AE83)</f>
        <v>0.61603419384920688</v>
      </c>
      <c r="AJ83" s="81">
        <f>AI82*0.25</f>
        <v>0.22378120720940153</v>
      </c>
      <c r="AK83" s="96">
        <f t="shared" ref="AK83:AK114" si="25">(($G82/1000+$I82*$J82+$K82*$L82+$M82*P$82+$O82*$P82-$S82*V$82)/($I82+$K82+$M82+$O82+$Q82+$I82-$S82)*$AH82+$AE82*$AF82)/($AH82+$AE82)</f>
        <v>1.3781364896080492</v>
      </c>
      <c r="AL83" s="81">
        <f t="shared" ref="AL83:AL114" si="26">AK83*0.25</f>
        <v>0.34453412240201231</v>
      </c>
      <c r="AM83" s="96">
        <f t="shared" ref="AM83:AM114" si="27">(($H82/1000+$I82*$J82+$K82*$L82+$M82*R$82+$O82*$P82-$S82*X$82)/($I82+$K82+$M82+$O82+$Q82+$I82-$S82)*$AH82+$AE82*$AF82)/($AH82+$AE82)</f>
        <v>0.89470019718075489</v>
      </c>
      <c r="AN83" s="81">
        <f t="shared" ref="AN83:AN114" si="28">AM83*0.25</f>
        <v>0.22367504929518872</v>
      </c>
    </row>
    <row r="84" spans="1:40" x14ac:dyDescent="0.15">
      <c r="A84" s="10">
        <v>2015.5</v>
      </c>
      <c r="C84" s="10">
        <f t="shared" si="21"/>
        <v>598</v>
      </c>
      <c r="D84" s="95">
        <f>5.5*A79</f>
        <v>3.2083333333333335</v>
      </c>
      <c r="E84" s="122">
        <f t="shared" si="22"/>
        <v>1918.5833333333335</v>
      </c>
      <c r="F84" s="96">
        <f t="shared" si="23"/>
        <v>2.5666666666666669</v>
      </c>
      <c r="G84" s="122">
        <f t="shared" ref="G84:G113" si="29">(C84*0.4*D84+G$80*0.6*F84)</f>
        <v>5459.8133333333335</v>
      </c>
      <c r="H84" s="122">
        <f t="shared" si="24"/>
        <v>1918.5833333333335</v>
      </c>
      <c r="I84" s="94">
        <f>'Modell During mining'!$G5/1000000*A79</f>
        <v>0.8827354666666668</v>
      </c>
      <c r="J84" s="94">
        <f>'Modell During mining'!$D35</f>
        <v>3.6149082112361026</v>
      </c>
      <c r="K84" s="93">
        <v>0.95</v>
      </c>
      <c r="L84" s="93">
        <v>0.01</v>
      </c>
      <c r="M84" s="93">
        <v>0.31</v>
      </c>
      <c r="N84" s="93">
        <v>0.01</v>
      </c>
      <c r="O84" s="93">
        <v>1.26</v>
      </c>
      <c r="P84" s="93">
        <v>1</v>
      </c>
      <c r="Q84" s="93">
        <v>1.6</v>
      </c>
      <c r="R84" s="93">
        <v>0</v>
      </c>
      <c r="S84" s="93">
        <v>0.36</v>
      </c>
      <c r="T84" s="98">
        <f>AI82</f>
        <v>0.89512482883760613</v>
      </c>
      <c r="U84" s="93">
        <v>25.21</v>
      </c>
      <c r="V84" s="98">
        <f>$AI82</f>
        <v>0.89512482883760613</v>
      </c>
      <c r="W84" s="93">
        <v>21.42</v>
      </c>
      <c r="X84" s="98">
        <f>$AI82</f>
        <v>0.89512482883760613</v>
      </c>
      <c r="Y84" s="93">
        <v>0.11</v>
      </c>
      <c r="Z84" s="98">
        <f>$AI82</f>
        <v>0.89512482883760613</v>
      </c>
      <c r="AA84" s="93">
        <v>5.8</v>
      </c>
      <c r="AB84" s="98">
        <f>$AI82</f>
        <v>0.89512482883760613</v>
      </c>
      <c r="AC84" s="93">
        <v>1.7</v>
      </c>
      <c r="AD84" s="98">
        <f>$AI82</f>
        <v>0.89512482883760613</v>
      </c>
      <c r="AE84" s="93">
        <v>1.84</v>
      </c>
      <c r="AF84" s="98">
        <f t="shared" ref="AF84:AF112" si="30">$AI83</f>
        <v>0.61603419384920688</v>
      </c>
      <c r="AG84" s="10">
        <f t="shared" ref="AG84:AG112" si="31">S84+Y84+AA84+AC84</f>
        <v>7.97</v>
      </c>
      <c r="AH84" s="95">
        <f t="shared" ref="AH84:AH112" si="32">I84+K84+M84+O84+Q84</f>
        <v>5.0027354666666675</v>
      </c>
      <c r="AI84" s="96">
        <f t="shared" ref="AI84:AI113" si="33">((E84/1000+I84*J84+K84*L84+M84*N84+O84*P84-S84*T84)/(I84+K84+M84+O84+Q84+I84-S84)*AH84+AE84*AF84)/(AH84+AE84)</f>
        <v>0.96747122669071284</v>
      </c>
      <c r="AJ84" s="81">
        <f t="shared" ref="AJ84:AJ114" si="34">AI83*0.25</f>
        <v>0.15400854846230172</v>
      </c>
      <c r="AK84" s="96">
        <f t="shared" si="25"/>
        <v>1.2456319219566456</v>
      </c>
      <c r="AL84" s="81">
        <f t="shared" si="26"/>
        <v>0.31140798048916141</v>
      </c>
      <c r="AM84" s="96">
        <f t="shared" si="27"/>
        <v>0.67050434854978613</v>
      </c>
      <c r="AN84" s="81">
        <f t="shared" si="28"/>
        <v>0.16762608713744653</v>
      </c>
    </row>
    <row r="85" spans="1:40" x14ac:dyDescent="0.15">
      <c r="A85" s="10">
        <f>A83+1</f>
        <v>2016</v>
      </c>
      <c r="C85" s="10">
        <f t="shared" si="21"/>
        <v>598</v>
      </c>
      <c r="D85" s="95">
        <f>5*A$80</f>
        <v>2.0833333333333335</v>
      </c>
      <c r="E85" s="122">
        <f t="shared" si="22"/>
        <v>1245.8333333333335</v>
      </c>
      <c r="F85" s="96">
        <f t="shared" si="23"/>
        <v>1.666666666666667</v>
      </c>
      <c r="G85" s="122">
        <f t="shared" si="29"/>
        <v>3545.3333333333339</v>
      </c>
      <c r="H85" s="122">
        <f t="shared" si="24"/>
        <v>1245.8333333333335</v>
      </c>
      <c r="I85" s="94">
        <f>'Modell During mining'!$G6/1000000*A80</f>
        <v>0.70917066666666673</v>
      </c>
      <c r="J85" s="94">
        <v>0.01</v>
      </c>
      <c r="K85" s="93">
        <v>0</v>
      </c>
      <c r="L85" s="93">
        <v>0.01</v>
      </c>
      <c r="M85" s="93">
        <v>0.31</v>
      </c>
      <c r="N85" s="93">
        <v>0.01</v>
      </c>
      <c r="O85" s="93">
        <v>1.26</v>
      </c>
      <c r="P85" s="93">
        <v>0.01</v>
      </c>
      <c r="Q85" s="93">
        <v>0</v>
      </c>
      <c r="R85" s="93">
        <v>0</v>
      </c>
      <c r="S85" s="93">
        <v>0.36</v>
      </c>
      <c r="T85" s="98">
        <f>AI84</f>
        <v>0.96747122669071284</v>
      </c>
      <c r="U85" s="93">
        <v>25.21</v>
      </c>
      <c r="V85" s="98">
        <f>$AI84</f>
        <v>0.96747122669071284</v>
      </c>
      <c r="W85" s="93">
        <v>21.42</v>
      </c>
      <c r="X85" s="98">
        <f>$AI84</f>
        <v>0.96747122669071284</v>
      </c>
      <c r="Y85" s="93">
        <v>0.11</v>
      </c>
      <c r="Z85" s="98">
        <f>$AI84</f>
        <v>0.96747122669071284</v>
      </c>
      <c r="AA85" s="93">
        <v>5.8</v>
      </c>
      <c r="AB85" s="98">
        <f>$AI84</f>
        <v>0.96747122669071284</v>
      </c>
      <c r="AC85" s="93">
        <v>1.7</v>
      </c>
      <c r="AD85" s="98">
        <f>$AI84</f>
        <v>0.96747122669071284</v>
      </c>
      <c r="AE85" s="93">
        <v>1.84</v>
      </c>
      <c r="AF85" s="98">
        <f t="shared" si="30"/>
        <v>0.96747122669071284</v>
      </c>
      <c r="AG85" s="10">
        <f t="shared" si="31"/>
        <v>7.97</v>
      </c>
      <c r="AH85" s="95">
        <f t="shared" si="32"/>
        <v>2.2791706666666665</v>
      </c>
      <c r="AI85" s="96">
        <f t="shared" si="33"/>
        <v>0.62590693005554077</v>
      </c>
      <c r="AJ85" s="81">
        <f t="shared" si="34"/>
        <v>0.24186780667267821</v>
      </c>
      <c r="AK85" s="96">
        <f t="shared" si="25"/>
        <v>1.5097469678015443</v>
      </c>
      <c r="AL85" s="81">
        <f t="shared" si="26"/>
        <v>0.37743674195038607</v>
      </c>
      <c r="AM85" s="96">
        <f t="shared" si="27"/>
        <v>1.0001721646570094</v>
      </c>
      <c r="AN85" s="81">
        <f t="shared" si="28"/>
        <v>0.25004304116425236</v>
      </c>
    </row>
    <row r="86" spans="1:40" x14ac:dyDescent="0.15">
      <c r="A86" s="10">
        <v>2016.5</v>
      </c>
      <c r="C86" s="10">
        <f t="shared" si="21"/>
        <v>598</v>
      </c>
      <c r="D86" s="95">
        <f>6.5*A79</f>
        <v>3.791666666666667</v>
      </c>
      <c r="E86" s="122">
        <f t="shared" si="22"/>
        <v>2267.416666666667</v>
      </c>
      <c r="F86" s="96">
        <f t="shared" si="23"/>
        <v>3.0333333333333337</v>
      </c>
      <c r="G86" s="122">
        <f t="shared" si="29"/>
        <v>6452.506666666668</v>
      </c>
      <c r="H86" s="122">
        <f t="shared" si="24"/>
        <v>2267.416666666667</v>
      </c>
      <c r="I86" s="94">
        <f>'Modell During mining'!$G6/1000000*A79</f>
        <v>0.9928389333333334</v>
      </c>
      <c r="J86" s="94">
        <f>'Modell During mining'!$D36</f>
        <v>3.2140245954415967</v>
      </c>
      <c r="K86" s="93">
        <v>0.95</v>
      </c>
      <c r="L86" s="93">
        <v>0.01</v>
      </c>
      <c r="M86" s="93">
        <v>0.31</v>
      </c>
      <c r="N86" s="93">
        <v>0.01</v>
      </c>
      <c r="O86" s="93">
        <v>1.26</v>
      </c>
      <c r="P86" s="93">
        <v>1</v>
      </c>
      <c r="Q86" s="93">
        <v>1.6</v>
      </c>
      <c r="R86" s="93">
        <v>0</v>
      </c>
      <c r="S86" s="93">
        <v>0.36</v>
      </c>
      <c r="T86" s="98">
        <f>AI84</f>
        <v>0.96747122669071284</v>
      </c>
      <c r="U86" s="93">
        <v>25.21</v>
      </c>
      <c r="V86" s="98">
        <f>$AI84</f>
        <v>0.96747122669071284</v>
      </c>
      <c r="W86" s="93">
        <v>21.42</v>
      </c>
      <c r="X86" s="98">
        <f>$AI84</f>
        <v>0.96747122669071284</v>
      </c>
      <c r="Y86" s="93">
        <v>0.11</v>
      </c>
      <c r="Z86" s="98">
        <f>$AI84</f>
        <v>0.96747122669071284</v>
      </c>
      <c r="AA86" s="93">
        <v>5.8</v>
      </c>
      <c r="AB86" s="98">
        <f>$AI84</f>
        <v>0.96747122669071284</v>
      </c>
      <c r="AC86" s="93">
        <v>1.7</v>
      </c>
      <c r="AD86" s="98">
        <f>$AI84</f>
        <v>0.96747122669071284</v>
      </c>
      <c r="AE86" s="93">
        <v>1.84</v>
      </c>
      <c r="AF86" s="98">
        <f t="shared" si="30"/>
        <v>0.62590693005554077</v>
      </c>
      <c r="AG86" s="10">
        <f t="shared" si="31"/>
        <v>7.97</v>
      </c>
      <c r="AH86" s="95">
        <f t="shared" si="32"/>
        <v>5.1128389333333342</v>
      </c>
      <c r="AI86" s="96">
        <f t="shared" si="33"/>
        <v>0.98253375285283995</v>
      </c>
      <c r="AJ86" s="81">
        <f t="shared" si="34"/>
        <v>0.15647673251388519</v>
      </c>
      <c r="AK86" s="96">
        <f t="shared" si="25"/>
        <v>1.2327594831435584</v>
      </c>
      <c r="AL86" s="81">
        <f t="shared" si="26"/>
        <v>0.30818987078588961</v>
      </c>
      <c r="AM86" s="96">
        <f t="shared" si="27"/>
        <v>0.68341774533529409</v>
      </c>
      <c r="AN86" s="81">
        <f t="shared" si="28"/>
        <v>0.17085443633382352</v>
      </c>
    </row>
    <row r="87" spans="1:40" x14ac:dyDescent="0.15">
      <c r="A87" s="10">
        <f>A85+1</f>
        <v>2017</v>
      </c>
      <c r="C87" s="10">
        <f t="shared" si="21"/>
        <v>598</v>
      </c>
      <c r="D87" s="95">
        <f>5*A$80</f>
        <v>2.0833333333333335</v>
      </c>
      <c r="E87" s="122">
        <f t="shared" si="22"/>
        <v>1245.8333333333335</v>
      </c>
      <c r="F87" s="96">
        <f t="shared" si="23"/>
        <v>1.666666666666667</v>
      </c>
      <c r="G87" s="122">
        <f t="shared" si="29"/>
        <v>3545.3333333333339</v>
      </c>
      <c r="H87" s="122">
        <f t="shared" si="24"/>
        <v>1245.8333333333335</v>
      </c>
      <c r="I87" s="94">
        <f>'Modell During mining'!$G7/1000000*A80</f>
        <v>0.78781600000000018</v>
      </c>
      <c r="J87" s="94">
        <v>0.01</v>
      </c>
      <c r="K87" s="93">
        <v>0</v>
      </c>
      <c r="L87" s="93">
        <v>0.01</v>
      </c>
      <c r="M87" s="93">
        <v>0.31</v>
      </c>
      <c r="N87" s="93">
        <v>0.01</v>
      </c>
      <c r="O87" s="93">
        <v>1.26</v>
      </c>
      <c r="P87" s="93">
        <v>0.01</v>
      </c>
      <c r="Q87" s="93">
        <v>0</v>
      </c>
      <c r="R87" s="93">
        <v>0</v>
      </c>
      <c r="S87" s="93">
        <v>0.36</v>
      </c>
      <c r="T87" s="98">
        <f>AI86</f>
        <v>0.98253375285283995</v>
      </c>
      <c r="U87" s="93">
        <v>25.21</v>
      </c>
      <c r="V87" s="98">
        <f>$AI86</f>
        <v>0.98253375285283995</v>
      </c>
      <c r="W87" s="93">
        <v>21.42</v>
      </c>
      <c r="X87" s="98">
        <f>$AI86</f>
        <v>0.98253375285283995</v>
      </c>
      <c r="Y87" s="93">
        <v>0.11</v>
      </c>
      <c r="Z87" s="98">
        <f>$AI86</f>
        <v>0.98253375285283995</v>
      </c>
      <c r="AA87" s="93">
        <v>5.8</v>
      </c>
      <c r="AB87" s="98">
        <f>$AI86</f>
        <v>0.98253375285283995</v>
      </c>
      <c r="AC87" s="93">
        <v>1.7</v>
      </c>
      <c r="AD87" s="98">
        <f>$AI86</f>
        <v>0.98253375285283995</v>
      </c>
      <c r="AE87" s="93">
        <v>1.84</v>
      </c>
      <c r="AF87" s="98">
        <f t="shared" si="30"/>
        <v>0.98253375285283995</v>
      </c>
      <c r="AG87" s="10">
        <f>S87+Y87+AA87+AC87</f>
        <v>7.97</v>
      </c>
      <c r="AH87" s="95">
        <f>I87+K87+M87+O87+Q87</f>
        <v>2.3578160000000001</v>
      </c>
      <c r="AI87" s="96">
        <f t="shared" si="33"/>
        <v>0.61530300291103346</v>
      </c>
      <c r="AJ87" s="81">
        <f t="shared" si="34"/>
        <v>0.24563343821320999</v>
      </c>
      <c r="AK87" s="96">
        <f t="shared" si="25"/>
        <v>1.5928014558721693</v>
      </c>
      <c r="AL87" s="81">
        <f t="shared" si="26"/>
        <v>0.39820036396804231</v>
      </c>
      <c r="AM87" s="96">
        <f t="shared" si="27"/>
        <v>1.0174978966539661</v>
      </c>
      <c r="AN87" s="81">
        <f t="shared" si="28"/>
        <v>0.25437447416349152</v>
      </c>
    </row>
    <row r="88" spans="1:40" x14ac:dyDescent="0.15">
      <c r="A88" s="10">
        <f>A87+0.5</f>
        <v>2017.5</v>
      </c>
      <c r="C88" s="10">
        <f t="shared" si="21"/>
        <v>598</v>
      </c>
      <c r="D88" s="95">
        <f>6.8*A$79</f>
        <v>3.9666666666666668</v>
      </c>
      <c r="E88" s="122">
        <f t="shared" si="22"/>
        <v>2372.0666666666666</v>
      </c>
      <c r="F88" s="96">
        <f t="shared" si="23"/>
        <v>3.1733333333333338</v>
      </c>
      <c r="G88" s="122">
        <f t="shared" si="29"/>
        <v>6750.314666666668</v>
      </c>
      <c r="H88" s="122">
        <f t="shared" si="24"/>
        <v>2372.0666666666666</v>
      </c>
      <c r="I88" s="94">
        <f>'Modell During mining'!$G7/1000000*A79</f>
        <v>1.1029424000000003</v>
      </c>
      <c r="J88" s="94">
        <f>'Modell During mining'!$D37</f>
        <v>2.8931790230278569</v>
      </c>
      <c r="K88" s="93">
        <v>0.95</v>
      </c>
      <c r="L88" s="93">
        <v>0.01</v>
      </c>
      <c r="M88" s="93">
        <v>0.31</v>
      </c>
      <c r="N88" s="93">
        <v>0.01</v>
      </c>
      <c r="O88" s="93">
        <v>1.26</v>
      </c>
      <c r="P88" s="93">
        <v>1</v>
      </c>
      <c r="Q88" s="93">
        <v>1.6</v>
      </c>
      <c r="R88" s="93">
        <v>0</v>
      </c>
      <c r="S88" s="93">
        <v>0.36</v>
      </c>
      <c r="T88" s="98">
        <f>AI86</f>
        <v>0.98253375285283995</v>
      </c>
      <c r="U88" s="93">
        <v>25.21</v>
      </c>
      <c r="V88" s="98">
        <f>$AI86</f>
        <v>0.98253375285283995</v>
      </c>
      <c r="W88" s="93">
        <v>21.42</v>
      </c>
      <c r="X88" s="98">
        <f>$AI86</f>
        <v>0.98253375285283995</v>
      </c>
      <c r="Y88" s="93">
        <v>0.11</v>
      </c>
      <c r="Z88" s="98">
        <f>$AI86</f>
        <v>0.98253375285283995</v>
      </c>
      <c r="AA88" s="93">
        <v>5.8</v>
      </c>
      <c r="AB88" s="98">
        <f>$AI86</f>
        <v>0.98253375285283995</v>
      </c>
      <c r="AC88" s="93">
        <v>1.7</v>
      </c>
      <c r="AD88" s="98">
        <f>$AI86</f>
        <v>0.98253375285283995</v>
      </c>
      <c r="AE88" s="93">
        <v>1.84</v>
      </c>
      <c r="AF88" s="98">
        <f t="shared" si="30"/>
        <v>0.61530300291103346</v>
      </c>
      <c r="AG88" s="10">
        <f t="shared" si="31"/>
        <v>7.97</v>
      </c>
      <c r="AH88" s="95">
        <f t="shared" si="32"/>
        <v>5.2229424000000009</v>
      </c>
      <c r="AI88" s="96">
        <f t="shared" si="33"/>
        <v>0.96375005705779926</v>
      </c>
      <c r="AJ88" s="81">
        <f t="shared" si="34"/>
        <v>0.15382575072775836</v>
      </c>
      <c r="AK88" s="96">
        <f t="shared" si="25"/>
        <v>1.197643272127046</v>
      </c>
      <c r="AL88" s="81">
        <f t="shared" si="26"/>
        <v>0.29941081803176151</v>
      </c>
      <c r="AM88" s="96">
        <f t="shared" si="27"/>
        <v>0.67148055646560467</v>
      </c>
      <c r="AN88" s="81">
        <f t="shared" si="28"/>
        <v>0.16787013911640117</v>
      </c>
    </row>
    <row r="89" spans="1:40" x14ac:dyDescent="0.15">
      <c r="A89" s="10">
        <f>A87+1</f>
        <v>2018</v>
      </c>
      <c r="C89" s="10">
        <f t="shared" si="21"/>
        <v>598</v>
      </c>
      <c r="D89" s="95">
        <f>5*A$80</f>
        <v>2.0833333333333335</v>
      </c>
      <c r="E89" s="122">
        <f t="shared" si="22"/>
        <v>1245.8333333333335</v>
      </c>
      <c r="F89" s="96">
        <f t="shared" si="23"/>
        <v>1.666666666666667</v>
      </c>
      <c r="G89" s="122">
        <f t="shared" si="29"/>
        <v>3545.3333333333339</v>
      </c>
      <c r="H89" s="122">
        <f t="shared" si="24"/>
        <v>1245.8333333333335</v>
      </c>
      <c r="I89" s="94">
        <f>'Modell During mining'!$G8/1000000*A80</f>
        <v>0.86646133333333364</v>
      </c>
      <c r="J89" s="94">
        <v>0.01</v>
      </c>
      <c r="K89" s="93">
        <v>0</v>
      </c>
      <c r="L89" s="93">
        <v>0.01</v>
      </c>
      <c r="M89" s="93">
        <v>0.31</v>
      </c>
      <c r="N89" s="93">
        <v>0.01</v>
      </c>
      <c r="O89" s="93">
        <v>1.26</v>
      </c>
      <c r="P89" s="93">
        <v>0.01</v>
      </c>
      <c r="Q89" s="93">
        <v>0</v>
      </c>
      <c r="R89" s="93">
        <v>0</v>
      </c>
      <c r="S89" s="93">
        <v>0.36</v>
      </c>
      <c r="T89" s="98">
        <f>AI88</f>
        <v>0.96375005705779926</v>
      </c>
      <c r="U89" s="93">
        <v>25.21</v>
      </c>
      <c r="V89" s="98">
        <f>$AI88</f>
        <v>0.96375005705779926</v>
      </c>
      <c r="W89" s="93">
        <v>21.42</v>
      </c>
      <c r="X89" s="98">
        <f>$AI88</f>
        <v>0.96375005705779926</v>
      </c>
      <c r="Y89" s="93">
        <v>0.11</v>
      </c>
      <c r="Z89" s="98">
        <f>$AI88</f>
        <v>0.96375005705779926</v>
      </c>
      <c r="AA89" s="93">
        <v>5.8</v>
      </c>
      <c r="AB89" s="98">
        <f>$AI88</f>
        <v>0.96375005705779926</v>
      </c>
      <c r="AC89" s="93">
        <v>1.7</v>
      </c>
      <c r="AD89" s="98">
        <f>$AI88</f>
        <v>0.96375005705779926</v>
      </c>
      <c r="AE89" s="93">
        <v>1.84</v>
      </c>
      <c r="AF89" s="98">
        <f t="shared" si="30"/>
        <v>0.96375005705779926</v>
      </c>
      <c r="AG89" s="10">
        <f>S89+Y89+AA89+AC89</f>
        <v>7.97</v>
      </c>
      <c r="AH89" s="95">
        <f>I89+K89+M89+O89+Q89</f>
        <v>2.4364613333333338</v>
      </c>
      <c r="AI89" s="96">
        <f t="shared" si="33"/>
        <v>0.59340229626711005</v>
      </c>
      <c r="AJ89" s="81">
        <f t="shared" si="34"/>
        <v>0.24093751426444981</v>
      </c>
      <c r="AK89" s="96">
        <f t="shared" si="25"/>
        <v>1.5794039654591221</v>
      </c>
      <c r="AL89" s="81">
        <f t="shared" si="26"/>
        <v>0.39485099136478052</v>
      </c>
      <c r="AM89" s="96">
        <f t="shared" si="27"/>
        <v>0.99828468346003818</v>
      </c>
      <c r="AN89" s="81">
        <f t="shared" si="28"/>
        <v>0.24957117086500955</v>
      </c>
    </row>
    <row r="90" spans="1:40" x14ac:dyDescent="0.15">
      <c r="A90" s="10">
        <f>A89+0.5</f>
        <v>2018.5</v>
      </c>
      <c r="C90" s="10">
        <f t="shared" si="21"/>
        <v>598</v>
      </c>
      <c r="D90" s="95">
        <f>6.8*A$79</f>
        <v>3.9666666666666668</v>
      </c>
      <c r="E90" s="122">
        <f t="shared" si="22"/>
        <v>2372.0666666666666</v>
      </c>
      <c r="F90" s="96">
        <f t="shared" si="23"/>
        <v>3.1733333333333338</v>
      </c>
      <c r="G90" s="122">
        <f t="shared" si="29"/>
        <v>6750.314666666668</v>
      </c>
      <c r="H90" s="122">
        <f t="shared" si="24"/>
        <v>2372.0666666666666</v>
      </c>
      <c r="I90" s="94">
        <f>'Modell During mining'!$G8/1000000*A79</f>
        <v>1.213045866666667</v>
      </c>
      <c r="J90" s="94">
        <f>'Modell During mining'!$D38</f>
        <v>2.6305772660511653</v>
      </c>
      <c r="K90" s="93">
        <v>0.95</v>
      </c>
      <c r="L90" s="93">
        <v>0.01</v>
      </c>
      <c r="M90" s="93">
        <v>0.31</v>
      </c>
      <c r="N90" s="93">
        <v>0.01</v>
      </c>
      <c r="O90" s="93">
        <v>1.26</v>
      </c>
      <c r="P90" s="93">
        <v>1</v>
      </c>
      <c r="Q90" s="93">
        <v>3.6</v>
      </c>
      <c r="R90" s="93">
        <v>0</v>
      </c>
      <c r="S90" s="93">
        <v>0.36</v>
      </c>
      <c r="T90" s="98">
        <f>AI88</f>
        <v>0.96375005705779926</v>
      </c>
      <c r="U90" s="93">
        <v>25.21</v>
      </c>
      <c r="V90" s="98">
        <f>$AI88</f>
        <v>0.96375005705779926</v>
      </c>
      <c r="W90" s="93">
        <v>21.42</v>
      </c>
      <c r="X90" s="98">
        <f>$AI88</f>
        <v>0.96375005705779926</v>
      </c>
      <c r="Y90" s="93">
        <v>0.11</v>
      </c>
      <c r="Z90" s="98">
        <f>$AI88</f>
        <v>0.96375005705779926</v>
      </c>
      <c r="AA90" s="93">
        <v>5.8</v>
      </c>
      <c r="AB90" s="98">
        <f>$AI88</f>
        <v>0.96375005705779926</v>
      </c>
      <c r="AC90" s="93">
        <v>1.7</v>
      </c>
      <c r="AD90" s="98">
        <f>$AI88</f>
        <v>0.96375005705779926</v>
      </c>
      <c r="AE90" s="93">
        <v>1.84</v>
      </c>
      <c r="AF90" s="98">
        <f t="shared" si="30"/>
        <v>0.59340229626711005</v>
      </c>
      <c r="AG90" s="10">
        <f t="shared" si="31"/>
        <v>7.97</v>
      </c>
      <c r="AH90" s="95">
        <f t="shared" si="32"/>
        <v>7.3330458666666676</v>
      </c>
      <c r="AI90" s="96">
        <f t="shared" si="33"/>
        <v>0.75268550505760823</v>
      </c>
      <c r="AJ90" s="81">
        <f t="shared" si="34"/>
        <v>0.14835057406677751</v>
      </c>
      <c r="AK90" s="96">
        <f t="shared" si="25"/>
        <v>1.1512198061365804</v>
      </c>
      <c r="AL90" s="81">
        <f t="shared" si="26"/>
        <v>0.28780495153414509</v>
      </c>
      <c r="AM90" s="96">
        <f t="shared" si="27"/>
        <v>0.64603134183081967</v>
      </c>
      <c r="AN90" s="81">
        <f t="shared" si="28"/>
        <v>0.16150783545770492</v>
      </c>
    </row>
    <row r="91" spans="1:40" x14ac:dyDescent="0.15">
      <c r="A91" s="10">
        <f>A89+1</f>
        <v>2019</v>
      </c>
      <c r="C91" s="10">
        <f t="shared" si="21"/>
        <v>598</v>
      </c>
      <c r="D91" s="95">
        <f>5*A$80</f>
        <v>2.0833333333333335</v>
      </c>
      <c r="E91" s="122">
        <f t="shared" si="22"/>
        <v>1245.8333333333335</v>
      </c>
      <c r="F91" s="96">
        <f t="shared" si="23"/>
        <v>1.666666666666667</v>
      </c>
      <c r="G91" s="122">
        <f t="shared" si="29"/>
        <v>3545.3333333333339</v>
      </c>
      <c r="H91" s="122">
        <f t="shared" si="24"/>
        <v>1245.8333333333335</v>
      </c>
      <c r="I91" s="94">
        <f>'Modell During mining'!$G9/1000000*A80</f>
        <v>0.94510666666666687</v>
      </c>
      <c r="J91" s="94">
        <v>0.01</v>
      </c>
      <c r="K91" s="93">
        <v>0</v>
      </c>
      <c r="L91" s="93">
        <v>0.01</v>
      </c>
      <c r="M91" s="93">
        <v>0.31</v>
      </c>
      <c r="N91" s="93">
        <v>0.01</v>
      </c>
      <c r="O91" s="93">
        <v>1.26</v>
      </c>
      <c r="P91" s="93">
        <v>0.01</v>
      </c>
      <c r="Q91" s="93">
        <v>0</v>
      </c>
      <c r="R91" s="93">
        <v>0</v>
      </c>
      <c r="S91" s="93">
        <v>0.36</v>
      </c>
      <c r="T91" s="98">
        <f>AI90</f>
        <v>0.75268550505760823</v>
      </c>
      <c r="U91" s="93">
        <v>25.21</v>
      </c>
      <c r="V91" s="98">
        <f>$AI90</f>
        <v>0.75268550505760823</v>
      </c>
      <c r="W91" s="93">
        <v>21.42</v>
      </c>
      <c r="X91" s="98">
        <f>$AI90</f>
        <v>0.75268550505760823</v>
      </c>
      <c r="Y91" s="93">
        <v>0.11</v>
      </c>
      <c r="Z91" s="98">
        <f>$AI90</f>
        <v>0.75268550505760823</v>
      </c>
      <c r="AA91" s="93">
        <v>5.8</v>
      </c>
      <c r="AB91" s="98">
        <f>$AI90</f>
        <v>0.75268550505760823</v>
      </c>
      <c r="AC91" s="93">
        <v>1.7</v>
      </c>
      <c r="AD91" s="98">
        <f>$AI90</f>
        <v>0.75268550505760823</v>
      </c>
      <c r="AE91" s="93">
        <v>1.84</v>
      </c>
      <c r="AF91" s="98">
        <f t="shared" si="30"/>
        <v>0.75268550505760823</v>
      </c>
      <c r="AG91" s="10">
        <f>S91+Y91+AA91+AC91</f>
        <v>7.97</v>
      </c>
      <c r="AH91" s="95">
        <f>I91+K91+M91+O91+Q91</f>
        <v>2.515106666666667</v>
      </c>
      <c r="AI91" s="96">
        <f t="shared" si="33"/>
        <v>0.50428719487436302</v>
      </c>
      <c r="AJ91" s="81">
        <f t="shared" si="34"/>
        <v>0.18817137626440206</v>
      </c>
      <c r="AK91" s="96">
        <f t="shared" si="25"/>
        <v>1.2370635928202003</v>
      </c>
      <c r="AL91" s="81">
        <f t="shared" si="26"/>
        <v>0.30926589820505007</v>
      </c>
      <c r="AM91" s="96">
        <f t="shared" si="27"/>
        <v>0.7792330032244732</v>
      </c>
      <c r="AN91" s="81">
        <f t="shared" si="28"/>
        <v>0.1948082508061183</v>
      </c>
    </row>
    <row r="92" spans="1:40" x14ac:dyDescent="0.15">
      <c r="A92" s="10">
        <f>A91+0.5</f>
        <v>2019.5</v>
      </c>
      <c r="C92" s="10">
        <f t="shared" si="21"/>
        <v>598</v>
      </c>
      <c r="D92" s="95">
        <f>6.8*A$79</f>
        <v>3.9666666666666668</v>
      </c>
      <c r="E92" s="122">
        <f t="shared" si="22"/>
        <v>2372.0666666666666</v>
      </c>
      <c r="F92" s="96">
        <f t="shared" si="23"/>
        <v>3.1733333333333338</v>
      </c>
      <c r="G92" s="122">
        <f t="shared" si="29"/>
        <v>6750.314666666668</v>
      </c>
      <c r="H92" s="122">
        <f t="shared" si="24"/>
        <v>2372.0666666666666</v>
      </c>
      <c r="I92" s="94">
        <f>'Modell During mining'!$G9/1000000*A79</f>
        <v>1.3231493333333337</v>
      </c>
      <c r="J92" s="94">
        <f>'Modell During mining'!$D39</f>
        <v>2.4116793648184833</v>
      </c>
      <c r="K92" s="93">
        <v>0.95</v>
      </c>
      <c r="L92" s="93">
        <v>0.01</v>
      </c>
      <c r="M92" s="93">
        <v>0.31</v>
      </c>
      <c r="N92" s="93">
        <v>0.01</v>
      </c>
      <c r="O92" s="93">
        <v>1.26</v>
      </c>
      <c r="P92" s="93">
        <v>1</v>
      </c>
      <c r="Q92" s="93">
        <v>1.6</v>
      </c>
      <c r="R92" s="93">
        <v>0</v>
      </c>
      <c r="S92" s="93">
        <v>0.36</v>
      </c>
      <c r="T92" s="98">
        <f>AI90</f>
        <v>0.75268550505760823</v>
      </c>
      <c r="U92" s="93">
        <v>25.21</v>
      </c>
      <c r="V92" s="98">
        <f>$AI90</f>
        <v>0.75268550505760823</v>
      </c>
      <c r="W92" s="93">
        <v>21.42</v>
      </c>
      <c r="X92" s="98">
        <f>$AI90</f>
        <v>0.75268550505760823</v>
      </c>
      <c r="Y92" s="93">
        <v>0.11</v>
      </c>
      <c r="Z92" s="98">
        <f>$AI90</f>
        <v>0.75268550505760823</v>
      </c>
      <c r="AA92" s="93">
        <v>5.8</v>
      </c>
      <c r="AB92" s="98">
        <f>$AI90</f>
        <v>0.75268550505760823</v>
      </c>
      <c r="AC92" s="93">
        <v>1.7</v>
      </c>
      <c r="AD92" s="98">
        <f>$AI90</f>
        <v>0.75268550505760823</v>
      </c>
      <c r="AE92" s="93">
        <v>1.84</v>
      </c>
      <c r="AF92" s="98">
        <f t="shared" si="30"/>
        <v>0.50428719487436302</v>
      </c>
      <c r="AG92" s="10">
        <f t="shared" si="31"/>
        <v>7.97</v>
      </c>
      <c r="AH92" s="95">
        <f t="shared" si="32"/>
        <v>5.4431493333333343</v>
      </c>
      <c r="AI92" s="96">
        <f t="shared" si="33"/>
        <v>0.89324468697947168</v>
      </c>
      <c r="AJ92" s="81">
        <f t="shared" si="34"/>
        <v>0.12607179871859076</v>
      </c>
      <c r="AK92" s="96">
        <f t="shared" si="25"/>
        <v>1.0268706819802271</v>
      </c>
      <c r="AL92" s="81">
        <f t="shared" si="26"/>
        <v>0.25671767049505678</v>
      </c>
      <c r="AM92" s="96">
        <f t="shared" si="27"/>
        <v>0.54077324244410496</v>
      </c>
      <c r="AN92" s="81">
        <f t="shared" si="28"/>
        <v>0.13519331061102624</v>
      </c>
    </row>
    <row r="93" spans="1:40" x14ac:dyDescent="0.15">
      <c r="A93" s="10">
        <f>A91+1</f>
        <v>2020</v>
      </c>
      <c r="C93" s="10">
        <f t="shared" si="21"/>
        <v>598</v>
      </c>
      <c r="D93" s="95">
        <f>5*A$80</f>
        <v>2.0833333333333335</v>
      </c>
      <c r="E93" s="122">
        <f t="shared" si="22"/>
        <v>1245.8333333333335</v>
      </c>
      <c r="F93" s="96">
        <f t="shared" si="23"/>
        <v>1.666666666666667</v>
      </c>
      <c r="G93" s="122">
        <f t="shared" si="29"/>
        <v>3545.3333333333339</v>
      </c>
      <c r="H93" s="122">
        <f t="shared" si="24"/>
        <v>1245.8333333333335</v>
      </c>
      <c r="I93" s="94">
        <f>'Modell During mining'!$G10/1000000*A80</f>
        <v>1.0237520000000004</v>
      </c>
      <c r="J93" s="94">
        <v>0.01</v>
      </c>
      <c r="K93" s="93">
        <v>0</v>
      </c>
      <c r="L93" s="93">
        <v>0.01</v>
      </c>
      <c r="M93" s="93">
        <v>0.31</v>
      </c>
      <c r="N93" s="93">
        <v>0.01</v>
      </c>
      <c r="O93" s="93">
        <v>1.26</v>
      </c>
      <c r="P93" s="93">
        <v>0.01</v>
      </c>
      <c r="Q93" s="93">
        <v>0</v>
      </c>
      <c r="R93" s="93">
        <v>0</v>
      </c>
      <c r="S93" s="93">
        <v>0.36</v>
      </c>
      <c r="T93" s="98">
        <f>AI92</f>
        <v>0.89324468697947168</v>
      </c>
      <c r="U93" s="93">
        <v>25.21</v>
      </c>
      <c r="V93" s="98">
        <f>$AI92</f>
        <v>0.89324468697947168</v>
      </c>
      <c r="W93" s="93">
        <v>21.42</v>
      </c>
      <c r="X93" s="98">
        <f>$AI92</f>
        <v>0.89324468697947168</v>
      </c>
      <c r="Y93" s="93">
        <v>0.11</v>
      </c>
      <c r="Z93" s="98">
        <f>$AI92</f>
        <v>0.89324468697947168</v>
      </c>
      <c r="AA93" s="93">
        <v>5.8</v>
      </c>
      <c r="AB93" s="98">
        <f>$AI92</f>
        <v>0.89324468697947168</v>
      </c>
      <c r="AC93" s="93">
        <v>1.7</v>
      </c>
      <c r="AD93" s="98">
        <f>$AI92</f>
        <v>0.89324468697947168</v>
      </c>
      <c r="AE93" s="93">
        <v>1.84</v>
      </c>
      <c r="AF93" s="98">
        <f t="shared" si="30"/>
        <v>0.89324468697947168</v>
      </c>
      <c r="AG93" s="10">
        <f>S93+Y93+AA93+AC93</f>
        <v>7.97</v>
      </c>
      <c r="AH93" s="95">
        <f>I93+K93+M93+O93+Q93</f>
        <v>2.5937520000000003</v>
      </c>
      <c r="AI93" s="96">
        <f t="shared" si="33"/>
        <v>0.54133808200277211</v>
      </c>
      <c r="AJ93" s="81">
        <f t="shared" si="34"/>
        <v>0.22331117174486792</v>
      </c>
      <c r="AK93" s="96">
        <f t="shared" si="25"/>
        <v>1.4630279846561827</v>
      </c>
      <c r="AL93" s="81">
        <f t="shared" si="26"/>
        <v>0.36575699616404567</v>
      </c>
      <c r="AM93" s="96">
        <f t="shared" si="27"/>
        <v>0.91609460468954285</v>
      </c>
      <c r="AN93" s="81">
        <f t="shared" si="28"/>
        <v>0.22902365117238571</v>
      </c>
    </row>
    <row r="94" spans="1:40" x14ac:dyDescent="0.15">
      <c r="A94" s="10">
        <f>A93+0.5</f>
        <v>2020.5</v>
      </c>
      <c r="C94" s="10">
        <f t="shared" si="21"/>
        <v>598</v>
      </c>
      <c r="D94" s="95">
        <f>6.8*A$79</f>
        <v>3.9666666666666668</v>
      </c>
      <c r="E94" s="122">
        <f t="shared" si="22"/>
        <v>2372.0666666666666</v>
      </c>
      <c r="F94" s="96">
        <f t="shared" si="23"/>
        <v>3.1733333333333338</v>
      </c>
      <c r="G94" s="122">
        <f t="shared" si="29"/>
        <v>6750.314666666668</v>
      </c>
      <c r="H94" s="122">
        <f t="shared" si="24"/>
        <v>2372.0666666666666</v>
      </c>
      <c r="I94" s="94">
        <f>'Modell During mining'!$G10/1000000*A79</f>
        <v>1.4332528000000007</v>
      </c>
      <c r="J94" s="94">
        <f>'Modell During mining'!$D40</f>
        <v>2.2264132384852129</v>
      </c>
      <c r="K94" s="93">
        <v>0.95</v>
      </c>
      <c r="L94" s="93">
        <v>0.01</v>
      </c>
      <c r="M94" s="93">
        <v>0.31</v>
      </c>
      <c r="N94" s="93">
        <v>0.01</v>
      </c>
      <c r="O94" s="93">
        <v>1.26</v>
      </c>
      <c r="P94" s="93">
        <v>1</v>
      </c>
      <c r="Q94" s="93">
        <v>1.6</v>
      </c>
      <c r="R94" s="93">
        <v>0</v>
      </c>
      <c r="S94" s="93">
        <v>0.36</v>
      </c>
      <c r="T94" s="98">
        <f>AI92</f>
        <v>0.89324468697947168</v>
      </c>
      <c r="U94" s="93">
        <v>25.21</v>
      </c>
      <c r="V94" s="98">
        <f>$AI92</f>
        <v>0.89324468697947168</v>
      </c>
      <c r="W94" s="93">
        <v>21.42</v>
      </c>
      <c r="X94" s="98">
        <f>$AI92</f>
        <v>0.89324468697947168</v>
      </c>
      <c r="Y94" s="93">
        <v>0.11</v>
      </c>
      <c r="Z94" s="98">
        <f>$AI92</f>
        <v>0.89324468697947168</v>
      </c>
      <c r="AA94" s="93">
        <v>5.8</v>
      </c>
      <c r="AB94" s="98">
        <f>$AI92</f>
        <v>0.89324468697947168</v>
      </c>
      <c r="AC94" s="93">
        <v>1.7</v>
      </c>
      <c r="AD94" s="98">
        <f>$AI92</f>
        <v>0.89324468697947168</v>
      </c>
      <c r="AE94" s="93">
        <v>1.84</v>
      </c>
      <c r="AF94" s="98">
        <f t="shared" si="30"/>
        <v>0.54133808200277211</v>
      </c>
      <c r="AG94" s="10">
        <f t="shared" si="31"/>
        <v>7.97</v>
      </c>
      <c r="AH94" s="95">
        <f t="shared" si="32"/>
        <v>5.553252800000001</v>
      </c>
      <c r="AI94" s="96">
        <f t="shared" si="33"/>
        <v>0.87311022271748007</v>
      </c>
      <c r="AJ94" s="81">
        <f t="shared" si="34"/>
        <v>0.13533452050069303</v>
      </c>
      <c r="AK94" s="96">
        <f t="shared" si="25"/>
        <v>1.0542295140951841</v>
      </c>
      <c r="AL94" s="81">
        <f t="shared" si="26"/>
        <v>0.26355737852379602</v>
      </c>
      <c r="AM94" s="96">
        <f t="shared" si="27"/>
        <v>0.58560026085148309</v>
      </c>
      <c r="AN94" s="81">
        <f t="shared" si="28"/>
        <v>0.14640006521287077</v>
      </c>
    </row>
    <row r="95" spans="1:40" x14ac:dyDescent="0.15">
      <c r="A95" s="10">
        <f>A93+1</f>
        <v>2021</v>
      </c>
      <c r="C95" s="10">
        <f t="shared" si="21"/>
        <v>598</v>
      </c>
      <c r="D95" s="95">
        <f>5*A$80</f>
        <v>2.0833333333333335</v>
      </c>
      <c r="E95" s="122">
        <f t="shared" si="22"/>
        <v>1245.8333333333335</v>
      </c>
      <c r="F95" s="96">
        <f t="shared" si="23"/>
        <v>1.666666666666667</v>
      </c>
      <c r="G95" s="122">
        <f t="shared" si="29"/>
        <v>3545.3333333333339</v>
      </c>
      <c r="H95" s="122">
        <f t="shared" si="24"/>
        <v>1245.8333333333335</v>
      </c>
      <c r="I95" s="94">
        <f>'Modell During mining'!$G11/1000000*A80</f>
        <v>1.1023973333333335</v>
      </c>
      <c r="J95" s="94">
        <v>0.01</v>
      </c>
      <c r="K95" s="93">
        <v>0</v>
      </c>
      <c r="L95" s="93">
        <v>0.01</v>
      </c>
      <c r="M95" s="93">
        <v>0.31</v>
      </c>
      <c r="N95" s="93">
        <v>0.01</v>
      </c>
      <c r="O95" s="93">
        <v>1.26</v>
      </c>
      <c r="P95" s="93">
        <v>0.01</v>
      </c>
      <c r="Q95" s="93">
        <v>0</v>
      </c>
      <c r="R95" s="93">
        <v>0</v>
      </c>
      <c r="S95" s="93">
        <v>0.36</v>
      </c>
      <c r="T95" s="98">
        <f>AI94</f>
        <v>0.87311022271748007</v>
      </c>
      <c r="U95" s="93">
        <v>25.21</v>
      </c>
      <c r="V95" s="98">
        <f>$AI94</f>
        <v>0.87311022271748007</v>
      </c>
      <c r="W95" s="93">
        <v>21.42</v>
      </c>
      <c r="X95" s="98">
        <f>$AI94</f>
        <v>0.87311022271748007</v>
      </c>
      <c r="Y95" s="93">
        <v>0.11</v>
      </c>
      <c r="Z95" s="98">
        <f>$AI94</f>
        <v>0.87311022271748007</v>
      </c>
      <c r="AA95" s="93">
        <v>5.8</v>
      </c>
      <c r="AB95" s="98">
        <f>$AI94</f>
        <v>0.87311022271748007</v>
      </c>
      <c r="AC95" s="93">
        <v>1.7</v>
      </c>
      <c r="AD95" s="98">
        <f>$AI94</f>
        <v>0.87311022271748007</v>
      </c>
      <c r="AE95" s="93">
        <v>1.84</v>
      </c>
      <c r="AF95" s="98">
        <f t="shared" si="30"/>
        <v>0.87311022271748007</v>
      </c>
      <c r="AG95" s="10">
        <f>S95+Y95+AA95+AC95</f>
        <v>7.97</v>
      </c>
      <c r="AH95" s="95">
        <f>I95+K95+M95+O95+Q95</f>
        <v>2.6723973333333335</v>
      </c>
      <c r="AI95" s="96">
        <f t="shared" si="33"/>
        <v>0.52221325317058487</v>
      </c>
      <c r="AJ95" s="81">
        <f t="shared" si="34"/>
        <v>0.21827755567937002</v>
      </c>
      <c r="AK95" s="96">
        <f t="shared" si="25"/>
        <v>1.4324677537014867</v>
      </c>
      <c r="AL95" s="81">
        <f t="shared" si="26"/>
        <v>0.35811693842537168</v>
      </c>
      <c r="AM95" s="96">
        <f t="shared" si="27"/>
        <v>0.90104775313386742</v>
      </c>
      <c r="AN95" s="81">
        <f t="shared" si="28"/>
        <v>0.22526193828346686</v>
      </c>
    </row>
    <row r="96" spans="1:40" x14ac:dyDescent="0.15">
      <c r="A96" s="10">
        <f>A95+0.5</f>
        <v>2021.5</v>
      </c>
      <c r="C96" s="10">
        <f t="shared" si="21"/>
        <v>598</v>
      </c>
      <c r="D96" s="95">
        <f>6.8*A$79</f>
        <v>3.9666666666666668</v>
      </c>
      <c r="E96" s="122">
        <f t="shared" si="22"/>
        <v>2372.0666666666666</v>
      </c>
      <c r="F96" s="96">
        <f t="shared" si="23"/>
        <v>3.1733333333333338</v>
      </c>
      <c r="G96" s="122">
        <f t="shared" si="29"/>
        <v>6750.314666666668</v>
      </c>
      <c r="H96" s="122">
        <f t="shared" si="24"/>
        <v>2372.0666666666666</v>
      </c>
      <c r="I96" s="94">
        <f>'Modell During mining'!$G11/1000000*A79</f>
        <v>1.5433562666666669</v>
      </c>
      <c r="J96" s="94">
        <f>'Modell During mining'!$D41</f>
        <v>2.0675809864371777</v>
      </c>
      <c r="K96" s="93">
        <v>0.95</v>
      </c>
      <c r="L96" s="93">
        <v>0.01</v>
      </c>
      <c r="M96" s="93">
        <v>0.31</v>
      </c>
      <c r="N96" s="93">
        <v>0.01</v>
      </c>
      <c r="O96" s="93">
        <v>1.26</v>
      </c>
      <c r="P96" s="93">
        <v>1</v>
      </c>
      <c r="Q96" s="93">
        <v>1.6</v>
      </c>
      <c r="R96" s="93">
        <v>0</v>
      </c>
      <c r="S96" s="93">
        <v>0.36</v>
      </c>
      <c r="T96" s="98">
        <f>AI94</f>
        <v>0.87311022271748007</v>
      </c>
      <c r="U96" s="93">
        <v>25.21</v>
      </c>
      <c r="V96" s="98">
        <f>$AI94</f>
        <v>0.87311022271748007</v>
      </c>
      <c r="W96" s="93">
        <v>21.42</v>
      </c>
      <c r="X96" s="98">
        <f>$AI94</f>
        <v>0.87311022271748007</v>
      </c>
      <c r="Y96" s="93">
        <v>0.11</v>
      </c>
      <c r="Z96" s="98">
        <f>$AI94</f>
        <v>0.87311022271748007</v>
      </c>
      <c r="AA96" s="93">
        <v>5.8</v>
      </c>
      <c r="AB96" s="98">
        <f>$AI94</f>
        <v>0.87311022271748007</v>
      </c>
      <c r="AC96" s="93">
        <v>1.7</v>
      </c>
      <c r="AD96" s="98">
        <f>$AI94</f>
        <v>0.87311022271748007</v>
      </c>
      <c r="AE96" s="93">
        <v>1.84</v>
      </c>
      <c r="AF96" s="98">
        <f t="shared" si="30"/>
        <v>0.52221325317058487</v>
      </c>
      <c r="AG96" s="10">
        <f t="shared" si="31"/>
        <v>7.97</v>
      </c>
      <c r="AH96" s="95">
        <f t="shared" si="32"/>
        <v>5.6633562666666677</v>
      </c>
      <c r="AI96" s="96">
        <f t="shared" si="33"/>
        <v>0.84696891601446533</v>
      </c>
      <c r="AJ96" s="81">
        <f t="shared" si="34"/>
        <v>0.13055331329264622</v>
      </c>
      <c r="AK96" s="96">
        <f t="shared" si="25"/>
        <v>1.0162722557161801</v>
      </c>
      <c r="AL96" s="81">
        <f t="shared" si="26"/>
        <v>0.25406806392904502</v>
      </c>
      <c r="AM96" s="96">
        <f t="shared" si="27"/>
        <v>0.56370158822879823</v>
      </c>
      <c r="AN96" s="81">
        <f t="shared" si="28"/>
        <v>0.14092539705719956</v>
      </c>
    </row>
    <row r="97" spans="1:40" x14ac:dyDescent="0.15">
      <c r="A97" s="10">
        <f>A95+1</f>
        <v>2022</v>
      </c>
      <c r="C97" s="10">
        <f t="shared" si="21"/>
        <v>598</v>
      </c>
      <c r="D97" s="95">
        <f>5*A$80</f>
        <v>2.0833333333333335</v>
      </c>
      <c r="E97" s="122">
        <f t="shared" si="22"/>
        <v>1245.8333333333335</v>
      </c>
      <c r="F97" s="96">
        <f t="shared" si="23"/>
        <v>1.666666666666667</v>
      </c>
      <c r="G97" s="122">
        <f t="shared" si="29"/>
        <v>3545.3333333333339</v>
      </c>
      <c r="H97" s="122">
        <f t="shared" si="24"/>
        <v>1245.8333333333335</v>
      </c>
      <c r="I97" s="94">
        <f>'Modell During mining'!$G12/1000000*A80</f>
        <v>1.1810426666666671</v>
      </c>
      <c r="J97" s="94">
        <v>0.01</v>
      </c>
      <c r="K97" s="93">
        <v>0</v>
      </c>
      <c r="L97" s="93">
        <v>0.01</v>
      </c>
      <c r="M97" s="93">
        <v>0.31</v>
      </c>
      <c r="N97" s="93">
        <v>0.01</v>
      </c>
      <c r="O97" s="93">
        <v>1.26</v>
      </c>
      <c r="P97" s="93">
        <v>0.01</v>
      </c>
      <c r="Q97" s="93">
        <v>0</v>
      </c>
      <c r="R97" s="93">
        <v>0</v>
      </c>
      <c r="S97" s="93">
        <v>0.36</v>
      </c>
      <c r="T97" s="98">
        <f>AI96</f>
        <v>0.84696891601446533</v>
      </c>
      <c r="U97" s="93">
        <v>25.21</v>
      </c>
      <c r="V97" s="98">
        <f>$AI96</f>
        <v>0.84696891601446533</v>
      </c>
      <c r="W97" s="93">
        <v>21.42</v>
      </c>
      <c r="X97" s="98">
        <f>$AI96</f>
        <v>0.84696891601446533</v>
      </c>
      <c r="Y97" s="93">
        <v>0.11</v>
      </c>
      <c r="Z97" s="98">
        <f>$AI96</f>
        <v>0.84696891601446533</v>
      </c>
      <c r="AA97" s="93">
        <v>5.8</v>
      </c>
      <c r="AB97" s="98">
        <f>$AI96</f>
        <v>0.84696891601446533</v>
      </c>
      <c r="AC97" s="93">
        <v>1.7</v>
      </c>
      <c r="AD97" s="98">
        <f>$AI96</f>
        <v>0.84696891601446533</v>
      </c>
      <c r="AE97" s="93">
        <v>1.84</v>
      </c>
      <c r="AF97" s="98">
        <f t="shared" si="30"/>
        <v>0.84696891601446533</v>
      </c>
      <c r="AG97" s="10">
        <f>S97+Y97+AA97+AC97</f>
        <v>7.97</v>
      </c>
      <c r="AH97" s="95">
        <f>I97+K97+M97+O97+Q97</f>
        <v>2.7510426666666672</v>
      </c>
      <c r="AI97" s="96">
        <f t="shared" si="33"/>
        <v>0.50190413392140443</v>
      </c>
      <c r="AJ97" s="81">
        <f t="shared" si="34"/>
        <v>0.21174222900361633</v>
      </c>
      <c r="AK97" s="96">
        <f t="shared" si="25"/>
        <v>1.390169221586081</v>
      </c>
      <c r="AL97" s="81">
        <f t="shared" si="26"/>
        <v>0.34754230539652026</v>
      </c>
      <c r="AM97" s="96">
        <f t="shared" si="27"/>
        <v>0.87334031240014209</v>
      </c>
      <c r="AN97" s="81">
        <f t="shared" si="28"/>
        <v>0.21833507810003552</v>
      </c>
    </row>
    <row r="98" spans="1:40" x14ac:dyDescent="0.15">
      <c r="A98" s="10">
        <f>A97+0.5</f>
        <v>2022.5</v>
      </c>
      <c r="C98" s="10">
        <f t="shared" si="21"/>
        <v>598</v>
      </c>
      <c r="D98" s="95">
        <f>6.8*A$79</f>
        <v>3.9666666666666668</v>
      </c>
      <c r="E98" s="122">
        <f t="shared" si="22"/>
        <v>2372.0666666666666</v>
      </c>
      <c r="F98" s="96">
        <f t="shared" si="23"/>
        <v>3.1733333333333338</v>
      </c>
      <c r="G98" s="122">
        <f t="shared" si="29"/>
        <v>6750.314666666668</v>
      </c>
      <c r="H98" s="122">
        <f t="shared" si="24"/>
        <v>2372.0666666666666</v>
      </c>
      <c r="I98" s="94">
        <f>'Modell During mining'!$G12/1000000*A79</f>
        <v>1.6534597333333338</v>
      </c>
      <c r="J98" s="94">
        <f>'Modell During mining'!$D42</f>
        <v>1.9299019336070107</v>
      </c>
      <c r="K98" s="93">
        <v>0.95</v>
      </c>
      <c r="L98" s="93">
        <v>0.01</v>
      </c>
      <c r="M98" s="93">
        <v>0.31</v>
      </c>
      <c r="N98" s="93">
        <v>0.01</v>
      </c>
      <c r="O98" s="93">
        <v>1.26</v>
      </c>
      <c r="P98" s="93">
        <v>1</v>
      </c>
      <c r="Q98" s="93">
        <v>0.6</v>
      </c>
      <c r="R98" s="93">
        <v>0</v>
      </c>
      <c r="S98" s="93">
        <v>0.36</v>
      </c>
      <c r="T98" s="98">
        <f>AI96</f>
        <v>0.84696891601446533</v>
      </c>
      <c r="U98" s="93">
        <v>25.21</v>
      </c>
      <c r="V98" s="98">
        <f>$AI96</f>
        <v>0.84696891601446533</v>
      </c>
      <c r="W98" s="93">
        <v>21.42</v>
      </c>
      <c r="X98" s="98">
        <f>$AI96</f>
        <v>0.84696891601446533</v>
      </c>
      <c r="Y98" s="93">
        <v>0.11</v>
      </c>
      <c r="Z98" s="98">
        <f>$AI96</f>
        <v>0.84696891601446533</v>
      </c>
      <c r="AA98" s="93">
        <v>5.8</v>
      </c>
      <c r="AB98" s="98">
        <f>$AI96</f>
        <v>0.84696891601446533</v>
      </c>
      <c r="AC98" s="93">
        <v>1.7</v>
      </c>
      <c r="AD98" s="98">
        <f>$AI96</f>
        <v>0.84696891601446533</v>
      </c>
      <c r="AE98" s="93">
        <v>1.84</v>
      </c>
      <c r="AF98" s="98">
        <f t="shared" si="30"/>
        <v>0.50190413392140443</v>
      </c>
      <c r="AG98" s="10">
        <f t="shared" si="31"/>
        <v>7.97</v>
      </c>
      <c r="AH98" s="95">
        <f t="shared" si="32"/>
        <v>4.7734597333333335</v>
      </c>
      <c r="AI98" s="96">
        <f t="shared" si="33"/>
        <v>0.91660403362255383</v>
      </c>
      <c r="AJ98" s="81">
        <f t="shared" si="34"/>
        <v>0.12547603348035111</v>
      </c>
      <c r="AK98" s="96">
        <f t="shared" si="25"/>
        <v>0.97819998880006531</v>
      </c>
      <c r="AL98" s="81">
        <f t="shared" si="26"/>
        <v>0.24454999720001633</v>
      </c>
      <c r="AM98" s="96">
        <f t="shared" si="27"/>
        <v>0.54045470761360459</v>
      </c>
      <c r="AN98" s="81">
        <f t="shared" si="28"/>
        <v>0.13511367690340115</v>
      </c>
    </row>
    <row r="99" spans="1:40" x14ac:dyDescent="0.15">
      <c r="A99" s="10">
        <f>A97+1</f>
        <v>2023</v>
      </c>
      <c r="C99" s="10">
        <f t="shared" si="21"/>
        <v>598</v>
      </c>
      <c r="D99" s="95">
        <f>5*A$80</f>
        <v>2.0833333333333335</v>
      </c>
      <c r="E99" s="122">
        <f t="shared" si="22"/>
        <v>1245.8333333333335</v>
      </c>
      <c r="F99" s="96">
        <f t="shared" si="23"/>
        <v>1.666666666666667</v>
      </c>
      <c r="G99" s="122">
        <f t="shared" si="29"/>
        <v>3545.3333333333339</v>
      </c>
      <c r="H99" s="122">
        <f t="shared" si="24"/>
        <v>1245.8333333333335</v>
      </c>
      <c r="I99" s="94">
        <f>'Modell During mining'!$G13/1000000*A80</f>
        <v>1.2596880000000006</v>
      </c>
      <c r="J99" s="94">
        <v>0.01</v>
      </c>
      <c r="K99" s="93">
        <v>0</v>
      </c>
      <c r="L99" s="93">
        <v>0.01</v>
      </c>
      <c r="M99" s="93">
        <v>0.31</v>
      </c>
      <c r="N99" s="93">
        <v>0.01</v>
      </c>
      <c r="O99" s="93">
        <v>1.26</v>
      </c>
      <c r="P99" s="93">
        <v>0.01</v>
      </c>
      <c r="Q99" s="93">
        <v>0</v>
      </c>
      <c r="R99" s="93">
        <v>0</v>
      </c>
      <c r="S99" s="93">
        <v>0.36</v>
      </c>
      <c r="T99" s="98">
        <f>AI98</f>
        <v>0.91660403362255383</v>
      </c>
      <c r="U99" s="93">
        <v>25.21</v>
      </c>
      <c r="V99" s="98">
        <f>$AI98</f>
        <v>0.91660403362255383</v>
      </c>
      <c r="W99" s="93">
        <v>21.42</v>
      </c>
      <c r="X99" s="98">
        <f>$AI98</f>
        <v>0.91660403362255383</v>
      </c>
      <c r="Y99" s="93">
        <v>0.11</v>
      </c>
      <c r="Z99" s="98">
        <f>$AI98</f>
        <v>0.91660403362255383</v>
      </c>
      <c r="AA99" s="93">
        <v>5.8</v>
      </c>
      <c r="AB99" s="98">
        <f>$AI98</f>
        <v>0.91660403362255383</v>
      </c>
      <c r="AC99" s="93">
        <v>1.7</v>
      </c>
      <c r="AD99" s="98">
        <f>$AI98</f>
        <v>0.91660403362255383</v>
      </c>
      <c r="AE99" s="93">
        <v>1.84</v>
      </c>
      <c r="AF99" s="98">
        <f t="shared" si="30"/>
        <v>0.91660403362255383</v>
      </c>
      <c r="AG99" s="10">
        <f>S99+Y99+AA99+AC99</f>
        <v>7.97</v>
      </c>
      <c r="AH99" s="95">
        <f>I99+K99+M99+O99+Q99</f>
        <v>2.8296880000000009</v>
      </c>
      <c r="AI99" s="96">
        <f t="shared" si="33"/>
        <v>0.51458114446094194</v>
      </c>
      <c r="AJ99" s="81">
        <f t="shared" si="34"/>
        <v>0.22915100840563846</v>
      </c>
      <c r="AK99" s="96">
        <f t="shared" si="25"/>
        <v>1.5017037138576288</v>
      </c>
      <c r="AL99" s="81">
        <f t="shared" si="26"/>
        <v>0.3754259284644072</v>
      </c>
      <c r="AM99" s="96">
        <f t="shared" si="27"/>
        <v>0.9439443158335773</v>
      </c>
      <c r="AN99" s="81">
        <f t="shared" si="28"/>
        <v>0.23598607895839432</v>
      </c>
    </row>
    <row r="100" spans="1:40" x14ac:dyDescent="0.15">
      <c r="A100" s="10">
        <f>A99+0.5</f>
        <v>2023.5</v>
      </c>
      <c r="C100" s="10">
        <f t="shared" si="21"/>
        <v>598</v>
      </c>
      <c r="D100" s="95">
        <f>6.8*A$79</f>
        <v>3.9666666666666668</v>
      </c>
      <c r="E100" s="122">
        <f t="shared" si="22"/>
        <v>2372.0666666666666</v>
      </c>
      <c r="F100" s="96">
        <f t="shared" si="23"/>
        <v>3.1733333333333338</v>
      </c>
      <c r="G100" s="122">
        <f t="shared" si="29"/>
        <v>6750.314666666668</v>
      </c>
      <c r="H100" s="122">
        <f t="shared" si="24"/>
        <v>2372.0666666666666</v>
      </c>
      <c r="I100" s="94">
        <f>'Modell During mining'!$G13/1000000*A79</f>
        <v>1.7635632000000008</v>
      </c>
      <c r="J100" s="94">
        <f>'Modell During mining'!$D43</f>
        <v>1.8094141456024935</v>
      </c>
      <c r="K100" s="93">
        <v>0.95</v>
      </c>
      <c r="L100" s="93">
        <v>0.01</v>
      </c>
      <c r="M100" s="93">
        <v>0.31</v>
      </c>
      <c r="N100" s="93">
        <v>0.01</v>
      </c>
      <c r="O100" s="93">
        <v>1.26</v>
      </c>
      <c r="P100" s="93">
        <v>1</v>
      </c>
      <c r="Q100" s="93">
        <v>1.6</v>
      </c>
      <c r="R100" s="93">
        <v>0</v>
      </c>
      <c r="S100" s="93">
        <v>0.36</v>
      </c>
      <c r="T100" s="98">
        <f>AI98</f>
        <v>0.91660403362255383</v>
      </c>
      <c r="U100" s="93">
        <v>25.21</v>
      </c>
      <c r="V100" s="98">
        <f>$AI98</f>
        <v>0.91660403362255383</v>
      </c>
      <c r="W100" s="93">
        <v>21.42</v>
      </c>
      <c r="X100" s="98">
        <f>$AI98</f>
        <v>0.91660403362255383</v>
      </c>
      <c r="Y100" s="93">
        <v>0.11</v>
      </c>
      <c r="Z100" s="98">
        <f>$AI98</f>
        <v>0.91660403362255383</v>
      </c>
      <c r="AA100" s="93">
        <v>5.8</v>
      </c>
      <c r="AB100" s="98">
        <f>$AI98</f>
        <v>0.91660403362255383</v>
      </c>
      <c r="AC100" s="93">
        <v>1.7</v>
      </c>
      <c r="AD100" s="98">
        <f>$AI98</f>
        <v>0.91660403362255383</v>
      </c>
      <c r="AE100" s="93">
        <v>1.84</v>
      </c>
      <c r="AF100" s="98">
        <f t="shared" si="30"/>
        <v>0.51458114446094194</v>
      </c>
      <c r="AG100" s="10">
        <f t="shared" si="31"/>
        <v>7.97</v>
      </c>
      <c r="AH100" s="95">
        <f t="shared" si="32"/>
        <v>5.8835632000000011</v>
      </c>
      <c r="AI100" s="96">
        <f t="shared" si="33"/>
        <v>0.80267096428934104</v>
      </c>
      <c r="AJ100" s="81">
        <f t="shared" si="34"/>
        <v>0.12864528611523549</v>
      </c>
      <c r="AK100" s="96">
        <f t="shared" si="25"/>
        <v>0.9800008458320234</v>
      </c>
      <c r="AL100" s="81">
        <f t="shared" si="26"/>
        <v>0.24500021145800585</v>
      </c>
      <c r="AM100" s="96">
        <f t="shared" si="27"/>
        <v>0.55599502570671888</v>
      </c>
      <c r="AN100" s="81">
        <f t="shared" si="28"/>
        <v>0.13899875642667972</v>
      </c>
    </row>
    <row r="101" spans="1:40" x14ac:dyDescent="0.15">
      <c r="A101" s="10">
        <f>A99+1</f>
        <v>2024</v>
      </c>
      <c r="C101" s="10">
        <f t="shared" si="21"/>
        <v>598</v>
      </c>
      <c r="D101" s="95">
        <f>5*A$80</f>
        <v>2.0833333333333335</v>
      </c>
      <c r="E101" s="122">
        <f t="shared" si="22"/>
        <v>1245.8333333333335</v>
      </c>
      <c r="F101" s="96">
        <f t="shared" si="23"/>
        <v>1.666666666666667</v>
      </c>
      <c r="G101" s="122">
        <f t="shared" si="29"/>
        <v>3545.3333333333339</v>
      </c>
      <c r="H101" s="122">
        <f t="shared" si="24"/>
        <v>1245.8333333333335</v>
      </c>
      <c r="I101" s="94">
        <f>'Modell During mining'!$G14/1000000*A80</f>
        <v>1.3383333333333338</v>
      </c>
      <c r="J101" s="94">
        <v>0.01</v>
      </c>
      <c r="K101" s="93">
        <v>0</v>
      </c>
      <c r="L101" s="93">
        <v>0.01</v>
      </c>
      <c r="M101" s="93">
        <v>0.31</v>
      </c>
      <c r="N101" s="93">
        <v>0.01</v>
      </c>
      <c r="O101" s="93">
        <v>1.26</v>
      </c>
      <c r="P101" s="93">
        <v>0.01</v>
      </c>
      <c r="Q101" s="93">
        <v>0</v>
      </c>
      <c r="R101" s="93">
        <v>0</v>
      </c>
      <c r="S101" s="93">
        <v>0.36</v>
      </c>
      <c r="T101" s="98">
        <f>AI100</f>
        <v>0.80267096428934104</v>
      </c>
      <c r="U101" s="93">
        <v>25.21</v>
      </c>
      <c r="V101" s="98">
        <f>$AI100</f>
        <v>0.80267096428934104</v>
      </c>
      <c r="W101" s="93">
        <v>21.42</v>
      </c>
      <c r="X101" s="98">
        <f>$AI100</f>
        <v>0.80267096428934104</v>
      </c>
      <c r="Y101" s="93">
        <v>0.11</v>
      </c>
      <c r="Z101" s="98">
        <f>$AI100</f>
        <v>0.80267096428934104</v>
      </c>
      <c r="AA101" s="93">
        <v>5.8</v>
      </c>
      <c r="AB101" s="98">
        <f>$AI100</f>
        <v>0.80267096428934104</v>
      </c>
      <c r="AC101" s="93">
        <v>1.7</v>
      </c>
      <c r="AD101" s="98">
        <f>$AI100</f>
        <v>0.80267096428934104</v>
      </c>
      <c r="AE101" s="93">
        <v>1.84</v>
      </c>
      <c r="AF101" s="98">
        <f t="shared" si="30"/>
        <v>0.80267096428934104</v>
      </c>
      <c r="AG101" s="10">
        <f>S101+Y101+AA101+AC101</f>
        <v>7.97</v>
      </c>
      <c r="AH101" s="95">
        <f>I101+K101+M101+O101+Q101</f>
        <v>2.9083333333333341</v>
      </c>
      <c r="AI101" s="96">
        <f t="shared" si="33"/>
        <v>0.46641412539953675</v>
      </c>
      <c r="AJ101" s="81">
        <f t="shared" si="34"/>
        <v>0.20066774107233526</v>
      </c>
      <c r="AK101" s="96">
        <f t="shared" si="25"/>
        <v>1.3194061660673495</v>
      </c>
      <c r="AL101" s="81">
        <f t="shared" si="26"/>
        <v>0.32985154151683738</v>
      </c>
      <c r="AM101" s="96">
        <f t="shared" si="27"/>
        <v>0.82931486659726739</v>
      </c>
      <c r="AN101" s="81">
        <f t="shared" si="28"/>
        <v>0.20732871664931685</v>
      </c>
    </row>
    <row r="102" spans="1:40" x14ac:dyDescent="0.15">
      <c r="A102" s="10">
        <f>A101+0.5</f>
        <v>2024.5</v>
      </c>
      <c r="C102" s="10">
        <f t="shared" si="21"/>
        <v>598</v>
      </c>
      <c r="D102" s="95">
        <f>6.8*A$79</f>
        <v>3.9666666666666668</v>
      </c>
      <c r="E102" s="122">
        <f t="shared" si="22"/>
        <v>2372.0666666666666</v>
      </c>
      <c r="F102" s="96">
        <f t="shared" si="23"/>
        <v>3.1733333333333338</v>
      </c>
      <c r="G102" s="122">
        <f t="shared" si="29"/>
        <v>6750.314666666668</v>
      </c>
      <c r="H102" s="122">
        <f t="shared" si="24"/>
        <v>2372.0666666666666</v>
      </c>
      <c r="I102" s="94">
        <f>'Modell During mining'!$G14/1000000*A79</f>
        <v>1.8736666666666675</v>
      </c>
      <c r="J102" s="94">
        <f>'Modell During mining'!$D44</f>
        <v>1.7030869587190884</v>
      </c>
      <c r="K102" s="93">
        <v>0.95</v>
      </c>
      <c r="L102" s="93">
        <v>0.01</v>
      </c>
      <c r="M102" s="93">
        <v>0.31</v>
      </c>
      <c r="N102" s="93">
        <v>0.01</v>
      </c>
      <c r="O102" s="93">
        <v>1.26</v>
      </c>
      <c r="P102" s="93">
        <v>1</v>
      </c>
      <c r="Q102" s="93">
        <v>1.6</v>
      </c>
      <c r="R102" s="93">
        <v>0</v>
      </c>
      <c r="S102" s="93">
        <v>0.36</v>
      </c>
      <c r="T102" s="98">
        <f>AI100</f>
        <v>0.80267096428934104</v>
      </c>
      <c r="U102" s="93">
        <v>25.21</v>
      </c>
      <c r="V102" s="98">
        <f>$AI100</f>
        <v>0.80267096428934104</v>
      </c>
      <c r="W102" s="93">
        <v>21.42</v>
      </c>
      <c r="X102" s="98">
        <f>$AI100</f>
        <v>0.80267096428934104</v>
      </c>
      <c r="Y102" s="93">
        <v>0.11</v>
      </c>
      <c r="Z102" s="98">
        <f>$AI100</f>
        <v>0.80267096428934104</v>
      </c>
      <c r="AA102" s="93">
        <v>5.8</v>
      </c>
      <c r="AB102" s="98">
        <f>$AI100</f>
        <v>0.80267096428934104</v>
      </c>
      <c r="AC102" s="93">
        <v>1.7</v>
      </c>
      <c r="AD102" s="98">
        <f>$AI100</f>
        <v>0.80267096428934104</v>
      </c>
      <c r="AE102" s="93">
        <v>1.84</v>
      </c>
      <c r="AF102" s="98">
        <f t="shared" si="30"/>
        <v>0.46641412539953675</v>
      </c>
      <c r="AG102" s="10">
        <f t="shared" si="31"/>
        <v>7.97</v>
      </c>
      <c r="AH102" s="95">
        <f t="shared" si="32"/>
        <v>5.9936666666666678</v>
      </c>
      <c r="AI102" s="96">
        <f t="shared" si="33"/>
        <v>0.77676792040026266</v>
      </c>
      <c r="AJ102" s="81">
        <f t="shared" si="34"/>
        <v>0.11660353134988419</v>
      </c>
      <c r="AK102" s="96">
        <f t="shared" si="25"/>
        <v>0.91134462971719299</v>
      </c>
      <c r="AL102" s="81">
        <f t="shared" si="26"/>
        <v>0.22783615742929825</v>
      </c>
      <c r="AM102" s="96">
        <f t="shared" si="27"/>
        <v>0.50011633619901963</v>
      </c>
      <c r="AN102" s="81">
        <f t="shared" si="28"/>
        <v>0.12502908404975491</v>
      </c>
    </row>
    <row r="103" spans="1:40" x14ac:dyDescent="0.15">
      <c r="A103" s="10">
        <f>A101+1</f>
        <v>2025</v>
      </c>
      <c r="C103" s="10">
        <f t="shared" si="21"/>
        <v>598</v>
      </c>
      <c r="D103" s="95">
        <f>5*A$80</f>
        <v>2.0833333333333335</v>
      </c>
      <c r="E103" s="122">
        <f t="shared" si="22"/>
        <v>1245.8333333333335</v>
      </c>
      <c r="F103" s="96">
        <f t="shared" si="23"/>
        <v>1.666666666666667</v>
      </c>
      <c r="G103" s="122">
        <f t="shared" si="29"/>
        <v>3545.3333333333339</v>
      </c>
      <c r="H103" s="122">
        <f t="shared" si="24"/>
        <v>1245.8333333333335</v>
      </c>
      <c r="I103" s="94">
        <f>'Modell During mining'!$G15/1000000*A80</f>
        <v>1.4169786666666671</v>
      </c>
      <c r="J103" s="94">
        <v>0.01</v>
      </c>
      <c r="K103" s="93">
        <v>0</v>
      </c>
      <c r="L103" s="93">
        <v>0.01</v>
      </c>
      <c r="M103" s="93">
        <v>0.31</v>
      </c>
      <c r="N103" s="93">
        <v>0.01</v>
      </c>
      <c r="O103" s="93">
        <v>1.26</v>
      </c>
      <c r="P103" s="93">
        <v>0.01</v>
      </c>
      <c r="Q103" s="93">
        <v>0</v>
      </c>
      <c r="R103" s="93">
        <v>0</v>
      </c>
      <c r="S103" s="93">
        <v>0.36</v>
      </c>
      <c r="T103" s="98">
        <f>AI102</f>
        <v>0.77676792040026266</v>
      </c>
      <c r="U103" s="93">
        <v>25.21</v>
      </c>
      <c r="V103" s="98">
        <f>$AI102</f>
        <v>0.77676792040026266</v>
      </c>
      <c r="W103" s="93">
        <v>21.42</v>
      </c>
      <c r="X103" s="98">
        <f>$AI102</f>
        <v>0.77676792040026266</v>
      </c>
      <c r="Y103" s="93">
        <v>0.11</v>
      </c>
      <c r="Z103" s="98">
        <f>$AI102</f>
        <v>0.77676792040026266</v>
      </c>
      <c r="AA103" s="93">
        <v>5.8</v>
      </c>
      <c r="AB103" s="98">
        <f>$AI102</f>
        <v>0.77676792040026266</v>
      </c>
      <c r="AC103" s="93">
        <v>1.7</v>
      </c>
      <c r="AD103" s="98">
        <f>$AI102</f>
        <v>0.77676792040026266</v>
      </c>
      <c r="AE103" s="93">
        <v>1.84</v>
      </c>
      <c r="AF103" s="98">
        <f t="shared" si="30"/>
        <v>0.77676792040026266</v>
      </c>
      <c r="AG103" s="10">
        <f>S103+Y103+AA103+AC103</f>
        <v>7.97</v>
      </c>
      <c r="AH103" s="95">
        <f>I103+K103+M103+O103+Q103</f>
        <v>2.9869786666666673</v>
      </c>
      <c r="AI103" s="96">
        <f t="shared" si="33"/>
        <v>0.44851562376709164</v>
      </c>
      <c r="AJ103" s="81">
        <f t="shared" si="34"/>
        <v>0.19419198010006566</v>
      </c>
      <c r="AK103" s="96">
        <f t="shared" si="25"/>
        <v>1.276370660130292</v>
      </c>
      <c r="AL103" s="81">
        <f t="shared" si="26"/>
        <v>0.319092665032573</v>
      </c>
      <c r="AM103" s="96">
        <f t="shared" si="27"/>
        <v>0.79856380518181991</v>
      </c>
      <c r="AN103" s="81">
        <f t="shared" si="28"/>
        <v>0.19964095129545498</v>
      </c>
    </row>
    <row r="104" spans="1:40" x14ac:dyDescent="0.15">
      <c r="A104" s="10">
        <f>A103+0.5</f>
        <v>2025.5</v>
      </c>
      <c r="C104" s="10">
        <f t="shared" si="21"/>
        <v>598</v>
      </c>
      <c r="D104" s="95">
        <f>6.8*A$79</f>
        <v>3.9666666666666668</v>
      </c>
      <c r="E104" s="122">
        <f t="shared" si="22"/>
        <v>2372.0666666666666</v>
      </c>
      <c r="F104" s="96">
        <f t="shared" si="23"/>
        <v>3.1733333333333338</v>
      </c>
      <c r="G104" s="122">
        <f t="shared" si="29"/>
        <v>6750.314666666668</v>
      </c>
      <c r="H104" s="122">
        <f t="shared" si="24"/>
        <v>2372.0666666666666</v>
      </c>
      <c r="I104" s="94">
        <f>'Modell During mining'!$G15/1000000*A79</f>
        <v>1.983770133333334</v>
      </c>
      <c r="J104" s="94">
        <f>'Modell During mining'!$D45</f>
        <v>1.6085625424088108</v>
      </c>
      <c r="K104" s="93">
        <v>0.95</v>
      </c>
      <c r="L104" s="93">
        <v>0.01</v>
      </c>
      <c r="M104" s="93">
        <v>0.31</v>
      </c>
      <c r="N104" s="93">
        <v>0.01</v>
      </c>
      <c r="O104" s="93">
        <v>1.26</v>
      </c>
      <c r="P104" s="93">
        <v>1</v>
      </c>
      <c r="Q104" s="93">
        <v>1.6</v>
      </c>
      <c r="R104" s="93">
        <v>0</v>
      </c>
      <c r="S104" s="93">
        <v>0.36</v>
      </c>
      <c r="T104" s="98">
        <f>AI102</f>
        <v>0.77676792040026266</v>
      </c>
      <c r="U104" s="93">
        <v>25.21</v>
      </c>
      <c r="V104" s="98">
        <f>$AI102</f>
        <v>0.77676792040026266</v>
      </c>
      <c r="W104" s="93">
        <v>21.42</v>
      </c>
      <c r="X104" s="98">
        <f>$AI102</f>
        <v>0.77676792040026266</v>
      </c>
      <c r="Y104" s="93">
        <v>0.11</v>
      </c>
      <c r="Z104" s="98">
        <f>$AI102</f>
        <v>0.77676792040026266</v>
      </c>
      <c r="AA104" s="93">
        <v>5.8</v>
      </c>
      <c r="AB104" s="98">
        <f>$AI102</f>
        <v>0.77676792040026266</v>
      </c>
      <c r="AC104" s="93">
        <v>1.7</v>
      </c>
      <c r="AD104" s="98">
        <f>$AI102</f>
        <v>0.77676792040026266</v>
      </c>
      <c r="AE104" s="93">
        <v>1.84</v>
      </c>
      <c r="AF104" s="98">
        <f t="shared" si="30"/>
        <v>0.44851562376709164</v>
      </c>
      <c r="AG104" s="10">
        <f t="shared" si="31"/>
        <v>7.97</v>
      </c>
      <c r="AH104" s="95">
        <f t="shared" si="32"/>
        <v>6.1037701333333345</v>
      </c>
      <c r="AI104" s="96">
        <f t="shared" si="33"/>
        <v>0.7557758972976143</v>
      </c>
      <c r="AJ104" s="81">
        <f t="shared" si="34"/>
        <v>0.11212890594177291</v>
      </c>
      <c r="AK104" s="96">
        <f t="shared" si="25"/>
        <v>0.87912144371034096</v>
      </c>
      <c r="AL104" s="81">
        <f t="shared" si="26"/>
        <v>0.21978036092758524</v>
      </c>
      <c r="AM104" s="96">
        <f t="shared" si="27"/>
        <v>0.47981393417001422</v>
      </c>
      <c r="AN104" s="81">
        <f t="shared" si="28"/>
        <v>0.11995348354250356</v>
      </c>
    </row>
    <row r="105" spans="1:40" x14ac:dyDescent="0.15">
      <c r="A105" s="10">
        <f>A103+1</f>
        <v>2026</v>
      </c>
      <c r="C105" s="10">
        <f t="shared" si="21"/>
        <v>598</v>
      </c>
      <c r="D105" s="95">
        <f>5*A$80</f>
        <v>2.0833333333333335</v>
      </c>
      <c r="E105" s="122">
        <f t="shared" si="22"/>
        <v>1245.8333333333335</v>
      </c>
      <c r="F105" s="96">
        <f t="shared" si="23"/>
        <v>1.666666666666667</v>
      </c>
      <c r="G105" s="122">
        <f t="shared" si="29"/>
        <v>3545.3333333333339</v>
      </c>
      <c r="H105" s="122">
        <f t="shared" si="24"/>
        <v>1245.8333333333335</v>
      </c>
      <c r="I105" s="94">
        <f>'Modell During mining'!$G16/1000000*A80</f>
        <v>1.4956240000000007</v>
      </c>
      <c r="J105" s="94">
        <v>0.01</v>
      </c>
      <c r="K105" s="93">
        <v>0</v>
      </c>
      <c r="L105" s="93">
        <v>0.01</v>
      </c>
      <c r="M105" s="93">
        <v>0.31</v>
      </c>
      <c r="N105" s="93">
        <v>0.01</v>
      </c>
      <c r="O105" s="93">
        <v>1.26</v>
      </c>
      <c r="P105" s="93">
        <v>0.01</v>
      </c>
      <c r="Q105" s="93">
        <v>0</v>
      </c>
      <c r="R105" s="93">
        <v>0</v>
      </c>
      <c r="S105" s="93">
        <v>0.36</v>
      </c>
      <c r="T105" s="98">
        <f>AI104</f>
        <v>0.7557758972976143</v>
      </c>
      <c r="U105" s="93">
        <v>25.21</v>
      </c>
      <c r="V105" s="98">
        <f>$AI104</f>
        <v>0.7557758972976143</v>
      </c>
      <c r="W105" s="93">
        <v>21.42</v>
      </c>
      <c r="X105" s="98">
        <f>$AI104</f>
        <v>0.7557758972976143</v>
      </c>
      <c r="Y105" s="93">
        <v>0.11</v>
      </c>
      <c r="Z105" s="98">
        <f>$AI104</f>
        <v>0.7557758972976143</v>
      </c>
      <c r="AA105" s="93">
        <v>5.8</v>
      </c>
      <c r="AB105" s="98">
        <f>$AI104</f>
        <v>0.7557758972976143</v>
      </c>
      <c r="AC105" s="93">
        <v>1.7</v>
      </c>
      <c r="AD105" s="98">
        <f>$AI104</f>
        <v>0.7557758972976143</v>
      </c>
      <c r="AE105" s="93">
        <v>1.84</v>
      </c>
      <c r="AF105" s="98">
        <f t="shared" si="30"/>
        <v>0.7557758972976143</v>
      </c>
      <c r="AG105" s="10">
        <f>S105+Y105+AA105+AC105</f>
        <v>7.97</v>
      </c>
      <c r="AH105" s="95">
        <f>I105+K105+M105+O105+Q105</f>
        <v>3.0656240000000006</v>
      </c>
      <c r="AI105" s="96">
        <f t="shared" si="33"/>
        <v>0.43287855645224577</v>
      </c>
      <c r="AJ105" s="81">
        <f t="shared" si="34"/>
        <v>0.18894397432440357</v>
      </c>
      <c r="AK105" s="96">
        <f t="shared" si="25"/>
        <v>1.2422797770866651</v>
      </c>
      <c r="AL105" s="81">
        <f t="shared" si="26"/>
        <v>0.31056994427166629</v>
      </c>
      <c r="AM105" s="96">
        <f t="shared" si="27"/>
        <v>0.776113555358527</v>
      </c>
      <c r="AN105" s="81">
        <f t="shared" si="28"/>
        <v>0.19402838883963175</v>
      </c>
    </row>
    <row r="106" spans="1:40" x14ac:dyDescent="0.15">
      <c r="A106" s="10">
        <f>A105+0.5</f>
        <v>2026.5</v>
      </c>
      <c r="C106" s="10">
        <f t="shared" si="21"/>
        <v>598</v>
      </c>
      <c r="D106" s="95">
        <f>6.8*A$79</f>
        <v>3.9666666666666668</v>
      </c>
      <c r="E106" s="122">
        <f t="shared" si="22"/>
        <v>2372.0666666666666</v>
      </c>
      <c r="F106" s="96">
        <f t="shared" si="23"/>
        <v>3.1733333333333338</v>
      </c>
      <c r="G106" s="122">
        <f t="shared" si="29"/>
        <v>6750.314666666668</v>
      </c>
      <c r="H106" s="122">
        <f t="shared" si="24"/>
        <v>2372.0666666666666</v>
      </c>
      <c r="I106" s="94">
        <f>'Modell During mining'!$G16/1000000*A79</f>
        <v>2.0938736000000011</v>
      </c>
      <c r="J106" s="94">
        <f>'Modell During mining'!$D46</f>
        <v>1.5239789992442709</v>
      </c>
      <c r="K106" s="93">
        <v>0.95</v>
      </c>
      <c r="L106" s="93">
        <v>0.01</v>
      </c>
      <c r="M106" s="93">
        <v>0.31</v>
      </c>
      <c r="N106" s="93">
        <v>0.01</v>
      </c>
      <c r="O106" s="93">
        <v>1.26</v>
      </c>
      <c r="P106" s="93">
        <v>1</v>
      </c>
      <c r="Q106" s="93">
        <v>1.6</v>
      </c>
      <c r="R106" s="93">
        <v>0</v>
      </c>
      <c r="S106" s="93">
        <v>0.36</v>
      </c>
      <c r="T106" s="98">
        <f>AI104</f>
        <v>0.7557758972976143</v>
      </c>
      <c r="U106" s="93">
        <v>25.21</v>
      </c>
      <c r="V106" s="98">
        <f>$AI104</f>
        <v>0.7557758972976143</v>
      </c>
      <c r="W106" s="93">
        <v>21.42</v>
      </c>
      <c r="X106" s="98">
        <f>$AI104</f>
        <v>0.7557758972976143</v>
      </c>
      <c r="Y106" s="93">
        <v>0.11</v>
      </c>
      <c r="Z106" s="98">
        <f>$AI104</f>
        <v>0.7557758972976143</v>
      </c>
      <c r="AA106" s="93">
        <v>5.8</v>
      </c>
      <c r="AB106" s="98">
        <f>$AI104</f>
        <v>0.7557758972976143</v>
      </c>
      <c r="AC106" s="93">
        <v>1.7</v>
      </c>
      <c r="AD106" s="98">
        <f>$AI104</f>
        <v>0.7557758972976143</v>
      </c>
      <c r="AE106" s="93">
        <v>1.84</v>
      </c>
      <c r="AF106" s="98">
        <f t="shared" si="30"/>
        <v>0.43287855645224577</v>
      </c>
      <c r="AG106" s="10">
        <f t="shared" si="31"/>
        <v>7.97</v>
      </c>
      <c r="AH106" s="95">
        <f t="shared" si="32"/>
        <v>6.2138736000000012</v>
      </c>
      <c r="AI106" s="96">
        <f t="shared" si="33"/>
        <v>0.73606724565685533</v>
      </c>
      <c r="AJ106" s="81">
        <f t="shared" si="34"/>
        <v>0.10821963911306144</v>
      </c>
      <c r="AK106" s="96">
        <f t="shared" si="25"/>
        <v>0.85033210550172544</v>
      </c>
      <c r="AL106" s="81">
        <f t="shared" si="26"/>
        <v>0.21258302637543136</v>
      </c>
      <c r="AM106" s="96">
        <f t="shared" si="27"/>
        <v>0.46217851131467774</v>
      </c>
      <c r="AN106" s="81">
        <f t="shared" si="28"/>
        <v>0.11554462782866944</v>
      </c>
    </row>
    <row r="107" spans="1:40" x14ac:dyDescent="0.15">
      <c r="A107" s="10">
        <f>A105+1</f>
        <v>2027</v>
      </c>
      <c r="C107" s="10">
        <f t="shared" si="21"/>
        <v>598</v>
      </c>
      <c r="D107" s="95">
        <f>5*A$80</f>
        <v>2.0833333333333335</v>
      </c>
      <c r="E107" s="122">
        <f t="shared" si="22"/>
        <v>1245.8333333333335</v>
      </c>
      <c r="F107" s="96">
        <f t="shared" si="23"/>
        <v>1.666666666666667</v>
      </c>
      <c r="G107" s="122">
        <f t="shared" si="29"/>
        <v>3545.3333333333339</v>
      </c>
      <c r="H107" s="122">
        <f t="shared" si="24"/>
        <v>1245.8333333333335</v>
      </c>
      <c r="I107" s="94">
        <f>'Modell During mining'!$G17/1000000*A80</f>
        <v>1.574269333333334</v>
      </c>
      <c r="J107" s="94">
        <v>0.01</v>
      </c>
      <c r="K107" s="93">
        <v>0</v>
      </c>
      <c r="L107" s="93">
        <v>0.01</v>
      </c>
      <c r="M107" s="93">
        <v>0.31</v>
      </c>
      <c r="N107" s="93">
        <v>0.01</v>
      </c>
      <c r="O107" s="93">
        <v>1.26</v>
      </c>
      <c r="P107" s="93">
        <v>0.01</v>
      </c>
      <c r="Q107" s="93">
        <v>0</v>
      </c>
      <c r="R107" s="93">
        <v>0</v>
      </c>
      <c r="S107" s="93">
        <v>0.36</v>
      </c>
      <c r="T107" s="98">
        <f>AI106</f>
        <v>0.73606724565685533</v>
      </c>
      <c r="U107" s="93">
        <v>25.21</v>
      </c>
      <c r="V107" s="98">
        <f>$AI106</f>
        <v>0.73606724565685533</v>
      </c>
      <c r="W107" s="93">
        <v>21.42</v>
      </c>
      <c r="X107" s="98">
        <f>$AI106</f>
        <v>0.73606724565685533</v>
      </c>
      <c r="Y107" s="93">
        <v>0.11</v>
      </c>
      <c r="Z107" s="98">
        <f>$AI106</f>
        <v>0.73606724565685533</v>
      </c>
      <c r="AA107" s="93">
        <v>5.8</v>
      </c>
      <c r="AB107" s="98">
        <f>$AI106</f>
        <v>0.73606724565685533</v>
      </c>
      <c r="AC107" s="93">
        <v>1.7</v>
      </c>
      <c r="AD107" s="98">
        <f>$AI106</f>
        <v>0.73606724565685533</v>
      </c>
      <c r="AE107" s="93">
        <v>1.84</v>
      </c>
      <c r="AF107" s="98">
        <f t="shared" si="30"/>
        <v>0.73606724565685533</v>
      </c>
      <c r="AG107" s="10">
        <f>S107+Y107+AA107+AC107</f>
        <v>7.97</v>
      </c>
      <c r="AH107" s="95">
        <f>I107+K107+M107+O107+Q107</f>
        <v>3.1442693333333338</v>
      </c>
      <c r="AI107" s="96">
        <f t="shared" si="33"/>
        <v>0.41824296568661412</v>
      </c>
      <c r="AJ107" s="81">
        <f t="shared" si="34"/>
        <v>0.18401681141421383</v>
      </c>
      <c r="AK107" s="96">
        <f t="shared" si="25"/>
        <v>1.2103074161711782</v>
      </c>
      <c r="AL107" s="81">
        <f t="shared" si="26"/>
        <v>0.30257685404279455</v>
      </c>
      <c r="AM107" s="96">
        <f t="shared" si="27"/>
        <v>0.75518928472755764</v>
      </c>
      <c r="AN107" s="81">
        <f t="shared" si="28"/>
        <v>0.18879732118188941</v>
      </c>
    </row>
    <row r="108" spans="1:40" x14ac:dyDescent="0.15">
      <c r="A108" s="10">
        <f>A107+0.5</f>
        <v>2027.5</v>
      </c>
      <c r="C108" s="10">
        <f t="shared" si="21"/>
        <v>598</v>
      </c>
      <c r="D108" s="95">
        <f>6.8*A$79</f>
        <v>3.9666666666666668</v>
      </c>
      <c r="E108" s="122">
        <f t="shared" si="22"/>
        <v>2372.0666666666666</v>
      </c>
      <c r="F108" s="96">
        <f t="shared" si="23"/>
        <v>3.1733333333333338</v>
      </c>
      <c r="G108" s="122">
        <f t="shared" si="29"/>
        <v>6750.314666666668</v>
      </c>
      <c r="H108" s="122">
        <f t="shared" si="24"/>
        <v>2372.0666666666666</v>
      </c>
      <c r="I108" s="94">
        <f>'Modell During mining'!$G17/1000000*A79</f>
        <v>2.2039770666666674</v>
      </c>
      <c r="J108" s="94">
        <f>'Modell During mining'!$D47</f>
        <v>1.4478464889568112</v>
      </c>
      <c r="K108" s="93">
        <v>0.95</v>
      </c>
      <c r="L108" s="93">
        <v>0.01</v>
      </c>
      <c r="M108" s="93">
        <v>0.31</v>
      </c>
      <c r="N108" s="93">
        <v>0.01</v>
      </c>
      <c r="O108" s="93">
        <v>1.26</v>
      </c>
      <c r="P108" s="93">
        <v>1</v>
      </c>
      <c r="Q108" s="93">
        <v>1.6</v>
      </c>
      <c r="R108" s="93">
        <v>0</v>
      </c>
      <c r="S108" s="93">
        <v>0.36</v>
      </c>
      <c r="T108" s="98">
        <f>AI106</f>
        <v>0.73606724565685533</v>
      </c>
      <c r="U108" s="93">
        <v>25.21</v>
      </c>
      <c r="V108" s="98">
        <f>$AI106</f>
        <v>0.73606724565685533</v>
      </c>
      <c r="W108" s="93">
        <v>21.42</v>
      </c>
      <c r="X108" s="98">
        <f>$AI106</f>
        <v>0.73606724565685533</v>
      </c>
      <c r="Y108" s="93">
        <v>0.11</v>
      </c>
      <c r="Z108" s="98">
        <f>$AI106</f>
        <v>0.73606724565685533</v>
      </c>
      <c r="AA108" s="93">
        <v>5.8</v>
      </c>
      <c r="AB108" s="98">
        <f>$AI106</f>
        <v>0.73606724565685533</v>
      </c>
      <c r="AC108" s="93">
        <v>1.7</v>
      </c>
      <c r="AD108" s="98">
        <f>$AI106</f>
        <v>0.73606724565685533</v>
      </c>
      <c r="AE108" s="93">
        <v>1.84</v>
      </c>
      <c r="AF108" s="98">
        <f t="shared" si="30"/>
        <v>0.41824296568661412</v>
      </c>
      <c r="AG108" s="10">
        <f t="shared" si="31"/>
        <v>7.97</v>
      </c>
      <c r="AH108" s="95">
        <f t="shared" si="32"/>
        <v>6.3239770666666679</v>
      </c>
      <c r="AI108" s="96">
        <f t="shared" si="33"/>
        <v>0.71740578538965771</v>
      </c>
      <c r="AJ108" s="81">
        <f t="shared" si="34"/>
        <v>0.10456074142165353</v>
      </c>
      <c r="AK108" s="96">
        <f t="shared" si="25"/>
        <v>0.82341535555266232</v>
      </c>
      <c r="AL108" s="81">
        <f t="shared" si="26"/>
        <v>0.20585383888816558</v>
      </c>
      <c r="AM108" s="96">
        <f t="shared" si="27"/>
        <v>0.44572609511849631</v>
      </c>
      <c r="AN108" s="81">
        <f t="shared" si="28"/>
        <v>0.11143152377962408</v>
      </c>
    </row>
    <row r="109" spans="1:40" x14ac:dyDescent="0.15">
      <c r="A109" s="10">
        <f>A107+1</f>
        <v>2028</v>
      </c>
      <c r="C109" s="10">
        <f t="shared" si="21"/>
        <v>598</v>
      </c>
      <c r="D109" s="95">
        <f>5*A$80</f>
        <v>2.0833333333333335</v>
      </c>
      <c r="E109" s="122">
        <f t="shared" si="22"/>
        <v>1245.8333333333335</v>
      </c>
      <c r="F109" s="96">
        <f t="shared" si="23"/>
        <v>1.666666666666667</v>
      </c>
      <c r="G109" s="122">
        <f t="shared" si="29"/>
        <v>3545.3333333333339</v>
      </c>
      <c r="H109" s="122">
        <f t="shared" si="24"/>
        <v>1245.8333333333335</v>
      </c>
      <c r="I109" s="94">
        <f>'Modell During mining'!$G18/1000000*A80</f>
        <v>1.6529146666666674</v>
      </c>
      <c r="J109" s="94">
        <v>0.01</v>
      </c>
      <c r="K109" s="93">
        <v>0</v>
      </c>
      <c r="L109" s="93">
        <v>0.01</v>
      </c>
      <c r="M109" s="93">
        <v>0.31</v>
      </c>
      <c r="N109" s="93">
        <v>0.01</v>
      </c>
      <c r="O109" s="93">
        <v>1.26</v>
      </c>
      <c r="P109" s="93">
        <v>0.01</v>
      </c>
      <c r="Q109" s="93">
        <v>0</v>
      </c>
      <c r="R109" s="93">
        <v>0</v>
      </c>
      <c r="S109" s="93">
        <v>0.36</v>
      </c>
      <c r="T109" s="98">
        <f>AI108</f>
        <v>0.71740578538965771</v>
      </c>
      <c r="U109" s="93">
        <v>25.21</v>
      </c>
      <c r="V109" s="98">
        <f>$AI108</f>
        <v>0.71740578538965771</v>
      </c>
      <c r="W109" s="93">
        <v>21.42</v>
      </c>
      <c r="X109" s="98">
        <f>$AI108</f>
        <v>0.71740578538965771</v>
      </c>
      <c r="Y109" s="93">
        <v>0.11</v>
      </c>
      <c r="Z109" s="98">
        <f>$AI108</f>
        <v>0.71740578538965771</v>
      </c>
      <c r="AA109" s="93">
        <v>5.8</v>
      </c>
      <c r="AB109" s="98">
        <f>$AI108</f>
        <v>0.71740578538965771</v>
      </c>
      <c r="AC109" s="93">
        <v>1.7</v>
      </c>
      <c r="AD109" s="98">
        <f>$AI108</f>
        <v>0.71740578538965771</v>
      </c>
      <c r="AE109" s="93">
        <v>1.84</v>
      </c>
      <c r="AF109" s="98">
        <f t="shared" si="30"/>
        <v>0.71740578538965771</v>
      </c>
      <c r="AG109" s="10">
        <f>S109+Y109+AA109+AC109</f>
        <v>7.97</v>
      </c>
      <c r="AH109" s="95">
        <f>I109+K109+M109+O109+Q109</f>
        <v>3.2229146666666675</v>
      </c>
      <c r="AI109" s="96">
        <f t="shared" si="33"/>
        <v>0.40448004315299035</v>
      </c>
      <c r="AJ109" s="81">
        <f t="shared" si="34"/>
        <v>0.17935144634741443</v>
      </c>
      <c r="AK109" s="96">
        <f t="shared" si="25"/>
        <v>1.1800304533853825</v>
      </c>
      <c r="AL109" s="81">
        <f t="shared" si="26"/>
        <v>0.29500761334634562</v>
      </c>
      <c r="AM109" s="96">
        <f t="shared" si="27"/>
        <v>0.73541372677624595</v>
      </c>
      <c r="AN109" s="81">
        <f t="shared" si="28"/>
        <v>0.18385343169406149</v>
      </c>
    </row>
    <row r="110" spans="1:40" x14ac:dyDescent="0.15">
      <c r="A110" s="10">
        <f>A109+0.5</f>
        <v>2028.5</v>
      </c>
      <c r="C110" s="10">
        <f t="shared" si="21"/>
        <v>598</v>
      </c>
      <c r="D110" s="95">
        <f>6.8*A$79</f>
        <v>3.9666666666666668</v>
      </c>
      <c r="E110" s="122">
        <f t="shared" si="22"/>
        <v>2372.0666666666666</v>
      </c>
      <c r="F110" s="96">
        <f t="shared" si="23"/>
        <v>3.1733333333333338</v>
      </c>
      <c r="G110" s="122">
        <f t="shared" si="29"/>
        <v>6750.314666666668</v>
      </c>
      <c r="H110" s="122">
        <f t="shared" si="24"/>
        <v>2372.0666666666666</v>
      </c>
      <c r="I110" s="94">
        <f>'Modell During mining'!$G18/1000000*A79</f>
        <v>2.3140805333333345</v>
      </c>
      <c r="J110" s="94">
        <f>'Modell During mining'!$D48</f>
        <v>1.3789587164284223</v>
      </c>
      <c r="K110" s="93">
        <v>0.95</v>
      </c>
      <c r="L110" s="93">
        <v>0.01</v>
      </c>
      <c r="M110" s="93">
        <v>0.31</v>
      </c>
      <c r="N110" s="93">
        <v>0.01</v>
      </c>
      <c r="O110" s="93">
        <v>1.26</v>
      </c>
      <c r="P110" s="93">
        <v>1</v>
      </c>
      <c r="Q110" s="93">
        <v>1.6</v>
      </c>
      <c r="R110" s="93">
        <v>0</v>
      </c>
      <c r="S110" s="93">
        <v>0.36</v>
      </c>
      <c r="T110" s="98">
        <f>AI108</f>
        <v>0.71740578538965771</v>
      </c>
      <c r="U110" s="93">
        <v>25.21</v>
      </c>
      <c r="V110" s="98">
        <f>$AI108</f>
        <v>0.71740578538965771</v>
      </c>
      <c r="W110" s="93">
        <v>21.42</v>
      </c>
      <c r="X110" s="98">
        <f>$AI108</f>
        <v>0.71740578538965771</v>
      </c>
      <c r="Y110" s="93">
        <v>0.11</v>
      </c>
      <c r="Z110" s="98">
        <f>$AI108</f>
        <v>0.71740578538965771</v>
      </c>
      <c r="AA110" s="93">
        <v>5.8</v>
      </c>
      <c r="AB110" s="98">
        <f>$AI108</f>
        <v>0.71740578538965771</v>
      </c>
      <c r="AC110" s="93">
        <v>1.7</v>
      </c>
      <c r="AD110" s="98">
        <f>$AI108</f>
        <v>0.71740578538965771</v>
      </c>
      <c r="AE110" s="93">
        <v>1.84</v>
      </c>
      <c r="AF110" s="98">
        <f t="shared" si="30"/>
        <v>0.40448004315299035</v>
      </c>
      <c r="AG110" s="10">
        <f t="shared" si="31"/>
        <v>7.97</v>
      </c>
      <c r="AH110" s="95">
        <f t="shared" si="32"/>
        <v>6.4340805333333346</v>
      </c>
      <c r="AI110" s="96">
        <f t="shared" si="33"/>
        <v>0.69970422441893776</v>
      </c>
      <c r="AJ110" s="81">
        <f t="shared" si="34"/>
        <v>0.10112001078824759</v>
      </c>
      <c r="AK110" s="96">
        <f t="shared" si="25"/>
        <v>0.79814765846740632</v>
      </c>
      <c r="AL110" s="81">
        <f t="shared" si="26"/>
        <v>0.19953691461685158</v>
      </c>
      <c r="AM110" s="96">
        <f t="shared" si="27"/>
        <v>0.43030001334007911</v>
      </c>
      <c r="AN110" s="81">
        <f t="shared" si="28"/>
        <v>0.10757500333501978</v>
      </c>
    </row>
    <row r="111" spans="1:40" x14ac:dyDescent="0.15">
      <c r="A111" s="10">
        <f>A109+1</f>
        <v>2029</v>
      </c>
      <c r="C111" s="10">
        <f t="shared" si="21"/>
        <v>598</v>
      </c>
      <c r="D111" s="95">
        <f>5*A$80</f>
        <v>2.0833333333333335</v>
      </c>
      <c r="E111" s="122">
        <f t="shared" si="22"/>
        <v>1245.8333333333335</v>
      </c>
      <c r="F111" s="96">
        <f t="shared" si="23"/>
        <v>1.666666666666667</v>
      </c>
      <c r="G111" s="122">
        <f t="shared" si="29"/>
        <v>3545.3333333333339</v>
      </c>
      <c r="H111" s="122">
        <f t="shared" si="24"/>
        <v>1245.8333333333335</v>
      </c>
      <c r="I111" s="94">
        <f>'Modell During mining'!$G19/1000000*A80</f>
        <v>1.7315600000000002</v>
      </c>
      <c r="J111" s="94">
        <v>0.01</v>
      </c>
      <c r="K111" s="93">
        <v>0</v>
      </c>
      <c r="L111" s="93">
        <v>0.01</v>
      </c>
      <c r="M111" s="93">
        <v>0.31</v>
      </c>
      <c r="N111" s="93">
        <v>0.01</v>
      </c>
      <c r="O111" s="93">
        <v>1.26</v>
      </c>
      <c r="P111" s="93">
        <v>0.01</v>
      </c>
      <c r="Q111" s="93">
        <v>0</v>
      </c>
      <c r="R111" s="93">
        <v>0</v>
      </c>
      <c r="S111" s="93">
        <v>0.36</v>
      </c>
      <c r="T111" s="98">
        <f>AI110</f>
        <v>0.69970422441893776</v>
      </c>
      <c r="U111" s="93">
        <v>25.21</v>
      </c>
      <c r="V111" s="98">
        <f>$AI110</f>
        <v>0.69970422441893776</v>
      </c>
      <c r="W111" s="93">
        <v>21.42</v>
      </c>
      <c r="X111" s="98">
        <f>$AI110</f>
        <v>0.69970422441893776</v>
      </c>
      <c r="Y111" s="93">
        <v>0.11</v>
      </c>
      <c r="Z111" s="98">
        <f>$AI110</f>
        <v>0.69970422441893776</v>
      </c>
      <c r="AA111" s="93">
        <v>5.8</v>
      </c>
      <c r="AB111" s="98">
        <f>$AI110</f>
        <v>0.69970422441893776</v>
      </c>
      <c r="AC111" s="93">
        <v>1.7</v>
      </c>
      <c r="AD111" s="98">
        <f>$AI110</f>
        <v>0.69970422441893776</v>
      </c>
      <c r="AE111" s="93">
        <v>1.84</v>
      </c>
      <c r="AF111" s="98">
        <f t="shared" si="30"/>
        <v>0.69970422441893776</v>
      </c>
      <c r="AG111" s="10">
        <f>S111+Y111+AA111+AC111</f>
        <v>7.97</v>
      </c>
      <c r="AH111" s="95">
        <f>I111+K111+M111+O111+Q111</f>
        <v>3.3015600000000003</v>
      </c>
      <c r="AI111" s="96">
        <f t="shared" si="33"/>
        <v>0.39151540196319384</v>
      </c>
      <c r="AJ111" s="81">
        <f t="shared" si="34"/>
        <v>0.17492605610473444</v>
      </c>
      <c r="AK111" s="96">
        <f t="shared" si="25"/>
        <v>1.1513053701801861</v>
      </c>
      <c r="AL111" s="81">
        <f t="shared" si="26"/>
        <v>0.28782634254504652</v>
      </c>
      <c r="AM111" s="96">
        <f t="shared" si="27"/>
        <v>0.71668451215985951</v>
      </c>
      <c r="AN111" s="81">
        <f t="shared" si="28"/>
        <v>0.17917112803996488</v>
      </c>
    </row>
    <row r="112" spans="1:40" x14ac:dyDescent="0.15">
      <c r="A112" s="10">
        <f>A111+0.5</f>
        <v>2029.5</v>
      </c>
      <c r="C112" s="10">
        <f t="shared" si="21"/>
        <v>598</v>
      </c>
      <c r="D112" s="95">
        <f>6.8*A$79</f>
        <v>3.9666666666666668</v>
      </c>
      <c r="E112" s="122">
        <f t="shared" si="22"/>
        <v>2372.0666666666666</v>
      </c>
      <c r="F112" s="96">
        <f t="shared" si="23"/>
        <v>3.1733333333333338</v>
      </c>
      <c r="G112" s="122">
        <f t="shared" si="29"/>
        <v>6750.314666666668</v>
      </c>
      <c r="H112" s="122">
        <f t="shared" si="24"/>
        <v>2372.0666666666666</v>
      </c>
      <c r="I112" s="94">
        <f>'Modell During mining'!$G19/1000000*A79</f>
        <v>2.4241840000000003</v>
      </c>
      <c r="J112" s="94">
        <f>'Modell During mining'!$D49</f>
        <v>1.3163285403253218</v>
      </c>
      <c r="K112" s="93">
        <v>0.95</v>
      </c>
      <c r="L112" s="93">
        <v>0.01</v>
      </c>
      <c r="M112" s="93">
        <v>0.31</v>
      </c>
      <c r="N112" s="93">
        <v>0.01</v>
      </c>
      <c r="O112" s="93">
        <v>1.26</v>
      </c>
      <c r="P112" s="93">
        <v>1</v>
      </c>
      <c r="Q112" s="93">
        <v>1.6</v>
      </c>
      <c r="R112" s="93">
        <v>0</v>
      </c>
      <c r="S112" s="93">
        <v>0.36</v>
      </c>
      <c r="T112" s="98">
        <f>AI110</f>
        <v>0.69970422441893776</v>
      </c>
      <c r="U112" s="93">
        <v>25.21</v>
      </c>
      <c r="V112" s="98">
        <f>$AI110</f>
        <v>0.69970422441893776</v>
      </c>
      <c r="W112" s="93">
        <v>21.42</v>
      </c>
      <c r="X112" s="98">
        <f>$AI110</f>
        <v>0.69970422441893776</v>
      </c>
      <c r="Y112" s="93">
        <v>0.11</v>
      </c>
      <c r="Z112" s="98">
        <f>$AI110</f>
        <v>0.69970422441893776</v>
      </c>
      <c r="AA112" s="93">
        <v>5.8</v>
      </c>
      <c r="AB112" s="98">
        <f>$AI110</f>
        <v>0.69970422441893776</v>
      </c>
      <c r="AC112" s="93">
        <v>1.7</v>
      </c>
      <c r="AD112" s="98">
        <f>$AI110</f>
        <v>0.69970422441893776</v>
      </c>
      <c r="AE112" s="93">
        <v>1.84</v>
      </c>
      <c r="AF112" s="98">
        <f t="shared" si="30"/>
        <v>0.39151540196319384</v>
      </c>
      <c r="AG112" s="10">
        <f t="shared" si="31"/>
        <v>7.97</v>
      </c>
      <c r="AH112" s="95">
        <f t="shared" si="32"/>
        <v>6.5441840000000013</v>
      </c>
      <c r="AI112" s="96">
        <f t="shared" si="33"/>
        <v>0.68288915897896318</v>
      </c>
      <c r="AJ112" s="81">
        <f t="shared" si="34"/>
        <v>9.7878850490798461E-2</v>
      </c>
      <c r="AK112" s="96">
        <f t="shared" si="25"/>
        <v>0.77437912459413649</v>
      </c>
      <c r="AL112" s="81">
        <f t="shared" si="26"/>
        <v>0.19359478114853412</v>
      </c>
      <c r="AM112" s="96">
        <f t="shared" si="27"/>
        <v>0.41580854444869619</v>
      </c>
      <c r="AN112" s="81">
        <f t="shared" si="28"/>
        <v>0.10395213611217405</v>
      </c>
    </row>
    <row r="113" spans="1:40" x14ac:dyDescent="0.15">
      <c r="A113" s="10">
        <f>A111+1</f>
        <v>2030</v>
      </c>
      <c r="C113" s="10">
        <f t="shared" si="21"/>
        <v>598</v>
      </c>
      <c r="D113" s="95">
        <f>5*A$80</f>
        <v>2.0833333333333335</v>
      </c>
      <c r="E113" s="122">
        <f t="shared" si="22"/>
        <v>1245.8333333333335</v>
      </c>
      <c r="F113" s="96">
        <f t="shared" si="23"/>
        <v>1.666666666666667</v>
      </c>
      <c r="G113" s="122">
        <f t="shared" si="29"/>
        <v>3545.3333333333339</v>
      </c>
      <c r="H113" s="122">
        <f t="shared" si="24"/>
        <v>1245.8333333333335</v>
      </c>
      <c r="I113" s="94">
        <f>'Modell During mining'!$G19/1000000*A80</f>
        <v>1.7315600000000002</v>
      </c>
      <c r="J113" s="94">
        <v>0.01</v>
      </c>
      <c r="K113" s="93">
        <v>0</v>
      </c>
      <c r="L113" s="93">
        <v>0.01</v>
      </c>
      <c r="M113" s="93">
        <v>0.31</v>
      </c>
      <c r="N113" s="93">
        <v>0.01</v>
      </c>
      <c r="O113" s="93">
        <v>1.26</v>
      </c>
      <c r="P113" s="93">
        <v>0.01</v>
      </c>
      <c r="Q113" s="93">
        <v>0</v>
      </c>
      <c r="R113" s="93">
        <v>0</v>
      </c>
      <c r="S113" s="93">
        <v>0.36</v>
      </c>
      <c r="T113" s="98">
        <f>AI112</f>
        <v>0.68288915897896318</v>
      </c>
      <c r="U113" s="93">
        <v>25.21</v>
      </c>
      <c r="V113" s="98">
        <f>$AI112</f>
        <v>0.68288915897896318</v>
      </c>
      <c r="W113" s="93">
        <v>21.42</v>
      </c>
      <c r="X113" s="98">
        <f>$AI112</f>
        <v>0.68288915897896318</v>
      </c>
      <c r="Y113" s="93">
        <v>0.11</v>
      </c>
      <c r="Z113" s="98">
        <f>$AI112</f>
        <v>0.68288915897896318</v>
      </c>
      <c r="AA113" s="93">
        <v>5.8</v>
      </c>
      <c r="AB113" s="98">
        <f>$AI112</f>
        <v>0.68288915897896318</v>
      </c>
      <c r="AC113" s="93">
        <v>1.7</v>
      </c>
      <c r="AD113" s="98">
        <f>$AI112</f>
        <v>0.68288915897896318</v>
      </c>
      <c r="AE113" s="93">
        <v>1.84</v>
      </c>
      <c r="AF113" s="98">
        <f>$AI112</f>
        <v>0.68288915897896318</v>
      </c>
      <c r="AG113" s="10">
        <f>S113+Y113+AA113+AC113</f>
        <v>7.97</v>
      </c>
      <c r="AH113" s="95">
        <f>I113+K113+M113+O113+Q113</f>
        <v>3.3015600000000003</v>
      </c>
      <c r="AI113" s="96">
        <f t="shared" si="33"/>
        <v>0.38632962649176439</v>
      </c>
      <c r="AJ113" s="81">
        <f t="shared" si="34"/>
        <v>0.1707222897447408</v>
      </c>
      <c r="AK113" s="96">
        <f t="shared" si="25"/>
        <v>1.1240128956460724</v>
      </c>
      <c r="AL113" s="81">
        <f t="shared" si="26"/>
        <v>0.28100322391151811</v>
      </c>
      <c r="AM113" s="96">
        <f t="shared" si="27"/>
        <v>0.69891940623923787</v>
      </c>
      <c r="AN113" s="81">
        <f t="shared" si="28"/>
        <v>0.17472985155980947</v>
      </c>
    </row>
    <row r="114" spans="1:40" x14ac:dyDescent="0.15">
      <c r="A114" s="10">
        <f>A113+0.5</f>
        <v>2030.5</v>
      </c>
      <c r="AF114" s="98">
        <f>$AI113</f>
        <v>0.38632962649176439</v>
      </c>
      <c r="AJ114" s="81">
        <f t="shared" si="34"/>
        <v>9.6582406622941097E-2</v>
      </c>
      <c r="AK114" s="96">
        <f t="shared" si="25"/>
        <v>0.76836155008181872</v>
      </c>
      <c r="AL114" s="81">
        <f t="shared" si="26"/>
        <v>0.19209038752045468</v>
      </c>
      <c r="AM114" s="96">
        <f t="shared" si="27"/>
        <v>0.40979096993637831</v>
      </c>
      <c r="AN114" s="81">
        <f t="shared" si="28"/>
        <v>0.10244774248409458</v>
      </c>
    </row>
    <row r="119" spans="1:40" x14ac:dyDescent="0.15">
      <c r="A119" s="10">
        <f>7/12</f>
        <v>0.58333333333333337</v>
      </c>
      <c r="B119" s="10" t="s">
        <v>1086</v>
      </c>
      <c r="C119" s="11" t="s">
        <v>1175</v>
      </c>
      <c r="D119" s="11" t="s">
        <v>1175</v>
      </c>
      <c r="E119" s="11" t="s">
        <v>1175</v>
      </c>
      <c r="F119" s="11"/>
      <c r="G119" s="11" t="s">
        <v>1175</v>
      </c>
      <c r="H119" s="11" t="s">
        <v>1175</v>
      </c>
      <c r="I119" s="11" t="s">
        <v>1175</v>
      </c>
      <c r="J119" s="11" t="s">
        <v>1175</v>
      </c>
      <c r="K119" s="11" t="s">
        <v>1175</v>
      </c>
      <c r="L119" s="11" t="s">
        <v>1175</v>
      </c>
      <c r="M119" s="11" t="s">
        <v>1175</v>
      </c>
      <c r="N119" s="11" t="s">
        <v>1175</v>
      </c>
      <c r="O119" s="11" t="s">
        <v>1175</v>
      </c>
      <c r="P119" s="11" t="s">
        <v>1175</v>
      </c>
      <c r="Q119" s="11" t="s">
        <v>1175</v>
      </c>
      <c r="R119" s="11" t="s">
        <v>1175</v>
      </c>
      <c r="S119" s="11" t="s">
        <v>1175</v>
      </c>
      <c r="T119" s="11" t="s">
        <v>1175</v>
      </c>
      <c r="U119" s="11" t="s">
        <v>1175</v>
      </c>
      <c r="V119" s="11" t="s">
        <v>1175</v>
      </c>
      <c r="W119" s="11" t="s">
        <v>1175</v>
      </c>
      <c r="X119" s="11" t="s">
        <v>1175</v>
      </c>
      <c r="Y119" s="11" t="s">
        <v>1175</v>
      </c>
      <c r="Z119" s="11" t="s">
        <v>1175</v>
      </c>
      <c r="AA119" s="11" t="s">
        <v>1175</v>
      </c>
      <c r="AB119" s="11" t="s">
        <v>1175</v>
      </c>
      <c r="AC119" s="11" t="s">
        <v>1175</v>
      </c>
      <c r="AD119" s="11" t="s">
        <v>1175</v>
      </c>
      <c r="AE119" s="11" t="s">
        <v>1175</v>
      </c>
      <c r="AF119" s="11" t="s">
        <v>1175</v>
      </c>
      <c r="AG119" s="11" t="s">
        <v>1175</v>
      </c>
      <c r="AH119" s="11" t="s">
        <v>1175</v>
      </c>
      <c r="AI119" s="11" t="s">
        <v>1175</v>
      </c>
      <c r="AJ119" s="11" t="s">
        <v>1175</v>
      </c>
      <c r="AK119" s="11" t="s">
        <v>1175</v>
      </c>
    </row>
    <row r="120" spans="1:40" x14ac:dyDescent="0.15">
      <c r="A120">
        <f>5/12</f>
        <v>0.41666666666666669</v>
      </c>
      <c r="B120" s="10" t="s">
        <v>1087</v>
      </c>
      <c r="C120" s="118" t="s">
        <v>1174</v>
      </c>
      <c r="E120" s="10">
        <v>110889</v>
      </c>
      <c r="F120" s="10" t="s">
        <v>1456</v>
      </c>
      <c r="G120" s="10">
        <v>285406</v>
      </c>
      <c r="H120" s="10">
        <v>154444</v>
      </c>
      <c r="L120" s="96"/>
      <c r="N120" s="96"/>
      <c r="P120" s="96"/>
      <c r="R120" s="96"/>
      <c r="S120" s="10"/>
      <c r="T120" s="96"/>
      <c r="V120" s="96"/>
      <c r="X120" s="96"/>
      <c r="Z120" s="96"/>
      <c r="AB120" s="96"/>
      <c r="AD120" s="96"/>
      <c r="AF120" s="96"/>
      <c r="AI120" t="s">
        <v>1443</v>
      </c>
      <c r="AJ120" t="s">
        <v>1444</v>
      </c>
      <c r="AK120" t="s">
        <v>1445</v>
      </c>
    </row>
    <row r="121" spans="1:40" ht="28" customHeight="1" x14ac:dyDescent="0.15">
      <c r="B121" s="10" t="s">
        <v>1058</v>
      </c>
      <c r="C121" s="10" t="s">
        <v>1066</v>
      </c>
      <c r="D121" s="97" t="s">
        <v>1056</v>
      </c>
      <c r="E121" s="97" t="s">
        <v>1439</v>
      </c>
      <c r="F121" s="97" t="s">
        <v>1056</v>
      </c>
      <c r="G121" s="97" t="s">
        <v>1427</v>
      </c>
      <c r="H121" s="97" t="s">
        <v>1428</v>
      </c>
      <c r="I121" s="85" t="s">
        <v>918</v>
      </c>
      <c r="J121" s="85" t="s">
        <v>657</v>
      </c>
      <c r="K121" s="85" t="s">
        <v>919</v>
      </c>
      <c r="L121" s="10" t="s">
        <v>945</v>
      </c>
      <c r="M121" s="85" t="s">
        <v>947</v>
      </c>
      <c r="N121" s="10" t="s">
        <v>945</v>
      </c>
      <c r="O121" s="85" t="s">
        <v>779</v>
      </c>
      <c r="P121" s="10" t="s">
        <v>945</v>
      </c>
      <c r="Q121" s="85" t="s">
        <v>780</v>
      </c>
      <c r="R121" s="10" t="s">
        <v>945</v>
      </c>
      <c r="S121" s="85" t="s">
        <v>948</v>
      </c>
      <c r="T121" s="10" t="s">
        <v>945</v>
      </c>
      <c r="U121" s="85" t="s">
        <v>949</v>
      </c>
      <c r="V121" s="10" t="s">
        <v>945</v>
      </c>
      <c r="W121" s="85" t="s">
        <v>950</v>
      </c>
      <c r="X121" s="10" t="s">
        <v>945</v>
      </c>
      <c r="Y121" s="85" t="s">
        <v>783</v>
      </c>
      <c r="Z121" s="10" t="s">
        <v>945</v>
      </c>
      <c r="AA121" s="85" t="s">
        <v>784</v>
      </c>
      <c r="AB121" s="10" t="s">
        <v>945</v>
      </c>
      <c r="AC121" s="85" t="s">
        <v>785</v>
      </c>
      <c r="AD121" s="10" t="s">
        <v>945</v>
      </c>
      <c r="AE121" s="85" t="s">
        <v>1205</v>
      </c>
      <c r="AF121" s="10" t="s">
        <v>945</v>
      </c>
      <c r="AG121" s="85" t="s">
        <v>1060</v>
      </c>
      <c r="AH121" s="85" t="s">
        <v>1061</v>
      </c>
      <c r="AI121" s="97" t="s">
        <v>1452</v>
      </c>
      <c r="AJ121" s="97" t="s">
        <v>1453</v>
      </c>
      <c r="AK121" s="97" t="s">
        <v>1454</v>
      </c>
    </row>
    <row r="122" spans="1:40" x14ac:dyDescent="0.15">
      <c r="A122" s="10">
        <v>2014.5</v>
      </c>
      <c r="B122" s="10">
        <v>0</v>
      </c>
      <c r="C122" s="10">
        <v>110889</v>
      </c>
      <c r="D122" s="95">
        <f>5*A119</f>
        <v>2.916666666666667</v>
      </c>
      <c r="E122" s="122">
        <f>C122*D122</f>
        <v>323426.25000000006</v>
      </c>
      <c r="F122" s="96">
        <f>D122*0.8</f>
        <v>2.3333333333333335</v>
      </c>
      <c r="G122" s="122">
        <f>(C122*0.4*D122+G$120*0.6*F122)</f>
        <v>528938.9</v>
      </c>
      <c r="H122" s="122">
        <f>(C122*0.4+H$120*0.6)*D122</f>
        <v>399647.50000000006</v>
      </c>
      <c r="I122" s="94">
        <f>'Modell During mining'!$G118/1000000</f>
        <v>1.0170360000000001</v>
      </c>
      <c r="J122" s="121">
        <f>'Modell During mining'!$D118</f>
        <v>29.364946373579695</v>
      </c>
      <c r="K122" s="93">
        <v>0.95</v>
      </c>
      <c r="L122" s="93">
        <v>0.01</v>
      </c>
      <c r="M122" s="93">
        <v>0.31</v>
      </c>
      <c r="N122" s="93">
        <v>0.01</v>
      </c>
      <c r="O122" s="93">
        <v>1.26</v>
      </c>
      <c r="P122" s="93">
        <v>8.1999999999999993</v>
      </c>
      <c r="Q122" s="93">
        <v>1.6</v>
      </c>
      <c r="R122" s="93">
        <v>0</v>
      </c>
      <c r="S122" s="93">
        <v>0.36</v>
      </c>
      <c r="T122" s="93">
        <f>$AF122</f>
        <v>170</v>
      </c>
      <c r="U122" s="93">
        <v>25.21</v>
      </c>
      <c r="V122" s="93">
        <f>$AF122</f>
        <v>170</v>
      </c>
      <c r="W122" s="93">
        <v>21.42</v>
      </c>
      <c r="X122" s="93">
        <f>$AF122</f>
        <v>170</v>
      </c>
      <c r="Y122" s="93">
        <v>0.11</v>
      </c>
      <c r="Z122" s="93">
        <f>$AF122</f>
        <v>170</v>
      </c>
      <c r="AA122" s="93">
        <v>5.8</v>
      </c>
      <c r="AB122" s="93">
        <f>$AF122</f>
        <v>170</v>
      </c>
      <c r="AC122" s="93">
        <v>1.7</v>
      </c>
      <c r="AD122" s="93">
        <f>$AF122</f>
        <v>170</v>
      </c>
      <c r="AE122" s="93">
        <v>1.84</v>
      </c>
      <c r="AF122" s="10">
        <v>170</v>
      </c>
      <c r="AG122" s="10">
        <f>S122+Y122+AA122+AC122</f>
        <v>7.97</v>
      </c>
      <c r="AH122" s="95">
        <f>I122+K122+M122+O122+Q122</f>
        <v>5.1370360000000002</v>
      </c>
      <c r="AI122" s="10">
        <v>170</v>
      </c>
      <c r="AJ122" s="10">
        <v>170</v>
      </c>
      <c r="AK122" s="10">
        <v>170</v>
      </c>
    </row>
    <row r="123" spans="1:40" x14ac:dyDescent="0.15">
      <c r="A123" s="10">
        <v>2015</v>
      </c>
      <c r="C123" s="10">
        <v>110889</v>
      </c>
      <c r="D123" s="95">
        <f>5*A$80</f>
        <v>2.0833333333333335</v>
      </c>
      <c r="E123" s="122">
        <f t="shared" ref="E123:E153" si="35">C123*D123</f>
        <v>231018.75000000003</v>
      </c>
      <c r="F123" s="96">
        <f t="shared" ref="F123:F153" si="36">D123*0.8</f>
        <v>1.666666666666667</v>
      </c>
      <c r="G123" s="122">
        <f t="shared" ref="G123:G153" si="37">(C123*0.4*D123+G$120*0.6*F123)</f>
        <v>377813.50000000006</v>
      </c>
      <c r="H123" s="122">
        <f t="shared" ref="H123:H153" si="38">(C123*0.4+H$120*0.6)*D123</f>
        <v>285462.5</v>
      </c>
      <c r="I123" s="94">
        <f>'Modell During mining'!$G119/1000000</f>
        <v>0.59130000000000005</v>
      </c>
      <c r="J123" s="121">
        <f>'Modell During mining'!$D119</f>
        <v>1.88</v>
      </c>
      <c r="K123" s="93">
        <v>0</v>
      </c>
      <c r="L123" s="93">
        <v>0.01</v>
      </c>
      <c r="M123" s="93">
        <v>0.31</v>
      </c>
      <c r="N123" s="93">
        <v>0.01</v>
      </c>
      <c r="O123" s="93">
        <v>1.26</v>
      </c>
      <c r="P123" s="93">
        <v>8.1999999999999993</v>
      </c>
      <c r="Q123" s="93">
        <v>0</v>
      </c>
      <c r="R123" s="93">
        <v>0</v>
      </c>
      <c r="S123" s="93">
        <v>0.36</v>
      </c>
      <c r="T123" s="98">
        <f t="shared" ref="T123:AD153" si="39">$AF123</f>
        <v>83.264644579915654</v>
      </c>
      <c r="U123" s="93">
        <v>25.21</v>
      </c>
      <c r="V123" s="98">
        <f t="shared" si="39"/>
        <v>83.264644579915654</v>
      </c>
      <c r="W123" s="93">
        <v>21.42</v>
      </c>
      <c r="X123" s="98">
        <f t="shared" si="39"/>
        <v>83.264644579915654</v>
      </c>
      <c r="Y123" s="93">
        <v>0.11</v>
      </c>
      <c r="Z123" s="98">
        <f t="shared" si="39"/>
        <v>83.264644579915654</v>
      </c>
      <c r="AA123" s="93">
        <v>5.8</v>
      </c>
      <c r="AB123" s="98">
        <f t="shared" si="39"/>
        <v>83.264644579915654</v>
      </c>
      <c r="AC123" s="93">
        <v>1.7</v>
      </c>
      <c r="AD123" s="98">
        <f t="shared" si="39"/>
        <v>83.264644579915654</v>
      </c>
      <c r="AE123" s="93">
        <v>1.84</v>
      </c>
      <c r="AF123" s="98">
        <f>$AI123</f>
        <v>83.264644579915654</v>
      </c>
      <c r="AG123" s="10">
        <f t="shared" ref="AG123:AG153" si="40">S123+Y123+AA123+AC123</f>
        <v>7.97</v>
      </c>
      <c r="AH123" s="95">
        <f t="shared" ref="AH123:AH153" si="41">I123+K123+M123+O123+Q123</f>
        <v>2.1612999999999998</v>
      </c>
      <c r="AI123" s="96">
        <f>((E122/1000+$I122*$J122+$K122*$L122+$M122*$N122+$O122*$P122-$S122*$T122)/($I122+$K122+$M122+$O122+$Q122+$I122-$S122)*$AH122+$AE122*$AF122)/($AH122+$AE122)</f>
        <v>83.264644579915654</v>
      </c>
      <c r="AJ123" s="96">
        <f>((G122/1000+$I122*$J122+$K122*$L122+$M122*$N122+$O122*$P122-$S122*$T122)/($I122+$K122+$M122+$O122+$Q122+$I122-$S122)*$AH122+$AE122*$AF122)/($AH122+$AE122)</f>
        <v>109.38002262600774</v>
      </c>
      <c r="AK123" s="96">
        <f>((H122/1000+$I122*$J122+$K122*$L122+$M122*$N122+$O122*$P122-$S122*$T122)/($I122+$K122+$M122+$O122+$Q122+$I122-$S122)*$AH122+$AE122*$AF122)/($AH122+$AE122)</f>
        <v>92.950407275767702</v>
      </c>
    </row>
    <row r="124" spans="1:40" x14ac:dyDescent="0.15">
      <c r="A124" s="10">
        <v>2015.5</v>
      </c>
      <c r="B124" s="10">
        <v>0</v>
      </c>
      <c r="C124" s="10">
        <v>110889</v>
      </c>
      <c r="D124" s="95">
        <f>5.5*A119</f>
        <v>3.2083333333333335</v>
      </c>
      <c r="E124" s="122">
        <f t="shared" si="35"/>
        <v>355768.875</v>
      </c>
      <c r="F124" s="96">
        <f t="shared" si="36"/>
        <v>2.5666666666666669</v>
      </c>
      <c r="G124" s="122">
        <f t="shared" si="37"/>
        <v>581832.79</v>
      </c>
      <c r="H124" s="122">
        <f t="shared" si="38"/>
        <v>439612.25</v>
      </c>
      <c r="I124" s="94">
        <f>'Modell During mining'!$G120/1000000</f>
        <v>1.1187298666666667</v>
      </c>
      <c r="J124" s="121">
        <f>'Modell During mining'!$D120</f>
        <v>26.985566071714182</v>
      </c>
      <c r="K124" s="93">
        <v>0.95</v>
      </c>
      <c r="L124" s="93">
        <v>0.01</v>
      </c>
      <c r="M124" s="93">
        <v>0.31</v>
      </c>
      <c r="N124" s="93">
        <v>0.01</v>
      </c>
      <c r="O124" s="93">
        <v>1.26</v>
      </c>
      <c r="P124" s="93">
        <v>8.1999999999999993</v>
      </c>
      <c r="Q124" s="93">
        <v>1.6</v>
      </c>
      <c r="R124" s="93">
        <v>0</v>
      </c>
      <c r="S124" s="93">
        <v>0.36</v>
      </c>
      <c r="T124" s="98">
        <f t="shared" si="39"/>
        <v>83.264644579915654</v>
      </c>
      <c r="U124" s="93">
        <v>25.21</v>
      </c>
      <c r="V124" s="98">
        <f t="shared" si="39"/>
        <v>83.264644579915654</v>
      </c>
      <c r="W124" s="93">
        <v>21.42</v>
      </c>
      <c r="X124" s="98">
        <f t="shared" si="39"/>
        <v>83.264644579915654</v>
      </c>
      <c r="Y124" s="93">
        <v>0.11</v>
      </c>
      <c r="Z124" s="98">
        <f t="shared" si="39"/>
        <v>83.264644579915654</v>
      </c>
      <c r="AA124" s="93">
        <v>5.8</v>
      </c>
      <c r="AB124" s="98">
        <f t="shared" si="39"/>
        <v>83.264644579915654</v>
      </c>
      <c r="AC124" s="93">
        <v>1.7</v>
      </c>
      <c r="AD124" s="98">
        <f t="shared" si="39"/>
        <v>83.264644579915654</v>
      </c>
      <c r="AE124" s="93">
        <v>1.84</v>
      </c>
      <c r="AF124" s="98">
        <f>$AI123</f>
        <v>83.264644579915654</v>
      </c>
      <c r="AG124" s="10">
        <f t="shared" si="40"/>
        <v>7.97</v>
      </c>
      <c r="AH124" s="95">
        <f t="shared" si="41"/>
        <v>5.2387298666666666</v>
      </c>
      <c r="AI124" s="96">
        <f>((B123/1000+E123/1000+I123*J123+K123*L123+M123*N123+O123*P123-S123*T123)/(I123+K123+M123+O123+Q123+I123-S123)*AH123+AE123*AF123)/(AH123+AE123)</f>
        <v>86.260736447595704</v>
      </c>
      <c r="AJ124" s="96">
        <f t="shared" ref="AJ124:AJ154" si="42">((G123/1000+$I123*$J123+$K123*$L123+$M123*$N123+$O123*$P123-$S123*$T123)/($I123+$K123+$M123+$O123+$Q123+$I123-$S123)*$AH123+$AE123*$AF123)/($AH123+$AE123)</f>
        <v>119.40087842078485</v>
      </c>
      <c r="AK124" s="96">
        <f t="shared" ref="AK124:AK154" si="43">((H123/1000+$I123*$J123+$K123*$L123+$M123*$N123+$O123*$P123-$S123*$T123)/($I123+$K123+$M123+$O123+$Q123+$I123-$S123)*$AH123+$AE123*$AF123)/($AH123+$AE123)</f>
        <v>98.551868143741615</v>
      </c>
    </row>
    <row r="125" spans="1:40" x14ac:dyDescent="0.15">
      <c r="A125" s="10">
        <f>A123+1</f>
        <v>2016</v>
      </c>
      <c r="C125" s="10">
        <v>110889</v>
      </c>
      <c r="D125" s="95">
        <f>5*A$80</f>
        <v>2.0833333333333335</v>
      </c>
      <c r="E125" s="122">
        <f t="shared" si="35"/>
        <v>231018.75000000003</v>
      </c>
      <c r="F125" s="96">
        <f t="shared" si="36"/>
        <v>1.666666666666667</v>
      </c>
      <c r="G125" s="122">
        <f t="shared" si="37"/>
        <v>377813.50000000006</v>
      </c>
      <c r="H125" s="122">
        <f t="shared" si="38"/>
        <v>285462.5</v>
      </c>
      <c r="I125" s="94">
        <f>'Modell During mining'!$G121/1000000</f>
        <v>0.65943333333333343</v>
      </c>
      <c r="J125" s="121">
        <f>'Modell During mining'!$D121</f>
        <v>1.88</v>
      </c>
      <c r="K125" s="93">
        <v>0</v>
      </c>
      <c r="L125" s="93">
        <v>0.01</v>
      </c>
      <c r="M125" s="93">
        <v>0.31</v>
      </c>
      <c r="N125" s="93">
        <v>0.01</v>
      </c>
      <c r="O125" s="93">
        <v>1.26</v>
      </c>
      <c r="P125" s="93">
        <v>8.1999999999999993</v>
      </c>
      <c r="Q125" s="93">
        <v>0</v>
      </c>
      <c r="R125" s="93">
        <v>0</v>
      </c>
      <c r="S125" s="93">
        <v>0.36</v>
      </c>
      <c r="T125" s="98">
        <f t="shared" si="39"/>
        <v>66.846895815387185</v>
      </c>
      <c r="U125" s="93">
        <v>25.21</v>
      </c>
      <c r="V125" s="98">
        <f t="shared" si="39"/>
        <v>66.846895815387185</v>
      </c>
      <c r="W125" s="93">
        <v>21.42</v>
      </c>
      <c r="X125" s="98">
        <f t="shared" si="39"/>
        <v>66.846895815387185</v>
      </c>
      <c r="Y125" s="93">
        <v>0.11</v>
      </c>
      <c r="Z125" s="98">
        <f t="shared" si="39"/>
        <v>66.846895815387185</v>
      </c>
      <c r="AA125" s="93">
        <v>5.8</v>
      </c>
      <c r="AB125" s="98">
        <f t="shared" si="39"/>
        <v>66.846895815387185</v>
      </c>
      <c r="AC125" s="93">
        <v>1.7</v>
      </c>
      <c r="AD125" s="98">
        <f t="shared" si="39"/>
        <v>66.846895815387185</v>
      </c>
      <c r="AE125" s="93">
        <v>1.84</v>
      </c>
      <c r="AF125" s="98">
        <f>$AI125</f>
        <v>66.846895815387185</v>
      </c>
      <c r="AG125" s="10">
        <f t="shared" si="40"/>
        <v>7.97</v>
      </c>
      <c r="AH125" s="95">
        <f t="shared" si="41"/>
        <v>2.2294333333333336</v>
      </c>
      <c r="AI125" s="96">
        <f t="shared" ref="AI125:AI154" si="44">((E124/1000+I124*J124+K124*L124+M124*N124+O124*P124-S124*T124)/(I124+K124+M124+O124+Q124+I124-S124)*AH124+AE124*AF124)/(AH124+AE124)</f>
        <v>66.846895815387185</v>
      </c>
      <c r="AJ125" s="96">
        <f t="shared" si="42"/>
        <v>94.742422722625818</v>
      </c>
      <c r="AK125" s="96">
        <f t="shared" si="43"/>
        <v>77.192886343358865</v>
      </c>
    </row>
    <row r="126" spans="1:40" x14ac:dyDescent="0.15">
      <c r="A126" s="10">
        <v>2016.5</v>
      </c>
      <c r="B126" s="10">
        <v>0</v>
      </c>
      <c r="C126" s="10">
        <v>110889</v>
      </c>
      <c r="D126" s="95">
        <f>6.5*A119</f>
        <v>3.791666666666667</v>
      </c>
      <c r="E126" s="122">
        <f t="shared" si="35"/>
        <v>420454.12500000006</v>
      </c>
      <c r="F126" s="96">
        <f t="shared" si="36"/>
        <v>3.0333333333333337</v>
      </c>
      <c r="G126" s="122">
        <f t="shared" si="37"/>
        <v>687620.57000000007</v>
      </c>
      <c r="H126" s="122">
        <f t="shared" si="38"/>
        <v>519541.75000000006</v>
      </c>
      <c r="I126" s="94">
        <f>'Modell During mining'!$G122/1000000</f>
        <v>1.2204237333333334</v>
      </c>
      <c r="J126" s="121">
        <f>'Modell During mining'!$D122</f>
        <v>25.002717526087658</v>
      </c>
      <c r="K126" s="93">
        <v>0.95</v>
      </c>
      <c r="L126" s="93">
        <v>0.01</v>
      </c>
      <c r="M126" s="93">
        <v>0.31</v>
      </c>
      <c r="N126" s="93">
        <v>0.01</v>
      </c>
      <c r="O126" s="93">
        <v>1.26</v>
      </c>
      <c r="P126" s="93">
        <v>8.1999999999999993</v>
      </c>
      <c r="Q126" s="93">
        <v>1.6</v>
      </c>
      <c r="R126" s="93">
        <v>0</v>
      </c>
      <c r="S126" s="93">
        <v>0.36</v>
      </c>
      <c r="T126" s="98">
        <f t="shared" si="39"/>
        <v>66.846895815387185</v>
      </c>
      <c r="U126" s="93">
        <v>25.21</v>
      </c>
      <c r="V126" s="98">
        <f t="shared" si="39"/>
        <v>66.846895815387185</v>
      </c>
      <c r="W126" s="93">
        <v>21.42</v>
      </c>
      <c r="X126" s="98">
        <f t="shared" si="39"/>
        <v>66.846895815387185</v>
      </c>
      <c r="Y126" s="93">
        <v>0.11</v>
      </c>
      <c r="Z126" s="98">
        <f t="shared" si="39"/>
        <v>66.846895815387185</v>
      </c>
      <c r="AA126" s="93">
        <v>5.8</v>
      </c>
      <c r="AB126" s="98">
        <f t="shared" si="39"/>
        <v>66.846895815387185</v>
      </c>
      <c r="AC126" s="93">
        <v>1.7</v>
      </c>
      <c r="AD126" s="98">
        <f t="shared" si="39"/>
        <v>66.846895815387185</v>
      </c>
      <c r="AE126" s="93">
        <v>1.84</v>
      </c>
      <c r="AF126" s="98">
        <f>$AI125</f>
        <v>66.846895815387185</v>
      </c>
      <c r="AG126" s="10">
        <f t="shared" si="40"/>
        <v>7.97</v>
      </c>
      <c r="AH126" s="95">
        <f t="shared" si="41"/>
        <v>5.3404237333333331</v>
      </c>
      <c r="AI126" s="96">
        <f t="shared" si="44"/>
        <v>77.566536945109576</v>
      </c>
      <c r="AJ126" s="96">
        <f t="shared" si="42"/>
        <v>109.36785671131224</v>
      </c>
      <c r="AK126" s="96">
        <f t="shared" si="43"/>
        <v>89.361121581284891</v>
      </c>
    </row>
    <row r="127" spans="1:40" x14ac:dyDescent="0.15">
      <c r="A127" s="10">
        <f>A125+1</f>
        <v>2017</v>
      </c>
      <c r="C127" s="10">
        <v>110889</v>
      </c>
      <c r="D127" s="95">
        <f>5*A$80</f>
        <v>2.0833333333333335</v>
      </c>
      <c r="E127" s="122">
        <f t="shared" si="35"/>
        <v>231018.75000000003</v>
      </c>
      <c r="F127" s="96">
        <f t="shared" si="36"/>
        <v>1.666666666666667</v>
      </c>
      <c r="G127" s="122">
        <f t="shared" si="37"/>
        <v>377813.50000000006</v>
      </c>
      <c r="H127" s="122">
        <f t="shared" si="38"/>
        <v>285462.5</v>
      </c>
      <c r="I127" s="94">
        <f>'Modell During mining'!$G123/1000000</f>
        <v>0.72756666666666669</v>
      </c>
      <c r="J127" s="121">
        <f>'Modell During mining'!$D123</f>
        <v>1.88</v>
      </c>
      <c r="K127" s="93">
        <v>0</v>
      </c>
      <c r="L127" s="93">
        <v>0.01</v>
      </c>
      <c r="M127" s="93">
        <v>0.31</v>
      </c>
      <c r="N127" s="93">
        <v>0.01</v>
      </c>
      <c r="O127" s="93">
        <v>1.26</v>
      </c>
      <c r="P127" s="93">
        <v>8.1999999999999993</v>
      </c>
      <c r="Q127" s="93">
        <v>0</v>
      </c>
      <c r="R127" s="93">
        <v>0</v>
      </c>
      <c r="S127" s="93">
        <v>0.36</v>
      </c>
      <c r="T127" s="98">
        <f t="shared" si="39"/>
        <v>69.574439392573083</v>
      </c>
      <c r="U127" s="93">
        <v>25.21</v>
      </c>
      <c r="V127" s="98">
        <f t="shared" si="39"/>
        <v>69.574439392573083</v>
      </c>
      <c r="W127" s="93">
        <v>21.42</v>
      </c>
      <c r="X127" s="98">
        <f t="shared" si="39"/>
        <v>69.574439392573083</v>
      </c>
      <c r="Y127" s="93">
        <v>0.11</v>
      </c>
      <c r="Z127" s="98">
        <f t="shared" si="39"/>
        <v>69.574439392573083</v>
      </c>
      <c r="AA127" s="93">
        <v>5.8</v>
      </c>
      <c r="AB127" s="98">
        <f t="shared" si="39"/>
        <v>69.574439392573083</v>
      </c>
      <c r="AC127" s="93">
        <v>1.7</v>
      </c>
      <c r="AD127" s="98">
        <f t="shared" si="39"/>
        <v>69.574439392573083</v>
      </c>
      <c r="AE127" s="93">
        <v>1.84</v>
      </c>
      <c r="AF127" s="98">
        <f>$AI127</f>
        <v>69.574439392573083</v>
      </c>
      <c r="AG127" s="10">
        <f t="shared" si="40"/>
        <v>7.97</v>
      </c>
      <c r="AH127" s="95">
        <f t="shared" si="41"/>
        <v>2.2975666666666665</v>
      </c>
      <c r="AI127" s="96">
        <f t="shared" si="44"/>
        <v>69.574439392573083</v>
      </c>
      <c r="AJ127" s="96">
        <f t="shared" si="42"/>
        <v>101.61916128742284</v>
      </c>
      <c r="AK127" s="96">
        <f t="shared" si="43"/>
        <v>81.45929786103143</v>
      </c>
    </row>
    <row r="128" spans="1:40" x14ac:dyDescent="0.15">
      <c r="A128" s="10">
        <f>A127+0.5</f>
        <v>2017.5</v>
      </c>
      <c r="B128" s="10">
        <v>0</v>
      </c>
      <c r="C128" s="10">
        <v>110889</v>
      </c>
      <c r="D128" s="95">
        <f>6.8*A$79</f>
        <v>3.9666666666666668</v>
      </c>
      <c r="E128" s="122">
        <f t="shared" si="35"/>
        <v>439859.7</v>
      </c>
      <c r="F128" s="96">
        <f t="shared" si="36"/>
        <v>3.1733333333333338</v>
      </c>
      <c r="G128" s="122">
        <f t="shared" si="37"/>
        <v>719356.9040000001</v>
      </c>
      <c r="H128" s="122">
        <f t="shared" si="38"/>
        <v>543520.6</v>
      </c>
      <c r="I128" s="94">
        <f>'Modell During mining'!$G124/1000000</f>
        <v>1.3221176000000001</v>
      </c>
      <c r="J128" s="121">
        <f>'Modell During mining'!$D124</f>
        <v>23.32490014504004</v>
      </c>
      <c r="K128" s="93">
        <v>0.95</v>
      </c>
      <c r="L128" s="93">
        <v>0.01</v>
      </c>
      <c r="M128" s="93">
        <v>0.31</v>
      </c>
      <c r="N128" s="93">
        <v>0.01</v>
      </c>
      <c r="O128" s="93">
        <v>1.26</v>
      </c>
      <c r="P128" s="93">
        <v>8.1999999999999993</v>
      </c>
      <c r="Q128" s="93">
        <v>1.6</v>
      </c>
      <c r="R128" s="93">
        <v>0</v>
      </c>
      <c r="S128" s="93">
        <v>0.36</v>
      </c>
      <c r="T128" s="98">
        <f t="shared" si="39"/>
        <v>69.574439392573083</v>
      </c>
      <c r="U128" s="93">
        <v>25.21</v>
      </c>
      <c r="V128" s="98">
        <f t="shared" si="39"/>
        <v>69.574439392573083</v>
      </c>
      <c r="W128" s="93">
        <v>21.42</v>
      </c>
      <c r="X128" s="98">
        <f t="shared" si="39"/>
        <v>69.574439392573083</v>
      </c>
      <c r="Y128" s="93">
        <v>0.11</v>
      </c>
      <c r="Z128" s="98">
        <f t="shared" si="39"/>
        <v>69.574439392573083</v>
      </c>
      <c r="AA128" s="93">
        <v>5.8</v>
      </c>
      <c r="AB128" s="98">
        <f t="shared" si="39"/>
        <v>69.574439392573083</v>
      </c>
      <c r="AC128" s="93">
        <v>1.7</v>
      </c>
      <c r="AD128" s="98">
        <f t="shared" si="39"/>
        <v>69.574439392573083</v>
      </c>
      <c r="AE128" s="93">
        <v>1.84</v>
      </c>
      <c r="AF128" s="98">
        <f>$AI127</f>
        <v>69.574439392573083</v>
      </c>
      <c r="AG128" s="10">
        <f t="shared" si="40"/>
        <v>7.97</v>
      </c>
      <c r="AH128" s="95">
        <f t="shared" si="41"/>
        <v>5.4421175999999996</v>
      </c>
      <c r="AI128" s="96">
        <f t="shared" si="44"/>
        <v>76.293833573685504</v>
      </c>
      <c r="AJ128" s="96">
        <f t="shared" si="42"/>
        <v>106.87927127199633</v>
      </c>
      <c r="AK128" s="96">
        <f t="shared" si="43"/>
        <v>87.637467618414007</v>
      </c>
    </row>
    <row r="129" spans="1:37" x14ac:dyDescent="0.15">
      <c r="A129" s="10">
        <f>A127+1</f>
        <v>2018</v>
      </c>
      <c r="C129" s="10">
        <v>110889</v>
      </c>
      <c r="D129" s="95">
        <f>5*A$80</f>
        <v>2.0833333333333335</v>
      </c>
      <c r="E129" s="122">
        <f t="shared" si="35"/>
        <v>231018.75000000003</v>
      </c>
      <c r="F129" s="96">
        <f t="shared" si="36"/>
        <v>1.666666666666667</v>
      </c>
      <c r="G129" s="122">
        <f t="shared" si="37"/>
        <v>377813.50000000006</v>
      </c>
      <c r="H129" s="122">
        <f t="shared" si="38"/>
        <v>285462.5</v>
      </c>
      <c r="I129" s="94">
        <f>'Modell During mining'!$G125/1000000</f>
        <v>0.79570000000000007</v>
      </c>
      <c r="J129" s="121">
        <f>'Modell During mining'!$D125</f>
        <v>1.88</v>
      </c>
      <c r="K129" s="93">
        <v>0</v>
      </c>
      <c r="L129" s="93">
        <v>0.01</v>
      </c>
      <c r="M129" s="93">
        <v>0.31</v>
      </c>
      <c r="N129" s="93">
        <v>0.01</v>
      </c>
      <c r="O129" s="93">
        <v>1.26</v>
      </c>
      <c r="P129" s="93">
        <v>8.1999999999999993</v>
      </c>
      <c r="Q129" s="93">
        <v>0</v>
      </c>
      <c r="R129" s="93">
        <v>0</v>
      </c>
      <c r="S129" s="93">
        <v>0.36</v>
      </c>
      <c r="T129" s="98">
        <f t="shared" si="39"/>
        <v>70.790922465142188</v>
      </c>
      <c r="U129" s="93">
        <v>25.21</v>
      </c>
      <c r="V129" s="98">
        <f t="shared" si="39"/>
        <v>70.790922465142188</v>
      </c>
      <c r="W129" s="93">
        <v>21.42</v>
      </c>
      <c r="X129" s="98">
        <f t="shared" si="39"/>
        <v>70.790922465142188</v>
      </c>
      <c r="Y129" s="93">
        <v>0.11</v>
      </c>
      <c r="Z129" s="98">
        <f t="shared" si="39"/>
        <v>70.790922465142188</v>
      </c>
      <c r="AA129" s="93">
        <v>5.8</v>
      </c>
      <c r="AB129" s="98">
        <f t="shared" si="39"/>
        <v>70.790922465142188</v>
      </c>
      <c r="AC129" s="93">
        <v>1.7</v>
      </c>
      <c r="AD129" s="98">
        <f t="shared" si="39"/>
        <v>70.790922465142188</v>
      </c>
      <c r="AE129" s="93">
        <v>1.84</v>
      </c>
      <c r="AF129" s="98">
        <f>$AI129</f>
        <v>70.790922465142188</v>
      </c>
      <c r="AG129" s="10">
        <f t="shared" si="40"/>
        <v>7.97</v>
      </c>
      <c r="AH129" s="95">
        <f t="shared" si="41"/>
        <v>2.3657000000000004</v>
      </c>
      <c r="AI129" s="96">
        <f t="shared" si="44"/>
        <v>70.790922465142188</v>
      </c>
      <c r="AJ129" s="96">
        <f t="shared" si="42"/>
        <v>103.4061511953025</v>
      </c>
      <c r="AK129" s="96">
        <f t="shared" si="43"/>
        <v>82.887372502883082</v>
      </c>
    </row>
    <row r="130" spans="1:37" x14ac:dyDescent="0.15">
      <c r="A130" s="10">
        <f>A129+0.5</f>
        <v>2018.5</v>
      </c>
      <c r="B130" s="10">
        <v>0</v>
      </c>
      <c r="C130" s="10">
        <v>110889</v>
      </c>
      <c r="D130" s="95">
        <f>6.8*A$79</f>
        <v>3.9666666666666668</v>
      </c>
      <c r="E130" s="122">
        <f t="shared" si="35"/>
        <v>439859.7</v>
      </c>
      <c r="F130" s="96">
        <f t="shared" si="36"/>
        <v>3.1733333333333338</v>
      </c>
      <c r="G130" s="122">
        <f t="shared" si="37"/>
        <v>719356.9040000001</v>
      </c>
      <c r="H130" s="122">
        <f t="shared" si="38"/>
        <v>543520.6</v>
      </c>
      <c r="I130" s="94">
        <f>'Modell During mining'!$G126/1000000</f>
        <v>1.4238114666666668</v>
      </c>
      <c r="J130" s="121">
        <f>'Modell During mining'!$D126</f>
        <v>21.886754575933551</v>
      </c>
      <c r="K130" s="93">
        <v>0.95</v>
      </c>
      <c r="L130" s="93">
        <v>0.01</v>
      </c>
      <c r="M130" s="93">
        <v>0.31</v>
      </c>
      <c r="N130" s="93">
        <v>0.01</v>
      </c>
      <c r="O130" s="93">
        <v>1.26</v>
      </c>
      <c r="P130" s="93">
        <v>8.1999999999999993</v>
      </c>
      <c r="Q130" s="93">
        <v>3.6</v>
      </c>
      <c r="R130" s="93">
        <v>0</v>
      </c>
      <c r="S130" s="93">
        <v>0.36</v>
      </c>
      <c r="T130" s="98">
        <f t="shared" si="39"/>
        <v>70.790922465142188</v>
      </c>
      <c r="U130" s="93">
        <v>25.21</v>
      </c>
      <c r="V130" s="98">
        <f t="shared" si="39"/>
        <v>70.790922465142188</v>
      </c>
      <c r="W130" s="93">
        <v>21.42</v>
      </c>
      <c r="X130" s="98">
        <f t="shared" si="39"/>
        <v>70.790922465142188</v>
      </c>
      <c r="Y130" s="93">
        <v>0.11</v>
      </c>
      <c r="Z130" s="98">
        <f t="shared" si="39"/>
        <v>70.790922465142188</v>
      </c>
      <c r="AA130" s="93">
        <v>5.8</v>
      </c>
      <c r="AB130" s="98">
        <f t="shared" si="39"/>
        <v>70.790922465142188</v>
      </c>
      <c r="AC130" s="93">
        <v>1.7</v>
      </c>
      <c r="AD130" s="98">
        <f t="shared" si="39"/>
        <v>70.790922465142188</v>
      </c>
      <c r="AE130" s="93">
        <v>1.84</v>
      </c>
      <c r="AF130" s="98">
        <f>$AI129</f>
        <v>70.790922465142188</v>
      </c>
      <c r="AG130" s="10">
        <f t="shared" si="40"/>
        <v>7.97</v>
      </c>
      <c r="AH130" s="95">
        <f t="shared" si="41"/>
        <v>7.5438114666666678</v>
      </c>
      <c r="AI130" s="96">
        <f t="shared" si="44"/>
        <v>74.616278547807184</v>
      </c>
      <c r="AJ130" s="96">
        <f t="shared" si="42"/>
        <v>104.09147977808144</v>
      </c>
      <c r="AK130" s="96">
        <f t="shared" si="43"/>
        <v>85.548144210446637</v>
      </c>
    </row>
    <row r="131" spans="1:37" x14ac:dyDescent="0.15">
      <c r="A131" s="10">
        <f>A129+1</f>
        <v>2019</v>
      </c>
      <c r="C131" s="10">
        <v>110889</v>
      </c>
      <c r="D131" s="95">
        <f>5*A$80</f>
        <v>2.0833333333333335</v>
      </c>
      <c r="E131" s="122">
        <f t="shared" si="35"/>
        <v>231018.75000000003</v>
      </c>
      <c r="F131" s="96">
        <f t="shared" si="36"/>
        <v>1.666666666666667</v>
      </c>
      <c r="G131" s="122">
        <f t="shared" si="37"/>
        <v>377813.50000000006</v>
      </c>
      <c r="H131" s="122">
        <f t="shared" si="38"/>
        <v>285462.5</v>
      </c>
      <c r="I131" s="94">
        <f>'Modell During mining'!$G127/1000000</f>
        <v>0.86383333333333345</v>
      </c>
      <c r="J131" s="121">
        <f>'Modell During mining'!$D127</f>
        <v>1.88</v>
      </c>
      <c r="K131" s="93">
        <v>0</v>
      </c>
      <c r="L131" s="93">
        <v>0.01</v>
      </c>
      <c r="M131" s="93">
        <v>0.31</v>
      </c>
      <c r="N131" s="93">
        <v>0.01</v>
      </c>
      <c r="O131" s="93">
        <v>1.26</v>
      </c>
      <c r="P131" s="93">
        <v>8.1999999999999993</v>
      </c>
      <c r="Q131" s="93">
        <v>0</v>
      </c>
      <c r="R131" s="93">
        <v>0</v>
      </c>
      <c r="S131" s="93">
        <v>0.36</v>
      </c>
      <c r="T131" s="98">
        <f t="shared" si="39"/>
        <v>56.458428112722537</v>
      </c>
      <c r="U131" s="93">
        <v>25.21</v>
      </c>
      <c r="V131" s="98">
        <f t="shared" si="39"/>
        <v>56.458428112722537</v>
      </c>
      <c r="W131" s="93">
        <v>21.42</v>
      </c>
      <c r="X131" s="98">
        <f t="shared" si="39"/>
        <v>56.458428112722537</v>
      </c>
      <c r="Y131" s="93">
        <v>0.11</v>
      </c>
      <c r="Z131" s="98">
        <f t="shared" si="39"/>
        <v>56.458428112722537</v>
      </c>
      <c r="AA131" s="93">
        <v>5.8</v>
      </c>
      <c r="AB131" s="98">
        <f t="shared" si="39"/>
        <v>56.458428112722537</v>
      </c>
      <c r="AC131" s="93">
        <v>1.7</v>
      </c>
      <c r="AD131" s="98">
        <f t="shared" si="39"/>
        <v>56.458428112722537</v>
      </c>
      <c r="AE131" s="93">
        <v>1.84</v>
      </c>
      <c r="AF131" s="98">
        <f>$AI131</f>
        <v>56.458428112722537</v>
      </c>
      <c r="AG131" s="10">
        <f t="shared" si="40"/>
        <v>7.97</v>
      </c>
      <c r="AH131" s="95">
        <f t="shared" si="41"/>
        <v>2.4338333333333333</v>
      </c>
      <c r="AI131" s="96">
        <f t="shared" si="44"/>
        <v>56.458428112722537</v>
      </c>
      <c r="AJ131" s="96">
        <f t="shared" si="42"/>
        <v>82.562351499446052</v>
      </c>
      <c r="AK131" s="96">
        <f t="shared" si="43"/>
        <v>66.139942464468263</v>
      </c>
    </row>
    <row r="132" spans="1:37" x14ac:dyDescent="0.15">
      <c r="A132" s="10">
        <f>A131+0.5</f>
        <v>2019.5</v>
      </c>
      <c r="B132" s="10">
        <v>0</v>
      </c>
      <c r="C132" s="10">
        <v>110889</v>
      </c>
      <c r="D132" s="95">
        <f>6.8*A$79</f>
        <v>3.9666666666666668</v>
      </c>
      <c r="E132" s="122">
        <f t="shared" si="35"/>
        <v>439859.7</v>
      </c>
      <c r="F132" s="96">
        <f t="shared" si="36"/>
        <v>3.1733333333333338</v>
      </c>
      <c r="G132" s="122">
        <f t="shared" si="37"/>
        <v>719356.9040000001</v>
      </c>
      <c r="H132" s="122">
        <f t="shared" si="38"/>
        <v>543520.6</v>
      </c>
      <c r="I132" s="94">
        <f>'Modell During mining'!$G128/1000000</f>
        <v>1.5255053333333335</v>
      </c>
      <c r="J132" s="121">
        <f>'Modell During mining'!$D128</f>
        <v>20.640349514783729</v>
      </c>
      <c r="K132" s="93">
        <v>0.95</v>
      </c>
      <c r="L132" s="93">
        <v>0.01</v>
      </c>
      <c r="M132" s="93">
        <v>0.31</v>
      </c>
      <c r="N132" s="93">
        <v>0.01</v>
      </c>
      <c r="O132" s="93">
        <v>1.26</v>
      </c>
      <c r="P132" s="93">
        <v>8.1999999999999993</v>
      </c>
      <c r="Q132" s="93">
        <v>1.6</v>
      </c>
      <c r="R132" s="93">
        <v>0</v>
      </c>
      <c r="S132" s="93">
        <v>0.36</v>
      </c>
      <c r="T132" s="98">
        <f t="shared" si="39"/>
        <v>56.458428112722537</v>
      </c>
      <c r="U132" s="93">
        <v>25.21</v>
      </c>
      <c r="V132" s="98">
        <f t="shared" si="39"/>
        <v>56.458428112722537</v>
      </c>
      <c r="W132" s="93">
        <v>21.42</v>
      </c>
      <c r="X132" s="98">
        <f t="shared" si="39"/>
        <v>56.458428112722537</v>
      </c>
      <c r="Y132" s="93">
        <v>0.11</v>
      </c>
      <c r="Z132" s="98">
        <f t="shared" si="39"/>
        <v>56.458428112722537</v>
      </c>
      <c r="AA132" s="93">
        <v>5.8</v>
      </c>
      <c r="AB132" s="98">
        <f t="shared" si="39"/>
        <v>56.458428112722537</v>
      </c>
      <c r="AC132" s="93">
        <v>1.7</v>
      </c>
      <c r="AD132" s="98">
        <f t="shared" si="39"/>
        <v>56.458428112722537</v>
      </c>
      <c r="AE132" s="93">
        <v>1.84</v>
      </c>
      <c r="AF132" s="98">
        <f>$AI131</f>
        <v>56.458428112722537</v>
      </c>
      <c r="AG132" s="10">
        <f t="shared" si="40"/>
        <v>7.97</v>
      </c>
      <c r="AH132" s="95">
        <f t="shared" si="41"/>
        <v>5.6455053333333343</v>
      </c>
      <c r="AI132" s="96">
        <f t="shared" si="44"/>
        <v>67.468608997071726</v>
      </c>
      <c r="AJ132" s="96">
        <f t="shared" si="42"/>
        <v>95.925094451260321</v>
      </c>
      <c r="AK132" s="96">
        <f t="shared" si="43"/>
        <v>78.022649791762831</v>
      </c>
    </row>
    <row r="133" spans="1:37" x14ac:dyDescent="0.15">
      <c r="A133" s="10">
        <f>A131+1</f>
        <v>2020</v>
      </c>
      <c r="C133" s="10">
        <v>110889</v>
      </c>
      <c r="D133" s="95">
        <f>5*A$80</f>
        <v>2.0833333333333335</v>
      </c>
      <c r="E133" s="122">
        <f t="shared" si="35"/>
        <v>231018.75000000003</v>
      </c>
      <c r="F133" s="96">
        <f t="shared" si="36"/>
        <v>1.666666666666667</v>
      </c>
      <c r="G133" s="122">
        <f t="shared" si="37"/>
        <v>377813.50000000006</v>
      </c>
      <c r="H133" s="122">
        <f t="shared" si="38"/>
        <v>285462.5</v>
      </c>
      <c r="I133" s="94">
        <f>'Modell During mining'!$G129/1000000</f>
        <v>0.93196666666666683</v>
      </c>
      <c r="J133" s="121">
        <f>'Modell During mining'!$D129</f>
        <v>1.8799999999999997</v>
      </c>
      <c r="K133" s="93">
        <v>0</v>
      </c>
      <c r="L133" s="93">
        <v>0.01</v>
      </c>
      <c r="M133" s="93">
        <v>0.31</v>
      </c>
      <c r="N133" s="93">
        <v>0.01</v>
      </c>
      <c r="O133" s="93">
        <v>1.26</v>
      </c>
      <c r="P133" s="93">
        <v>8.1999999999999993</v>
      </c>
      <c r="Q133" s="93">
        <v>0</v>
      </c>
      <c r="R133" s="93">
        <v>0</v>
      </c>
      <c r="S133" s="93">
        <v>0.36</v>
      </c>
      <c r="T133" s="98">
        <f t="shared" si="39"/>
        <v>64.965606817034256</v>
      </c>
      <c r="U133" s="93">
        <v>25.21</v>
      </c>
      <c r="V133" s="98">
        <f t="shared" si="39"/>
        <v>64.965606817034256</v>
      </c>
      <c r="W133" s="93">
        <v>21.42</v>
      </c>
      <c r="X133" s="98">
        <f t="shared" si="39"/>
        <v>64.965606817034256</v>
      </c>
      <c r="Y133" s="93">
        <v>0.11</v>
      </c>
      <c r="Z133" s="98">
        <f t="shared" si="39"/>
        <v>64.965606817034256</v>
      </c>
      <c r="AA133" s="93">
        <v>5.8</v>
      </c>
      <c r="AB133" s="98">
        <f t="shared" si="39"/>
        <v>64.965606817034256</v>
      </c>
      <c r="AC133" s="93">
        <v>1.7</v>
      </c>
      <c r="AD133" s="98">
        <f t="shared" si="39"/>
        <v>64.965606817034256</v>
      </c>
      <c r="AE133" s="93">
        <v>1.84</v>
      </c>
      <c r="AF133" s="98">
        <f>$AI133</f>
        <v>64.965606817034256</v>
      </c>
      <c r="AG133" s="10">
        <f t="shared" si="40"/>
        <v>7.97</v>
      </c>
      <c r="AH133" s="95">
        <f t="shared" si="41"/>
        <v>2.5019666666666671</v>
      </c>
      <c r="AI133" s="96">
        <f t="shared" si="44"/>
        <v>64.965606817034256</v>
      </c>
      <c r="AJ133" s="96">
        <f t="shared" si="42"/>
        <v>95.914676951617324</v>
      </c>
      <c r="AK133" s="96">
        <f t="shared" si="43"/>
        <v>76.444106130801984</v>
      </c>
    </row>
    <row r="134" spans="1:37" x14ac:dyDescent="0.15">
      <c r="A134" s="10">
        <f>A133+0.5</f>
        <v>2020.5</v>
      </c>
      <c r="B134" s="10">
        <v>0</v>
      </c>
      <c r="C134" s="10">
        <v>110889</v>
      </c>
      <c r="D134" s="95">
        <f>6.8*A$79</f>
        <v>3.9666666666666668</v>
      </c>
      <c r="E134" s="122">
        <f t="shared" si="35"/>
        <v>439859.7</v>
      </c>
      <c r="F134" s="96">
        <f t="shared" si="36"/>
        <v>3.1733333333333338</v>
      </c>
      <c r="G134" s="122">
        <f t="shared" si="37"/>
        <v>719356.9040000001</v>
      </c>
      <c r="H134" s="122">
        <f t="shared" si="38"/>
        <v>543520.6</v>
      </c>
      <c r="I134" s="94">
        <f>'Modell During mining'!$G130/1000000</f>
        <v>1.6271992000000002</v>
      </c>
      <c r="J134" s="121">
        <f>'Modell During mining'!$D130</f>
        <v>19.549735766831734</v>
      </c>
      <c r="K134" s="93">
        <v>0.95</v>
      </c>
      <c r="L134" s="93">
        <v>0.01</v>
      </c>
      <c r="M134" s="93">
        <v>0.31</v>
      </c>
      <c r="N134" s="93">
        <v>0.01</v>
      </c>
      <c r="O134" s="93">
        <v>1.26</v>
      </c>
      <c r="P134" s="93">
        <v>8.1999999999999993</v>
      </c>
      <c r="Q134" s="93">
        <v>1.6</v>
      </c>
      <c r="R134" s="93">
        <v>0</v>
      </c>
      <c r="S134" s="93">
        <v>0.36</v>
      </c>
      <c r="T134" s="98">
        <f t="shared" si="39"/>
        <v>64.965606817034256</v>
      </c>
      <c r="U134" s="93">
        <v>25.21</v>
      </c>
      <c r="V134" s="98">
        <f t="shared" si="39"/>
        <v>64.965606817034256</v>
      </c>
      <c r="W134" s="93">
        <v>21.42</v>
      </c>
      <c r="X134" s="98">
        <f t="shared" si="39"/>
        <v>64.965606817034256</v>
      </c>
      <c r="Y134" s="93">
        <v>0.11</v>
      </c>
      <c r="Z134" s="98">
        <f t="shared" si="39"/>
        <v>64.965606817034256</v>
      </c>
      <c r="AA134" s="93">
        <v>5.8</v>
      </c>
      <c r="AB134" s="98">
        <f t="shared" si="39"/>
        <v>64.965606817034256</v>
      </c>
      <c r="AC134" s="93">
        <v>1.7</v>
      </c>
      <c r="AD134" s="98">
        <f t="shared" si="39"/>
        <v>64.965606817034256</v>
      </c>
      <c r="AE134" s="93">
        <v>1.84</v>
      </c>
      <c r="AF134" s="98">
        <f>$AI133</f>
        <v>64.965606817034256</v>
      </c>
      <c r="AG134" s="10">
        <f t="shared" si="40"/>
        <v>7.97</v>
      </c>
      <c r="AH134" s="95">
        <f t="shared" si="41"/>
        <v>5.7471992000000007</v>
      </c>
      <c r="AI134" s="96">
        <f t="shared" si="44"/>
        <v>68.718183864897753</v>
      </c>
      <c r="AJ134" s="96">
        <f t="shared" si="42"/>
        <v>96.235819358071424</v>
      </c>
      <c r="AK134" s="96">
        <f t="shared" si="43"/>
        <v>78.924020704304297</v>
      </c>
    </row>
    <row r="135" spans="1:37" x14ac:dyDescent="0.15">
      <c r="A135" s="10">
        <f>A133+1</f>
        <v>2021</v>
      </c>
      <c r="C135" s="10">
        <v>110889</v>
      </c>
      <c r="D135" s="95">
        <f>5*A$80</f>
        <v>2.0833333333333335</v>
      </c>
      <c r="E135" s="122">
        <f t="shared" si="35"/>
        <v>231018.75000000003</v>
      </c>
      <c r="F135" s="96">
        <f t="shared" si="36"/>
        <v>1.666666666666667</v>
      </c>
      <c r="G135" s="122">
        <f t="shared" si="37"/>
        <v>377813.50000000006</v>
      </c>
      <c r="H135" s="122">
        <f t="shared" si="38"/>
        <v>285462.5</v>
      </c>
      <c r="I135" s="94">
        <f>'Modell During mining'!$G131/1000000</f>
        <v>1.0001000000000002</v>
      </c>
      <c r="J135" s="121">
        <f>'Modell During mining'!$D131</f>
        <v>1.88</v>
      </c>
      <c r="K135" s="93">
        <v>0</v>
      </c>
      <c r="L135" s="93">
        <v>0.01</v>
      </c>
      <c r="M135" s="93">
        <v>0.31</v>
      </c>
      <c r="N135" s="93">
        <v>0.01</v>
      </c>
      <c r="O135" s="93">
        <v>1.26</v>
      </c>
      <c r="P135" s="93">
        <v>8.1999999999999993</v>
      </c>
      <c r="Q135" s="93">
        <v>0</v>
      </c>
      <c r="R135" s="93">
        <v>0</v>
      </c>
      <c r="S135" s="93">
        <v>0.36</v>
      </c>
      <c r="T135" s="98">
        <f t="shared" si="39"/>
        <v>65.282379585110107</v>
      </c>
      <c r="U135" s="93">
        <v>25.21</v>
      </c>
      <c r="V135" s="98">
        <f t="shared" si="39"/>
        <v>65.282379585110107</v>
      </c>
      <c r="W135" s="93">
        <v>21.42</v>
      </c>
      <c r="X135" s="98">
        <f t="shared" si="39"/>
        <v>65.282379585110107</v>
      </c>
      <c r="Y135" s="93">
        <v>0.11</v>
      </c>
      <c r="Z135" s="98">
        <f t="shared" si="39"/>
        <v>65.282379585110107</v>
      </c>
      <c r="AA135" s="93">
        <v>5.8</v>
      </c>
      <c r="AB135" s="98">
        <f t="shared" si="39"/>
        <v>65.282379585110107</v>
      </c>
      <c r="AC135" s="93">
        <v>1.7</v>
      </c>
      <c r="AD135" s="98">
        <f t="shared" si="39"/>
        <v>65.282379585110107</v>
      </c>
      <c r="AE135" s="93">
        <v>1.84</v>
      </c>
      <c r="AF135" s="98">
        <f>$AI135</f>
        <v>65.282379585110107</v>
      </c>
      <c r="AG135" s="10">
        <f t="shared" si="40"/>
        <v>7.97</v>
      </c>
      <c r="AH135" s="95">
        <f t="shared" si="41"/>
        <v>2.5701000000000001</v>
      </c>
      <c r="AI135" s="96">
        <f t="shared" si="44"/>
        <v>65.282379585110107</v>
      </c>
      <c r="AJ135" s="96">
        <f t="shared" si="42"/>
        <v>95.465337788906908</v>
      </c>
      <c r="AK135" s="96">
        <f t="shared" si="43"/>
        <v>76.476740628049043</v>
      </c>
    </row>
    <row r="136" spans="1:37" x14ac:dyDescent="0.15">
      <c r="A136" s="10">
        <f>A135+0.5</f>
        <v>2021.5</v>
      </c>
      <c r="B136" s="10">
        <v>0</v>
      </c>
      <c r="C136" s="10">
        <v>110889</v>
      </c>
      <c r="D136" s="95">
        <f>6.8*A$79</f>
        <v>3.9666666666666668</v>
      </c>
      <c r="E136" s="122">
        <f t="shared" si="35"/>
        <v>439859.7</v>
      </c>
      <c r="F136" s="96">
        <f t="shared" si="36"/>
        <v>3.1733333333333338</v>
      </c>
      <c r="G136" s="122">
        <f t="shared" si="37"/>
        <v>719356.9040000001</v>
      </c>
      <c r="H136" s="122">
        <f t="shared" si="38"/>
        <v>543520.6</v>
      </c>
      <c r="I136" s="94">
        <f>'Modell During mining'!$G132/1000000</f>
        <v>1.7288930666666671</v>
      </c>
      <c r="J136" s="121">
        <f>'Modell During mining'!$D132</f>
        <v>18.587422295174903</v>
      </c>
      <c r="K136" s="93">
        <v>0.95</v>
      </c>
      <c r="L136" s="93">
        <v>0.01</v>
      </c>
      <c r="M136" s="93">
        <v>0.31</v>
      </c>
      <c r="N136" s="93">
        <v>0.01</v>
      </c>
      <c r="O136" s="93">
        <v>1.26</v>
      </c>
      <c r="P136" s="93">
        <v>8.1999999999999993</v>
      </c>
      <c r="Q136" s="93">
        <v>1.6</v>
      </c>
      <c r="R136" s="93">
        <v>0</v>
      </c>
      <c r="S136" s="93">
        <v>0.36</v>
      </c>
      <c r="T136" s="98">
        <f t="shared" si="39"/>
        <v>65.282379585110107</v>
      </c>
      <c r="U136" s="93">
        <v>25.21</v>
      </c>
      <c r="V136" s="98">
        <f t="shared" si="39"/>
        <v>65.282379585110107</v>
      </c>
      <c r="W136" s="93">
        <v>21.42</v>
      </c>
      <c r="X136" s="98">
        <f t="shared" si="39"/>
        <v>65.282379585110107</v>
      </c>
      <c r="Y136" s="93">
        <v>0.11</v>
      </c>
      <c r="Z136" s="98">
        <f t="shared" si="39"/>
        <v>65.282379585110107</v>
      </c>
      <c r="AA136" s="93">
        <v>5.8</v>
      </c>
      <c r="AB136" s="98">
        <f t="shared" si="39"/>
        <v>65.282379585110107</v>
      </c>
      <c r="AC136" s="93">
        <v>1.7</v>
      </c>
      <c r="AD136" s="98">
        <f t="shared" si="39"/>
        <v>65.282379585110107</v>
      </c>
      <c r="AE136" s="93">
        <v>1.84</v>
      </c>
      <c r="AF136" s="98">
        <f>$AI135</f>
        <v>65.282379585110107</v>
      </c>
      <c r="AG136" s="10">
        <f t="shared" si="40"/>
        <v>7.97</v>
      </c>
      <c r="AH136" s="95">
        <f t="shared" si="41"/>
        <v>5.8488930666666672</v>
      </c>
      <c r="AI136" s="96">
        <f t="shared" si="44"/>
        <v>67.12733793015704</v>
      </c>
      <c r="AJ136" s="96">
        <f t="shared" si="42"/>
        <v>93.776282749803912</v>
      </c>
      <c r="AK136" s="96">
        <f t="shared" si="43"/>
        <v>77.010991736063914</v>
      </c>
    </row>
    <row r="137" spans="1:37" x14ac:dyDescent="0.15">
      <c r="A137" s="10">
        <f>A135+1</f>
        <v>2022</v>
      </c>
      <c r="C137" s="10">
        <v>110889</v>
      </c>
      <c r="D137" s="95">
        <f>5*A$80</f>
        <v>2.0833333333333335</v>
      </c>
      <c r="E137" s="122">
        <f t="shared" si="35"/>
        <v>231018.75000000003</v>
      </c>
      <c r="F137" s="96">
        <f t="shared" si="36"/>
        <v>1.666666666666667</v>
      </c>
      <c r="G137" s="122">
        <f t="shared" si="37"/>
        <v>377813.50000000006</v>
      </c>
      <c r="H137" s="122">
        <f t="shared" si="38"/>
        <v>285462.5</v>
      </c>
      <c r="I137" s="94">
        <f>'Modell During mining'!$G133/1000000</f>
        <v>1.0682333333333336</v>
      </c>
      <c r="J137" s="121">
        <f>'Modell During mining'!$D133</f>
        <v>1.88</v>
      </c>
      <c r="K137" s="93">
        <v>0</v>
      </c>
      <c r="L137" s="93">
        <v>0.01</v>
      </c>
      <c r="M137" s="93">
        <v>0.31</v>
      </c>
      <c r="N137" s="93">
        <v>0.01</v>
      </c>
      <c r="O137" s="93">
        <v>1.26</v>
      </c>
      <c r="P137" s="93">
        <v>8.1999999999999993</v>
      </c>
      <c r="Q137" s="93">
        <v>0</v>
      </c>
      <c r="R137" s="93">
        <v>0</v>
      </c>
      <c r="S137" s="93">
        <v>0.36</v>
      </c>
      <c r="T137" s="98">
        <f t="shared" si="39"/>
        <v>63.980167187637512</v>
      </c>
      <c r="U137" s="93">
        <v>25.21</v>
      </c>
      <c r="V137" s="98">
        <f t="shared" si="39"/>
        <v>63.980167187637512</v>
      </c>
      <c r="W137" s="93">
        <v>21.42</v>
      </c>
      <c r="X137" s="98">
        <f t="shared" si="39"/>
        <v>63.980167187637512</v>
      </c>
      <c r="Y137" s="93">
        <v>0.11</v>
      </c>
      <c r="Z137" s="98">
        <f t="shared" si="39"/>
        <v>63.980167187637512</v>
      </c>
      <c r="AA137" s="93">
        <v>5.8</v>
      </c>
      <c r="AB137" s="98">
        <f t="shared" si="39"/>
        <v>63.980167187637512</v>
      </c>
      <c r="AC137" s="93">
        <v>1.7</v>
      </c>
      <c r="AD137" s="98">
        <f t="shared" si="39"/>
        <v>63.980167187637512</v>
      </c>
      <c r="AE137" s="93">
        <v>1.84</v>
      </c>
      <c r="AF137" s="98">
        <f>$AI137</f>
        <v>63.980167187637512</v>
      </c>
      <c r="AG137" s="10">
        <f t="shared" si="40"/>
        <v>7.97</v>
      </c>
      <c r="AH137" s="95">
        <f t="shared" si="41"/>
        <v>2.6382333333333339</v>
      </c>
      <c r="AI137" s="96">
        <f t="shared" si="44"/>
        <v>63.980167187637512</v>
      </c>
      <c r="AJ137" s="96">
        <f t="shared" si="42"/>
        <v>93.436814745179802</v>
      </c>
      <c r="AK137" s="96">
        <f t="shared" si="43"/>
        <v>74.90515159927989</v>
      </c>
    </row>
    <row r="138" spans="1:37" x14ac:dyDescent="0.15">
      <c r="A138" s="10">
        <f>A137+0.5</f>
        <v>2022.5</v>
      </c>
      <c r="B138" s="10">
        <v>0</v>
      </c>
      <c r="C138" s="10">
        <v>110889</v>
      </c>
      <c r="D138" s="95">
        <f>6.8*A$79</f>
        <v>3.9666666666666668</v>
      </c>
      <c r="E138" s="122">
        <f t="shared" si="35"/>
        <v>439859.7</v>
      </c>
      <c r="F138" s="96">
        <f t="shared" si="36"/>
        <v>3.1733333333333338</v>
      </c>
      <c r="G138" s="122">
        <f t="shared" si="37"/>
        <v>719356.9040000001</v>
      </c>
      <c r="H138" s="122">
        <f t="shared" si="38"/>
        <v>543520.6</v>
      </c>
      <c r="I138" s="94">
        <f>'Modell During mining'!$G134/1000000</f>
        <v>1.8305869333333338</v>
      </c>
      <c r="J138" s="121">
        <f>'Modell During mining'!$D134</f>
        <v>17.732026857396981</v>
      </c>
      <c r="K138" s="93">
        <v>0.95</v>
      </c>
      <c r="L138" s="93">
        <v>0.01</v>
      </c>
      <c r="M138" s="93">
        <v>0.31</v>
      </c>
      <c r="N138" s="93">
        <v>0.01</v>
      </c>
      <c r="O138" s="93">
        <v>1.26</v>
      </c>
      <c r="P138" s="93">
        <v>8.1999999999999993</v>
      </c>
      <c r="Q138" s="93">
        <v>0.6</v>
      </c>
      <c r="R138" s="93">
        <v>0</v>
      </c>
      <c r="S138" s="93">
        <v>0.36</v>
      </c>
      <c r="T138" s="98">
        <f t="shared" si="39"/>
        <v>63.980167187637512</v>
      </c>
      <c r="U138" s="93">
        <v>25.21</v>
      </c>
      <c r="V138" s="98">
        <f t="shared" si="39"/>
        <v>63.980167187637512</v>
      </c>
      <c r="W138" s="93">
        <v>21.42</v>
      </c>
      <c r="X138" s="98">
        <f t="shared" si="39"/>
        <v>63.980167187637512</v>
      </c>
      <c r="Y138" s="93">
        <v>0.11</v>
      </c>
      <c r="Z138" s="98">
        <f t="shared" si="39"/>
        <v>63.980167187637512</v>
      </c>
      <c r="AA138" s="93">
        <v>5.8</v>
      </c>
      <c r="AB138" s="98">
        <f t="shared" si="39"/>
        <v>63.980167187637512</v>
      </c>
      <c r="AC138" s="93">
        <v>1.7</v>
      </c>
      <c r="AD138" s="98">
        <f t="shared" si="39"/>
        <v>63.980167187637512</v>
      </c>
      <c r="AE138" s="93">
        <v>1.84</v>
      </c>
      <c r="AF138" s="98">
        <f>$AI137</f>
        <v>63.980167187637512</v>
      </c>
      <c r="AG138" s="10">
        <f t="shared" si="40"/>
        <v>7.97</v>
      </c>
      <c r="AH138" s="95">
        <f t="shared" si="41"/>
        <v>4.9505869333333337</v>
      </c>
      <c r="AI138" s="96">
        <f t="shared" si="44"/>
        <v>65.075469614028833</v>
      </c>
      <c r="AJ138" s="96">
        <f t="shared" si="42"/>
        <v>90.917730419539907</v>
      </c>
      <c r="AK138" s="96">
        <f t="shared" si="43"/>
        <v>74.659937633014806</v>
      </c>
    </row>
    <row r="139" spans="1:37" x14ac:dyDescent="0.15">
      <c r="A139" s="10">
        <f>A137+1</f>
        <v>2023</v>
      </c>
      <c r="C139" s="10">
        <v>110889</v>
      </c>
      <c r="D139" s="95">
        <f>5*A$80</f>
        <v>2.0833333333333335</v>
      </c>
      <c r="E139" s="122">
        <f t="shared" si="35"/>
        <v>231018.75000000003</v>
      </c>
      <c r="F139" s="96">
        <f t="shared" si="36"/>
        <v>1.666666666666667</v>
      </c>
      <c r="G139" s="122">
        <f t="shared" si="37"/>
        <v>377813.50000000006</v>
      </c>
      <c r="H139" s="122">
        <f t="shared" si="38"/>
        <v>285462.5</v>
      </c>
      <c r="I139" s="94">
        <f>'Modell During mining'!$G135/1000000</f>
        <v>1.1363666666666667</v>
      </c>
      <c r="J139" s="121">
        <f>'Modell During mining'!$D135</f>
        <v>1.8799999999999997</v>
      </c>
      <c r="K139" s="93">
        <v>0</v>
      </c>
      <c r="L139" s="93">
        <v>0.01</v>
      </c>
      <c r="M139" s="93">
        <v>0.31</v>
      </c>
      <c r="N139" s="93">
        <v>0.01</v>
      </c>
      <c r="O139" s="93">
        <v>1.26</v>
      </c>
      <c r="P139" s="93">
        <v>8.1999999999999993</v>
      </c>
      <c r="Q139" s="93">
        <v>0</v>
      </c>
      <c r="R139" s="93">
        <v>0</v>
      </c>
      <c r="S139" s="93">
        <v>0.36</v>
      </c>
      <c r="T139" s="98">
        <f t="shared" si="39"/>
        <v>69.521159017047324</v>
      </c>
      <c r="U139" s="93">
        <v>25.21</v>
      </c>
      <c r="V139" s="98">
        <f t="shared" si="39"/>
        <v>69.521159017047324</v>
      </c>
      <c r="W139" s="93">
        <v>21.42</v>
      </c>
      <c r="X139" s="98">
        <f t="shared" si="39"/>
        <v>69.521159017047324</v>
      </c>
      <c r="Y139" s="93">
        <v>0.11</v>
      </c>
      <c r="Z139" s="98">
        <f t="shared" si="39"/>
        <v>69.521159017047324</v>
      </c>
      <c r="AA139" s="93">
        <v>5.8</v>
      </c>
      <c r="AB139" s="98">
        <f t="shared" si="39"/>
        <v>69.521159017047324</v>
      </c>
      <c r="AC139" s="93">
        <v>1.7</v>
      </c>
      <c r="AD139" s="98">
        <f t="shared" si="39"/>
        <v>69.521159017047324</v>
      </c>
      <c r="AE139" s="93">
        <v>1.84</v>
      </c>
      <c r="AF139" s="98">
        <f>$AI139</f>
        <v>69.521159017047324</v>
      </c>
      <c r="AG139" s="10">
        <f t="shared" si="40"/>
        <v>7.97</v>
      </c>
      <c r="AH139" s="95">
        <f t="shared" si="41"/>
        <v>2.7063666666666668</v>
      </c>
      <c r="AI139" s="96">
        <f t="shared" si="44"/>
        <v>69.521159017047324</v>
      </c>
      <c r="AJ139" s="96">
        <f t="shared" si="42"/>
        <v>101.2542528546779</v>
      </c>
      <c r="AK139" s="96">
        <f t="shared" si="43"/>
        <v>81.290439782350546</v>
      </c>
    </row>
    <row r="140" spans="1:37" x14ac:dyDescent="0.15">
      <c r="A140" s="10">
        <f>A139+0.5</f>
        <v>2023.5</v>
      </c>
      <c r="B140" s="10">
        <v>0</v>
      </c>
      <c r="C140" s="10">
        <v>110889</v>
      </c>
      <c r="D140" s="95">
        <f>6.8*A$79</f>
        <v>3.9666666666666668</v>
      </c>
      <c r="E140" s="122">
        <f t="shared" si="35"/>
        <v>439859.7</v>
      </c>
      <c r="F140" s="96">
        <f t="shared" si="36"/>
        <v>3.1733333333333338</v>
      </c>
      <c r="G140" s="122">
        <f t="shared" si="37"/>
        <v>719356.9040000001</v>
      </c>
      <c r="H140" s="122">
        <f t="shared" si="38"/>
        <v>543520.6</v>
      </c>
      <c r="I140" s="94">
        <f>'Modell During mining'!$G136/1000000</f>
        <v>1.9322808000000005</v>
      </c>
      <c r="J140" s="121">
        <f>'Modell During mining'!$D136</f>
        <v>16.966668509048983</v>
      </c>
      <c r="K140" s="93">
        <v>0.95</v>
      </c>
      <c r="L140" s="93">
        <v>0.01</v>
      </c>
      <c r="M140" s="93">
        <v>0.31</v>
      </c>
      <c r="N140" s="93">
        <v>0.01</v>
      </c>
      <c r="O140" s="93">
        <v>1.26</v>
      </c>
      <c r="P140" s="93">
        <v>8.1999999999999993</v>
      </c>
      <c r="Q140" s="93">
        <v>1.6</v>
      </c>
      <c r="R140" s="93">
        <v>0</v>
      </c>
      <c r="S140" s="93">
        <v>0.36</v>
      </c>
      <c r="T140" s="98">
        <f t="shared" si="39"/>
        <v>69.521159017047324</v>
      </c>
      <c r="U140" s="93">
        <v>25.21</v>
      </c>
      <c r="V140" s="98">
        <f t="shared" si="39"/>
        <v>69.521159017047324</v>
      </c>
      <c r="W140" s="93">
        <v>21.42</v>
      </c>
      <c r="X140" s="98">
        <f t="shared" si="39"/>
        <v>69.521159017047324</v>
      </c>
      <c r="Y140" s="93">
        <v>0.11</v>
      </c>
      <c r="Z140" s="98">
        <f t="shared" si="39"/>
        <v>69.521159017047324</v>
      </c>
      <c r="AA140" s="93">
        <v>5.8</v>
      </c>
      <c r="AB140" s="98">
        <f t="shared" si="39"/>
        <v>69.521159017047324</v>
      </c>
      <c r="AC140" s="93">
        <v>1.7</v>
      </c>
      <c r="AD140" s="98">
        <f t="shared" si="39"/>
        <v>69.521159017047324</v>
      </c>
      <c r="AE140" s="93">
        <v>1.84</v>
      </c>
      <c r="AF140" s="98">
        <f>$AI139</f>
        <v>69.521159017047324</v>
      </c>
      <c r="AG140" s="10">
        <f t="shared" si="40"/>
        <v>7.97</v>
      </c>
      <c r="AH140" s="95">
        <f t="shared" si="41"/>
        <v>6.0522808000000001</v>
      </c>
      <c r="AI140" s="96">
        <f t="shared" si="44"/>
        <v>65.476926898482517</v>
      </c>
      <c r="AJ140" s="96">
        <f t="shared" si="42"/>
        <v>90.56760957846862</v>
      </c>
      <c r="AK140" s="96">
        <f t="shared" si="43"/>
        <v>74.782646995137839</v>
      </c>
    </row>
    <row r="141" spans="1:37" x14ac:dyDescent="0.15">
      <c r="A141" s="10">
        <f>A139+1</f>
        <v>2024</v>
      </c>
      <c r="C141" s="10">
        <v>110889</v>
      </c>
      <c r="D141" s="95">
        <f>5*A$80</f>
        <v>2.0833333333333335</v>
      </c>
      <c r="E141" s="122">
        <f t="shared" si="35"/>
        <v>231018.75000000003</v>
      </c>
      <c r="F141" s="96">
        <f t="shared" si="36"/>
        <v>1.666666666666667</v>
      </c>
      <c r="G141" s="122">
        <f t="shared" si="37"/>
        <v>377813.50000000006</v>
      </c>
      <c r="H141" s="122">
        <f t="shared" si="38"/>
        <v>285462.5</v>
      </c>
      <c r="I141" s="94">
        <f>'Modell During mining'!$G137/1000000</f>
        <v>1.2044999999999999</v>
      </c>
      <c r="J141" s="121">
        <f>'Modell During mining'!$D137</f>
        <v>1.88</v>
      </c>
      <c r="K141" s="93">
        <v>0</v>
      </c>
      <c r="L141" s="93">
        <v>0.01</v>
      </c>
      <c r="M141" s="93">
        <v>0.31</v>
      </c>
      <c r="N141" s="93">
        <v>0.01</v>
      </c>
      <c r="O141" s="93">
        <v>1.26</v>
      </c>
      <c r="P141" s="93">
        <v>8.1999999999999993</v>
      </c>
      <c r="Q141" s="93">
        <v>0</v>
      </c>
      <c r="R141" s="93">
        <v>0</v>
      </c>
      <c r="S141" s="93">
        <v>0.36</v>
      </c>
      <c r="T141" s="98">
        <f t="shared" si="39"/>
        <v>62.268772353783447</v>
      </c>
      <c r="U141" s="93">
        <v>25.21</v>
      </c>
      <c r="V141" s="98">
        <f t="shared" si="39"/>
        <v>62.268772353783447</v>
      </c>
      <c r="W141" s="93">
        <v>21.42</v>
      </c>
      <c r="X141" s="98">
        <f t="shared" si="39"/>
        <v>62.268772353783447</v>
      </c>
      <c r="Y141" s="93">
        <v>0.11</v>
      </c>
      <c r="Z141" s="98">
        <f t="shared" si="39"/>
        <v>62.268772353783447</v>
      </c>
      <c r="AA141" s="93">
        <v>5.8</v>
      </c>
      <c r="AB141" s="98">
        <f t="shared" si="39"/>
        <v>62.268772353783447</v>
      </c>
      <c r="AC141" s="93">
        <v>1.7</v>
      </c>
      <c r="AD141" s="98">
        <f t="shared" si="39"/>
        <v>62.268772353783447</v>
      </c>
      <c r="AE141" s="93">
        <v>1.84</v>
      </c>
      <c r="AF141" s="98">
        <f>$AI141</f>
        <v>62.268772353783447</v>
      </c>
      <c r="AG141" s="10">
        <f t="shared" si="40"/>
        <v>7.97</v>
      </c>
      <c r="AH141" s="95">
        <f t="shared" si="41"/>
        <v>2.7744999999999997</v>
      </c>
      <c r="AI141" s="96">
        <f t="shared" si="44"/>
        <v>62.268772353783447</v>
      </c>
      <c r="AJ141" s="96">
        <f t="shared" si="42"/>
        <v>90.379955898613375</v>
      </c>
      <c r="AK141" s="96">
        <f t="shared" si="43"/>
        <v>72.694746369331227</v>
      </c>
    </row>
    <row r="142" spans="1:37" x14ac:dyDescent="0.15">
      <c r="A142" s="10">
        <f>A141+0.5</f>
        <v>2024.5</v>
      </c>
      <c r="B142" s="10">
        <v>0</v>
      </c>
      <c r="C142" s="10">
        <v>110889</v>
      </c>
      <c r="D142" s="95">
        <f>6.8*A$79</f>
        <v>3.9666666666666668</v>
      </c>
      <c r="E142" s="122">
        <f t="shared" si="35"/>
        <v>439859.7</v>
      </c>
      <c r="F142" s="96">
        <f t="shared" si="36"/>
        <v>3.1733333333333338</v>
      </c>
      <c r="G142" s="122">
        <f t="shared" si="37"/>
        <v>719356.9040000001</v>
      </c>
      <c r="H142" s="122">
        <f t="shared" si="38"/>
        <v>543520.6</v>
      </c>
      <c r="I142" s="94">
        <f>'Modell During mining'!$G138/1000000</f>
        <v>2.0339746666666674</v>
      </c>
      <c r="J142" s="121">
        <f>'Modell During mining'!$D138</f>
        <v>16.277842333008397</v>
      </c>
      <c r="K142" s="93">
        <v>0.95</v>
      </c>
      <c r="L142" s="93">
        <v>0.01</v>
      </c>
      <c r="M142" s="93">
        <v>0.31</v>
      </c>
      <c r="N142" s="93">
        <v>0.01</v>
      </c>
      <c r="O142" s="93">
        <v>1.26</v>
      </c>
      <c r="P142" s="93">
        <v>8.1999999999999993</v>
      </c>
      <c r="Q142" s="93">
        <v>1.6</v>
      </c>
      <c r="R142" s="93">
        <v>0</v>
      </c>
      <c r="S142" s="93">
        <v>0.36</v>
      </c>
      <c r="T142" s="98">
        <f t="shared" si="39"/>
        <v>62.268772353783447</v>
      </c>
      <c r="U142" s="93">
        <v>25.21</v>
      </c>
      <c r="V142" s="98">
        <f t="shared" si="39"/>
        <v>62.268772353783447</v>
      </c>
      <c r="W142" s="93">
        <v>21.42</v>
      </c>
      <c r="X142" s="98">
        <f t="shared" si="39"/>
        <v>62.268772353783447</v>
      </c>
      <c r="Y142" s="93">
        <v>0.11</v>
      </c>
      <c r="Z142" s="98">
        <f t="shared" si="39"/>
        <v>62.268772353783447</v>
      </c>
      <c r="AA142" s="93">
        <v>5.8</v>
      </c>
      <c r="AB142" s="98">
        <f t="shared" si="39"/>
        <v>62.268772353783447</v>
      </c>
      <c r="AC142" s="93">
        <v>1.7</v>
      </c>
      <c r="AD142" s="98">
        <f t="shared" si="39"/>
        <v>62.268772353783447</v>
      </c>
      <c r="AE142" s="93">
        <v>1.84</v>
      </c>
      <c r="AF142" s="98">
        <f>$AI141</f>
        <v>62.268772353783447</v>
      </c>
      <c r="AG142" s="10">
        <f t="shared" si="40"/>
        <v>7.97</v>
      </c>
      <c r="AH142" s="95">
        <f t="shared" si="41"/>
        <v>6.1539746666666684</v>
      </c>
      <c r="AI142" s="96">
        <f t="shared" si="44"/>
        <v>61.579439334475524</v>
      </c>
      <c r="AJ142" s="96">
        <f t="shared" si="42"/>
        <v>85.967766892666006</v>
      </c>
      <c r="AK142" s="96">
        <f t="shared" si="43"/>
        <v>70.624667508481949</v>
      </c>
    </row>
    <row r="143" spans="1:37" x14ac:dyDescent="0.15">
      <c r="A143" s="10">
        <f>A141+1</f>
        <v>2025</v>
      </c>
      <c r="C143" s="10">
        <v>110889</v>
      </c>
      <c r="D143" s="95">
        <f>5*A$80</f>
        <v>2.0833333333333335</v>
      </c>
      <c r="E143" s="122">
        <f t="shared" si="35"/>
        <v>231018.75000000003</v>
      </c>
      <c r="F143" s="96">
        <f t="shared" si="36"/>
        <v>1.666666666666667</v>
      </c>
      <c r="G143" s="122">
        <f t="shared" si="37"/>
        <v>377813.50000000006</v>
      </c>
      <c r="H143" s="122">
        <f t="shared" si="38"/>
        <v>285462.5</v>
      </c>
      <c r="I143" s="94">
        <f>'Modell During mining'!$G139/1000000</f>
        <v>1.2726333333333333</v>
      </c>
      <c r="J143" s="121">
        <f>'Modell During mining'!$D139</f>
        <v>1.88</v>
      </c>
      <c r="K143" s="93">
        <v>0</v>
      </c>
      <c r="L143" s="93">
        <v>0.01</v>
      </c>
      <c r="M143" s="93">
        <v>0.31</v>
      </c>
      <c r="N143" s="93">
        <v>0.01</v>
      </c>
      <c r="O143" s="93">
        <v>1.26</v>
      </c>
      <c r="P143" s="93">
        <v>8.1999999999999993</v>
      </c>
      <c r="Q143" s="93">
        <v>0</v>
      </c>
      <c r="R143" s="93">
        <v>0</v>
      </c>
      <c r="S143" s="93">
        <v>0.36</v>
      </c>
      <c r="T143" s="98">
        <f t="shared" si="39"/>
        <v>59.658687721611194</v>
      </c>
      <c r="U143" s="93">
        <v>25.21</v>
      </c>
      <c r="V143" s="98">
        <f t="shared" si="39"/>
        <v>59.658687721611194</v>
      </c>
      <c r="W143" s="93">
        <v>21.42</v>
      </c>
      <c r="X143" s="98">
        <f t="shared" si="39"/>
        <v>59.658687721611194</v>
      </c>
      <c r="Y143" s="93">
        <v>0.11</v>
      </c>
      <c r="Z143" s="98">
        <f t="shared" si="39"/>
        <v>59.658687721611194</v>
      </c>
      <c r="AA143" s="93">
        <v>5.8</v>
      </c>
      <c r="AB143" s="98">
        <f t="shared" si="39"/>
        <v>59.658687721611194</v>
      </c>
      <c r="AC143" s="93">
        <v>1.7</v>
      </c>
      <c r="AD143" s="98">
        <f t="shared" si="39"/>
        <v>59.658687721611194</v>
      </c>
      <c r="AE143" s="93">
        <v>1.84</v>
      </c>
      <c r="AF143" s="98">
        <f>$AI143</f>
        <v>59.658687721611194</v>
      </c>
      <c r="AG143" s="10">
        <f t="shared" si="40"/>
        <v>7.97</v>
      </c>
      <c r="AH143" s="95">
        <f t="shared" si="41"/>
        <v>2.8426333333333336</v>
      </c>
      <c r="AI143" s="96">
        <f t="shared" si="44"/>
        <v>59.658687721611194</v>
      </c>
      <c r="AJ143" s="96">
        <f t="shared" si="42"/>
        <v>87.145374795009218</v>
      </c>
      <c r="AK143" s="96">
        <f t="shared" si="43"/>
        <v>69.853046302911352</v>
      </c>
    </row>
    <row r="144" spans="1:37" x14ac:dyDescent="0.15">
      <c r="A144" s="10">
        <f>A143+0.5</f>
        <v>2025.5</v>
      </c>
      <c r="B144" s="10">
        <v>0</v>
      </c>
      <c r="C144" s="10">
        <v>110889</v>
      </c>
      <c r="D144" s="95">
        <f>6.8*A$79</f>
        <v>3.9666666666666668</v>
      </c>
      <c r="E144" s="122">
        <f t="shared" si="35"/>
        <v>439859.7</v>
      </c>
      <c r="F144" s="96">
        <f t="shared" si="36"/>
        <v>3.1733333333333338</v>
      </c>
      <c r="G144" s="122">
        <f t="shared" si="37"/>
        <v>719356.9040000001</v>
      </c>
      <c r="H144" s="122">
        <f t="shared" si="38"/>
        <v>543520.6</v>
      </c>
      <c r="I144" s="94">
        <f>'Modell During mining'!$G140/1000000</f>
        <v>2.1356685333333343</v>
      </c>
      <c r="J144" s="121">
        <f>'Modell During mining'!$D140</f>
        <v>15.654615660083067</v>
      </c>
      <c r="K144" s="93">
        <v>0.95</v>
      </c>
      <c r="L144" s="93">
        <v>0.01</v>
      </c>
      <c r="M144" s="93">
        <v>0.31</v>
      </c>
      <c r="N144" s="93">
        <v>0.01</v>
      </c>
      <c r="O144" s="93">
        <v>1.26</v>
      </c>
      <c r="P144" s="93">
        <v>8.1999999999999993</v>
      </c>
      <c r="Q144" s="93">
        <v>1.6</v>
      </c>
      <c r="R144" s="93">
        <v>0</v>
      </c>
      <c r="S144" s="93">
        <v>0.36</v>
      </c>
      <c r="T144" s="98">
        <f t="shared" si="39"/>
        <v>59.658687721611194</v>
      </c>
      <c r="U144" s="93">
        <v>25.21</v>
      </c>
      <c r="V144" s="98">
        <f t="shared" si="39"/>
        <v>59.658687721611194</v>
      </c>
      <c r="W144" s="93">
        <v>21.42</v>
      </c>
      <c r="X144" s="98">
        <f t="shared" si="39"/>
        <v>59.658687721611194</v>
      </c>
      <c r="Y144" s="93">
        <v>0.11</v>
      </c>
      <c r="Z144" s="98">
        <f t="shared" si="39"/>
        <v>59.658687721611194</v>
      </c>
      <c r="AA144" s="93">
        <v>5.8</v>
      </c>
      <c r="AB144" s="98">
        <f t="shared" si="39"/>
        <v>59.658687721611194</v>
      </c>
      <c r="AC144" s="93">
        <v>1.7</v>
      </c>
      <c r="AD144" s="98">
        <f t="shared" si="39"/>
        <v>59.658687721611194</v>
      </c>
      <c r="AE144" s="93">
        <v>1.84</v>
      </c>
      <c r="AF144" s="98">
        <f>$AI143</f>
        <v>59.658687721611194</v>
      </c>
      <c r="AG144" s="10">
        <f t="shared" si="40"/>
        <v>7.97</v>
      </c>
      <c r="AH144" s="95">
        <f t="shared" si="41"/>
        <v>6.2556685333333348</v>
      </c>
      <c r="AI144" s="96">
        <f t="shared" si="44"/>
        <v>59.373364801851743</v>
      </c>
      <c r="AJ144" s="96">
        <f t="shared" si="42"/>
        <v>83.103512068147083</v>
      </c>
      <c r="AK144" s="96">
        <f t="shared" si="43"/>
        <v>68.174484768535606</v>
      </c>
    </row>
    <row r="145" spans="1:37" x14ac:dyDescent="0.15">
      <c r="A145" s="10">
        <f>A143+1</f>
        <v>2026</v>
      </c>
      <c r="C145" s="10">
        <v>110889</v>
      </c>
      <c r="D145" s="95">
        <f>5*A$80</f>
        <v>2.0833333333333335</v>
      </c>
      <c r="E145" s="122">
        <f t="shared" si="35"/>
        <v>231018.75000000003</v>
      </c>
      <c r="F145" s="96">
        <f t="shared" si="36"/>
        <v>1.666666666666667</v>
      </c>
      <c r="G145" s="122">
        <f t="shared" si="37"/>
        <v>377813.50000000006</v>
      </c>
      <c r="H145" s="122">
        <f t="shared" si="38"/>
        <v>285462.5</v>
      </c>
      <c r="I145" s="94">
        <f>'Modell During mining'!$G141/1000000</f>
        <v>1.3407666666666664</v>
      </c>
      <c r="J145" s="121">
        <f>'Modell During mining'!$D141</f>
        <v>1.88</v>
      </c>
      <c r="K145" s="93">
        <v>0</v>
      </c>
      <c r="L145" s="93">
        <v>0.01</v>
      </c>
      <c r="M145" s="93">
        <v>0.31</v>
      </c>
      <c r="N145" s="93">
        <v>0.01</v>
      </c>
      <c r="O145" s="93">
        <v>1.26</v>
      </c>
      <c r="P145" s="93">
        <v>8.1999999999999993</v>
      </c>
      <c r="Q145" s="93">
        <v>0</v>
      </c>
      <c r="R145" s="93">
        <v>0</v>
      </c>
      <c r="S145" s="93">
        <v>0.36</v>
      </c>
      <c r="T145" s="98">
        <f t="shared" si="39"/>
        <v>58.025109887354567</v>
      </c>
      <c r="U145" s="93">
        <v>25.21</v>
      </c>
      <c r="V145" s="98">
        <f t="shared" si="39"/>
        <v>58.025109887354567</v>
      </c>
      <c r="W145" s="93">
        <v>21.42</v>
      </c>
      <c r="X145" s="98">
        <f t="shared" si="39"/>
        <v>58.025109887354567</v>
      </c>
      <c r="Y145" s="93">
        <v>0.11</v>
      </c>
      <c r="Z145" s="98">
        <f t="shared" si="39"/>
        <v>58.025109887354567</v>
      </c>
      <c r="AA145" s="93">
        <v>5.8</v>
      </c>
      <c r="AB145" s="98">
        <f t="shared" si="39"/>
        <v>58.025109887354567</v>
      </c>
      <c r="AC145" s="93">
        <v>1.7</v>
      </c>
      <c r="AD145" s="98">
        <f t="shared" si="39"/>
        <v>58.025109887354567</v>
      </c>
      <c r="AE145" s="93">
        <v>1.84</v>
      </c>
      <c r="AF145" s="98">
        <f>$AI145</f>
        <v>58.025109887354567</v>
      </c>
      <c r="AG145" s="10">
        <f t="shared" si="40"/>
        <v>7.97</v>
      </c>
      <c r="AH145" s="95">
        <f t="shared" si="41"/>
        <v>2.9107666666666665</v>
      </c>
      <c r="AI145" s="96">
        <f t="shared" si="44"/>
        <v>58.025109887354567</v>
      </c>
      <c r="AJ145" s="96">
        <f t="shared" si="42"/>
        <v>84.916337283149574</v>
      </c>
      <c r="AK145" s="96">
        <f t="shared" si="43"/>
        <v>67.998622302000285</v>
      </c>
    </row>
    <row r="146" spans="1:37" x14ac:dyDescent="0.15">
      <c r="A146" s="10">
        <f>A145+0.5</f>
        <v>2026.5</v>
      </c>
      <c r="B146" s="10">
        <v>0</v>
      </c>
      <c r="C146" s="10">
        <v>110889</v>
      </c>
      <c r="D146" s="95">
        <f>6.8*A$79</f>
        <v>3.9666666666666668</v>
      </c>
      <c r="E146" s="122">
        <f t="shared" si="35"/>
        <v>439859.7</v>
      </c>
      <c r="F146" s="96">
        <f t="shared" si="36"/>
        <v>3.1733333333333338</v>
      </c>
      <c r="G146" s="122">
        <f t="shared" si="37"/>
        <v>719356.9040000001</v>
      </c>
      <c r="H146" s="122">
        <f t="shared" si="38"/>
        <v>543520.6</v>
      </c>
      <c r="I146" s="94">
        <f>'Modell During mining'!$G142/1000000</f>
        <v>2.2373624000000008</v>
      </c>
      <c r="J146" s="121">
        <f>'Modell During mining'!$D142</f>
        <v>15.088043492641143</v>
      </c>
      <c r="K146" s="93">
        <v>0.95</v>
      </c>
      <c r="L146" s="93">
        <v>0.01</v>
      </c>
      <c r="M146" s="93">
        <v>0.31</v>
      </c>
      <c r="N146" s="93">
        <v>0.01</v>
      </c>
      <c r="O146" s="93">
        <v>1.26</v>
      </c>
      <c r="P146" s="93">
        <v>8.1999999999999993</v>
      </c>
      <c r="Q146" s="93">
        <v>1.6</v>
      </c>
      <c r="R146" s="93">
        <v>0</v>
      </c>
      <c r="S146" s="93">
        <v>0.36</v>
      </c>
      <c r="T146" s="98">
        <f t="shared" si="39"/>
        <v>58.025109887354567</v>
      </c>
      <c r="U146" s="93">
        <v>25.21</v>
      </c>
      <c r="V146" s="98">
        <f t="shared" si="39"/>
        <v>58.025109887354567</v>
      </c>
      <c r="W146" s="93">
        <v>21.42</v>
      </c>
      <c r="X146" s="98">
        <f t="shared" si="39"/>
        <v>58.025109887354567</v>
      </c>
      <c r="Y146" s="93">
        <v>0.11</v>
      </c>
      <c r="Z146" s="98">
        <f t="shared" si="39"/>
        <v>58.025109887354567</v>
      </c>
      <c r="AA146" s="93">
        <v>5.8</v>
      </c>
      <c r="AB146" s="98">
        <f t="shared" si="39"/>
        <v>58.025109887354567</v>
      </c>
      <c r="AC146" s="93">
        <v>1.7</v>
      </c>
      <c r="AD146" s="98">
        <f t="shared" si="39"/>
        <v>58.025109887354567</v>
      </c>
      <c r="AE146" s="93">
        <v>1.84</v>
      </c>
      <c r="AF146" s="98">
        <f>$AI145</f>
        <v>58.025109887354567</v>
      </c>
      <c r="AG146" s="10">
        <f t="shared" si="40"/>
        <v>7.97</v>
      </c>
      <c r="AH146" s="95">
        <f t="shared" si="41"/>
        <v>6.3573624000000013</v>
      </c>
      <c r="AI146" s="96">
        <f t="shared" si="44"/>
        <v>57.580932514264724</v>
      </c>
      <c r="AJ146" s="96">
        <f t="shared" si="42"/>
        <v>80.692716040538755</v>
      </c>
      <c r="AK146" s="96">
        <f t="shared" si="43"/>
        <v>66.15271157556343</v>
      </c>
    </row>
    <row r="147" spans="1:37" x14ac:dyDescent="0.15">
      <c r="A147" s="10">
        <f>A145+1</f>
        <v>2027</v>
      </c>
      <c r="C147" s="10">
        <v>110889</v>
      </c>
      <c r="D147" s="95">
        <f>5*A$80</f>
        <v>2.0833333333333335</v>
      </c>
      <c r="E147" s="122">
        <f t="shared" si="35"/>
        <v>231018.75000000003</v>
      </c>
      <c r="F147" s="96">
        <f t="shared" si="36"/>
        <v>1.666666666666667</v>
      </c>
      <c r="G147" s="122">
        <f t="shared" si="37"/>
        <v>377813.50000000006</v>
      </c>
      <c r="H147" s="122">
        <f t="shared" si="38"/>
        <v>285462.5</v>
      </c>
      <c r="I147" s="94">
        <f>'Modell During mining'!$G143/1000000</f>
        <v>1.4088999999999998</v>
      </c>
      <c r="J147" s="121">
        <f>'Modell During mining'!$D143</f>
        <v>1.88</v>
      </c>
      <c r="K147" s="93">
        <v>0</v>
      </c>
      <c r="L147" s="93">
        <v>0.01</v>
      </c>
      <c r="M147" s="93">
        <v>0.31</v>
      </c>
      <c r="N147" s="93">
        <v>0.01</v>
      </c>
      <c r="O147" s="93">
        <v>1.26</v>
      </c>
      <c r="P147" s="93">
        <v>8.1999999999999993</v>
      </c>
      <c r="Q147" s="93">
        <v>0</v>
      </c>
      <c r="R147" s="93">
        <v>0</v>
      </c>
      <c r="S147" s="93">
        <v>0.36</v>
      </c>
      <c r="T147" s="98">
        <f t="shared" si="39"/>
        <v>56.636146832244279</v>
      </c>
      <c r="U147" s="93">
        <v>25.21</v>
      </c>
      <c r="V147" s="98">
        <f t="shared" si="39"/>
        <v>56.636146832244279</v>
      </c>
      <c r="W147" s="93">
        <v>21.42</v>
      </c>
      <c r="X147" s="98">
        <f t="shared" si="39"/>
        <v>56.636146832244279</v>
      </c>
      <c r="Y147" s="93">
        <v>0.11</v>
      </c>
      <c r="Z147" s="98">
        <f t="shared" si="39"/>
        <v>56.636146832244279</v>
      </c>
      <c r="AA147" s="93">
        <v>5.8</v>
      </c>
      <c r="AB147" s="98">
        <f t="shared" si="39"/>
        <v>56.636146832244279</v>
      </c>
      <c r="AC147" s="93">
        <v>1.7</v>
      </c>
      <c r="AD147" s="98">
        <f t="shared" si="39"/>
        <v>56.636146832244279</v>
      </c>
      <c r="AE147" s="93">
        <v>1.84</v>
      </c>
      <c r="AF147" s="98">
        <f>$AI147</f>
        <v>56.636146832244279</v>
      </c>
      <c r="AG147" s="10">
        <f t="shared" si="40"/>
        <v>7.97</v>
      </c>
      <c r="AH147" s="95">
        <f t="shared" si="41"/>
        <v>2.9788999999999999</v>
      </c>
      <c r="AI147" s="96">
        <f t="shared" si="44"/>
        <v>56.636146832244279</v>
      </c>
      <c r="AJ147" s="96">
        <f t="shared" si="42"/>
        <v>82.958893944962185</v>
      </c>
      <c r="AK147" s="96">
        <f t="shared" si="43"/>
        <v>66.398819292383578</v>
      </c>
    </row>
    <row r="148" spans="1:37" x14ac:dyDescent="0.15">
      <c r="A148" s="10">
        <f>A147+0.5</f>
        <v>2027.5</v>
      </c>
      <c r="B148" s="10">
        <v>0</v>
      </c>
      <c r="C148" s="10">
        <v>110889</v>
      </c>
      <c r="D148" s="95">
        <f>6.8*A$79</f>
        <v>3.9666666666666668</v>
      </c>
      <c r="E148" s="122">
        <f t="shared" si="35"/>
        <v>439859.7</v>
      </c>
      <c r="F148" s="96">
        <f t="shared" si="36"/>
        <v>3.1733333333333338</v>
      </c>
      <c r="G148" s="122">
        <f t="shared" si="37"/>
        <v>719356.9040000001</v>
      </c>
      <c r="H148" s="122">
        <f t="shared" si="38"/>
        <v>543520.6</v>
      </c>
      <c r="I148" s="94">
        <f>'Modell During mining'!$G144/1000000</f>
        <v>2.3390562666666677</v>
      </c>
      <c r="J148" s="121">
        <f>'Modell During mining'!$D144</f>
        <v>14.570736420078694</v>
      </c>
      <c r="K148" s="93">
        <v>0.95</v>
      </c>
      <c r="L148" s="93">
        <v>0.01</v>
      </c>
      <c r="M148" s="93">
        <v>0.31</v>
      </c>
      <c r="N148" s="93">
        <v>0.01</v>
      </c>
      <c r="O148" s="93">
        <v>1.26</v>
      </c>
      <c r="P148" s="93">
        <v>8.1999999999999993</v>
      </c>
      <c r="Q148" s="93">
        <v>1.6</v>
      </c>
      <c r="R148" s="93">
        <v>0</v>
      </c>
      <c r="S148" s="93">
        <v>0.36</v>
      </c>
      <c r="T148" s="98">
        <f t="shared" si="39"/>
        <v>56.636146832244279</v>
      </c>
      <c r="U148" s="93">
        <v>25.21</v>
      </c>
      <c r="V148" s="98">
        <f t="shared" si="39"/>
        <v>56.636146832244279</v>
      </c>
      <c r="W148" s="93">
        <v>21.42</v>
      </c>
      <c r="X148" s="98">
        <f t="shared" si="39"/>
        <v>56.636146832244279</v>
      </c>
      <c r="Y148" s="93">
        <v>0.11</v>
      </c>
      <c r="Z148" s="98">
        <f t="shared" si="39"/>
        <v>56.636146832244279</v>
      </c>
      <c r="AA148" s="93">
        <v>5.8</v>
      </c>
      <c r="AB148" s="98">
        <f t="shared" si="39"/>
        <v>56.636146832244279</v>
      </c>
      <c r="AC148" s="93">
        <v>1.7</v>
      </c>
      <c r="AD148" s="98">
        <f t="shared" si="39"/>
        <v>56.636146832244279</v>
      </c>
      <c r="AE148" s="93">
        <v>1.84</v>
      </c>
      <c r="AF148" s="98">
        <f>$AI147</f>
        <v>56.636146832244279</v>
      </c>
      <c r="AG148" s="10">
        <f t="shared" si="40"/>
        <v>7.97</v>
      </c>
      <c r="AH148" s="95">
        <f t="shared" si="41"/>
        <v>6.4590562666666678</v>
      </c>
      <c r="AI148" s="96">
        <f t="shared" si="44"/>
        <v>55.944660814584843</v>
      </c>
      <c r="AJ148" s="96">
        <f t="shared" si="42"/>
        <v>78.474113242428018</v>
      </c>
      <c r="AK148" s="96">
        <f t="shared" si="43"/>
        <v>64.300462882563338</v>
      </c>
    </row>
    <row r="149" spans="1:37" x14ac:dyDescent="0.15">
      <c r="A149" s="10">
        <f>A147+1</f>
        <v>2028</v>
      </c>
      <c r="C149" s="10">
        <v>110889</v>
      </c>
      <c r="D149" s="95">
        <f>5*A$80</f>
        <v>2.0833333333333335</v>
      </c>
      <c r="E149" s="122">
        <f t="shared" si="35"/>
        <v>231018.75000000003</v>
      </c>
      <c r="F149" s="96">
        <f t="shared" si="36"/>
        <v>1.666666666666667</v>
      </c>
      <c r="G149" s="122">
        <f t="shared" si="37"/>
        <v>377813.50000000006</v>
      </c>
      <c r="H149" s="122">
        <f t="shared" si="38"/>
        <v>285462.5</v>
      </c>
      <c r="I149" s="94">
        <f>'Modell During mining'!$G145/1000000</f>
        <v>1.477033333333333</v>
      </c>
      <c r="J149" s="121">
        <f>'Modell During mining'!$D145</f>
        <v>1.88</v>
      </c>
      <c r="K149" s="93">
        <v>0</v>
      </c>
      <c r="L149" s="93">
        <v>0.01</v>
      </c>
      <c r="M149" s="93">
        <v>0.31</v>
      </c>
      <c r="N149" s="93">
        <v>0.01</v>
      </c>
      <c r="O149" s="93">
        <v>1.26</v>
      </c>
      <c r="P149" s="93">
        <v>8.1999999999999993</v>
      </c>
      <c r="Q149" s="93">
        <v>0</v>
      </c>
      <c r="R149" s="93">
        <v>0</v>
      </c>
      <c r="S149" s="93">
        <v>0.36</v>
      </c>
      <c r="T149" s="98">
        <f t="shared" si="39"/>
        <v>55.344386602176421</v>
      </c>
      <c r="U149" s="93">
        <v>25.21</v>
      </c>
      <c r="V149" s="98">
        <f t="shared" si="39"/>
        <v>55.344386602176421</v>
      </c>
      <c r="W149" s="93">
        <v>21.42</v>
      </c>
      <c r="X149" s="98">
        <f t="shared" si="39"/>
        <v>55.344386602176421</v>
      </c>
      <c r="Y149" s="93">
        <v>0.11</v>
      </c>
      <c r="Z149" s="98">
        <f t="shared" si="39"/>
        <v>55.344386602176421</v>
      </c>
      <c r="AA149" s="93">
        <v>5.8</v>
      </c>
      <c r="AB149" s="98">
        <f t="shared" si="39"/>
        <v>55.344386602176421</v>
      </c>
      <c r="AC149" s="93">
        <v>1.7</v>
      </c>
      <c r="AD149" s="98">
        <f t="shared" si="39"/>
        <v>55.344386602176421</v>
      </c>
      <c r="AE149" s="93">
        <v>1.84</v>
      </c>
      <c r="AF149" s="98">
        <f>$AI149</f>
        <v>55.344386602176421</v>
      </c>
      <c r="AG149" s="10">
        <f t="shared" si="40"/>
        <v>7.97</v>
      </c>
      <c r="AH149" s="95">
        <f t="shared" si="41"/>
        <v>3.0470333333333333</v>
      </c>
      <c r="AI149" s="96">
        <f t="shared" si="44"/>
        <v>55.344386602176421</v>
      </c>
      <c r="AJ149" s="96">
        <f t="shared" si="42"/>
        <v>81.123769286688031</v>
      </c>
      <c r="AK149" s="96">
        <f t="shared" si="43"/>
        <v>64.905534163856103</v>
      </c>
    </row>
    <row r="150" spans="1:37" x14ac:dyDescent="0.15">
      <c r="A150" s="10">
        <f>A149+0.5</f>
        <v>2028.5</v>
      </c>
      <c r="B150" s="10">
        <v>0</v>
      </c>
      <c r="C150" s="10">
        <v>110889</v>
      </c>
      <c r="D150" s="95">
        <f>6.8*A$79</f>
        <v>3.9666666666666668</v>
      </c>
      <c r="E150" s="122">
        <f t="shared" si="35"/>
        <v>439859.7</v>
      </c>
      <c r="F150" s="96">
        <f t="shared" si="36"/>
        <v>3.1733333333333338</v>
      </c>
      <c r="G150" s="122">
        <f t="shared" si="37"/>
        <v>719356.9040000001</v>
      </c>
      <c r="H150" s="122">
        <f t="shared" si="38"/>
        <v>543520.6</v>
      </c>
      <c r="I150" s="94">
        <f>'Modell During mining'!$G146/1000000</f>
        <v>2.4407501333333341</v>
      </c>
      <c r="J150" s="121">
        <f>'Modell During mining'!$D146</f>
        <v>14.09653655111274</v>
      </c>
      <c r="K150" s="93">
        <v>0.95</v>
      </c>
      <c r="L150" s="93">
        <v>0.01</v>
      </c>
      <c r="M150" s="93">
        <v>0.31</v>
      </c>
      <c r="N150" s="93">
        <v>0.01</v>
      </c>
      <c r="O150" s="93">
        <v>1.26</v>
      </c>
      <c r="P150" s="93">
        <v>8.1999999999999993</v>
      </c>
      <c r="Q150" s="93">
        <v>1.6</v>
      </c>
      <c r="R150" s="93">
        <v>0</v>
      </c>
      <c r="S150" s="93">
        <v>0.36</v>
      </c>
      <c r="T150" s="98">
        <f t="shared" si="39"/>
        <v>55.344386602176421</v>
      </c>
      <c r="U150" s="93">
        <v>25.21</v>
      </c>
      <c r="V150" s="98">
        <f t="shared" si="39"/>
        <v>55.344386602176421</v>
      </c>
      <c r="W150" s="93">
        <v>21.42</v>
      </c>
      <c r="X150" s="98">
        <f t="shared" si="39"/>
        <v>55.344386602176421</v>
      </c>
      <c r="Y150" s="93">
        <v>0.11</v>
      </c>
      <c r="Z150" s="98">
        <f t="shared" si="39"/>
        <v>55.344386602176421</v>
      </c>
      <c r="AA150" s="93">
        <v>5.8</v>
      </c>
      <c r="AB150" s="98">
        <f t="shared" si="39"/>
        <v>55.344386602176421</v>
      </c>
      <c r="AC150" s="93">
        <v>1.7</v>
      </c>
      <c r="AD150" s="98">
        <f t="shared" si="39"/>
        <v>55.344386602176421</v>
      </c>
      <c r="AE150" s="93">
        <v>1.84</v>
      </c>
      <c r="AF150" s="98">
        <f>$AI149</f>
        <v>55.344386602176421</v>
      </c>
      <c r="AG150" s="10">
        <f t="shared" si="40"/>
        <v>7.97</v>
      </c>
      <c r="AH150" s="95">
        <f t="shared" si="41"/>
        <v>6.5607501333333342</v>
      </c>
      <c r="AI150" s="96">
        <f t="shared" si="44"/>
        <v>54.408409436389519</v>
      </c>
      <c r="AJ150" s="96">
        <f t="shared" si="42"/>
        <v>76.388260925405717</v>
      </c>
      <c r="AK150" s="96">
        <f t="shared" si="43"/>
        <v>62.560373587049703</v>
      </c>
    </row>
    <row r="151" spans="1:37" x14ac:dyDescent="0.15">
      <c r="A151" s="10">
        <f>A149+1</f>
        <v>2029</v>
      </c>
      <c r="C151" s="10">
        <v>110889</v>
      </c>
      <c r="D151" s="95">
        <f>5*A$80</f>
        <v>2.0833333333333335</v>
      </c>
      <c r="E151" s="122">
        <f t="shared" si="35"/>
        <v>231018.75000000003</v>
      </c>
      <c r="F151" s="96">
        <f t="shared" si="36"/>
        <v>1.666666666666667</v>
      </c>
      <c r="G151" s="122">
        <f t="shared" si="37"/>
        <v>377813.50000000006</v>
      </c>
      <c r="H151" s="122">
        <f t="shared" si="38"/>
        <v>285462.5</v>
      </c>
      <c r="I151" s="94">
        <f>'Modell During mining'!$G147/1000000</f>
        <v>1.5451666666666664</v>
      </c>
      <c r="J151" s="121">
        <f>'Modell During mining'!$D147</f>
        <v>1.88</v>
      </c>
      <c r="K151" s="93">
        <v>0</v>
      </c>
      <c r="L151" s="93">
        <v>0.01</v>
      </c>
      <c r="M151" s="93">
        <v>0.31</v>
      </c>
      <c r="N151" s="93">
        <v>0.01</v>
      </c>
      <c r="O151" s="93">
        <v>1.26</v>
      </c>
      <c r="P151" s="93">
        <v>8.1999999999999993</v>
      </c>
      <c r="Q151" s="93">
        <v>0</v>
      </c>
      <c r="R151" s="93">
        <v>0</v>
      </c>
      <c r="S151" s="93">
        <v>0.36</v>
      </c>
      <c r="T151" s="98">
        <f t="shared" si="39"/>
        <v>54.117814939671547</v>
      </c>
      <c r="U151" s="93">
        <v>25.21</v>
      </c>
      <c r="V151" s="98">
        <f t="shared" si="39"/>
        <v>54.117814939671547</v>
      </c>
      <c r="W151" s="93">
        <v>21.42</v>
      </c>
      <c r="X151" s="98">
        <f t="shared" si="39"/>
        <v>54.117814939671547</v>
      </c>
      <c r="Y151" s="93">
        <v>0.11</v>
      </c>
      <c r="Z151" s="98">
        <f t="shared" si="39"/>
        <v>54.117814939671547</v>
      </c>
      <c r="AA151" s="93">
        <v>5.8</v>
      </c>
      <c r="AB151" s="98">
        <f t="shared" si="39"/>
        <v>54.117814939671547</v>
      </c>
      <c r="AC151" s="93">
        <v>1.7</v>
      </c>
      <c r="AD151" s="98">
        <f t="shared" si="39"/>
        <v>54.117814939671547</v>
      </c>
      <c r="AE151" s="93">
        <v>1.84</v>
      </c>
      <c r="AF151" s="98">
        <f>$AI151</f>
        <v>54.117814939671547</v>
      </c>
      <c r="AG151" s="10">
        <f t="shared" si="40"/>
        <v>7.97</v>
      </c>
      <c r="AH151" s="95">
        <f t="shared" si="41"/>
        <v>3.1151666666666662</v>
      </c>
      <c r="AI151" s="96">
        <f t="shared" si="44"/>
        <v>54.117814939671547</v>
      </c>
      <c r="AJ151" s="96">
        <f t="shared" si="42"/>
        <v>79.377256823367944</v>
      </c>
      <c r="AK151" s="96">
        <f t="shared" si="43"/>
        <v>63.486125039695523</v>
      </c>
    </row>
    <row r="152" spans="1:37" x14ac:dyDescent="0.15">
      <c r="A152" s="10">
        <f>A151+0.5</f>
        <v>2029.5</v>
      </c>
      <c r="B152" s="10">
        <v>0</v>
      </c>
      <c r="C152" s="10">
        <v>110889</v>
      </c>
      <c r="D152" s="95">
        <f>6.8*A$79</f>
        <v>3.9666666666666668</v>
      </c>
      <c r="E152" s="122">
        <f t="shared" si="35"/>
        <v>439859.7</v>
      </c>
      <c r="F152" s="96">
        <f t="shared" si="36"/>
        <v>3.1733333333333338</v>
      </c>
      <c r="G152" s="122">
        <f t="shared" si="37"/>
        <v>719356.9040000001</v>
      </c>
      <c r="H152" s="122">
        <f t="shared" si="38"/>
        <v>543520.6</v>
      </c>
      <c r="I152" s="94">
        <f>'Modell During mining'!$G148/1000000</f>
        <v>2.5424440000000001</v>
      </c>
      <c r="J152" s="121">
        <f>'Modell During mining'!$D148</f>
        <v>13.660271219346413</v>
      </c>
      <c r="K152" s="93">
        <v>0.95</v>
      </c>
      <c r="L152" s="93">
        <v>0.01</v>
      </c>
      <c r="M152" s="93">
        <v>0.31</v>
      </c>
      <c r="N152" s="93">
        <v>0.01</v>
      </c>
      <c r="O152" s="93">
        <v>1.26</v>
      </c>
      <c r="P152" s="93">
        <v>8.1999999999999993</v>
      </c>
      <c r="Q152" s="93">
        <v>1.6</v>
      </c>
      <c r="R152" s="93">
        <v>0</v>
      </c>
      <c r="S152" s="93">
        <v>0.36</v>
      </c>
      <c r="T152" s="98">
        <f t="shared" si="39"/>
        <v>54.117814939671547</v>
      </c>
      <c r="U152" s="93">
        <v>25.21</v>
      </c>
      <c r="V152" s="98">
        <f t="shared" si="39"/>
        <v>54.117814939671547</v>
      </c>
      <c r="W152" s="93">
        <v>21.42</v>
      </c>
      <c r="X152" s="98">
        <f t="shared" si="39"/>
        <v>54.117814939671547</v>
      </c>
      <c r="Y152" s="93">
        <v>0.11</v>
      </c>
      <c r="Z152" s="98">
        <f t="shared" si="39"/>
        <v>54.117814939671547</v>
      </c>
      <c r="AA152" s="93">
        <v>5.8</v>
      </c>
      <c r="AB152" s="98">
        <f t="shared" si="39"/>
        <v>54.117814939671547</v>
      </c>
      <c r="AC152" s="93">
        <v>1.7</v>
      </c>
      <c r="AD152" s="98">
        <f t="shared" si="39"/>
        <v>54.117814939671547</v>
      </c>
      <c r="AE152" s="93">
        <v>1.84</v>
      </c>
      <c r="AF152" s="98">
        <f>$AI151</f>
        <v>54.117814939671547</v>
      </c>
      <c r="AG152" s="10">
        <f t="shared" si="40"/>
        <v>7.97</v>
      </c>
      <c r="AH152" s="95">
        <f t="shared" si="41"/>
        <v>6.6624440000000007</v>
      </c>
      <c r="AI152" s="96">
        <f t="shared" si="44"/>
        <v>52.955845252011962</v>
      </c>
      <c r="AJ152" s="96">
        <f t="shared" si="42"/>
        <v>74.415929555696181</v>
      </c>
      <c r="AK152" s="96">
        <f t="shared" si="43"/>
        <v>60.915036332133745</v>
      </c>
    </row>
    <row r="153" spans="1:37" x14ac:dyDescent="0.15">
      <c r="A153" s="10">
        <f>A151+1</f>
        <v>2030</v>
      </c>
      <c r="C153" s="10">
        <v>110889</v>
      </c>
      <c r="D153" s="95">
        <f>5*A$80</f>
        <v>2.0833333333333335</v>
      </c>
      <c r="E153" s="122">
        <f t="shared" si="35"/>
        <v>231018.75000000003</v>
      </c>
      <c r="F153" s="96">
        <f t="shared" si="36"/>
        <v>1.666666666666667</v>
      </c>
      <c r="G153" s="122">
        <f t="shared" si="37"/>
        <v>377813.50000000006</v>
      </c>
      <c r="H153" s="122">
        <f t="shared" si="38"/>
        <v>285462.5</v>
      </c>
      <c r="I153" s="94">
        <f>'Modell During mining'!$G149/1000000</f>
        <v>1.6133</v>
      </c>
      <c r="J153" s="121">
        <f>'Modell During mining'!$D149</f>
        <v>1.88</v>
      </c>
      <c r="K153" s="93">
        <v>0</v>
      </c>
      <c r="L153" s="93">
        <v>0.01</v>
      </c>
      <c r="M153" s="93">
        <v>0.31</v>
      </c>
      <c r="N153" s="93">
        <v>0.01</v>
      </c>
      <c r="O153" s="93">
        <v>1.26</v>
      </c>
      <c r="P153" s="93">
        <v>8.1999999999999993</v>
      </c>
      <c r="Q153" s="93">
        <v>0</v>
      </c>
      <c r="R153" s="93">
        <v>0</v>
      </c>
      <c r="S153" s="93">
        <v>0.36</v>
      </c>
      <c r="T153" s="98">
        <f t="shared" si="39"/>
        <v>52.947183250212497</v>
      </c>
      <c r="U153" s="93">
        <v>25.21</v>
      </c>
      <c r="V153" s="98">
        <f t="shared" si="39"/>
        <v>52.947183250212497</v>
      </c>
      <c r="W153" s="93">
        <v>21.42</v>
      </c>
      <c r="X153" s="98">
        <f t="shared" si="39"/>
        <v>52.947183250212497</v>
      </c>
      <c r="Y153" s="93">
        <v>0.11</v>
      </c>
      <c r="Z153" s="98">
        <f t="shared" si="39"/>
        <v>52.947183250212497</v>
      </c>
      <c r="AA153" s="93">
        <v>5.8</v>
      </c>
      <c r="AB153" s="98">
        <f t="shared" si="39"/>
        <v>52.947183250212497</v>
      </c>
      <c r="AC153" s="93">
        <v>1.7</v>
      </c>
      <c r="AD153" s="98">
        <f t="shared" si="39"/>
        <v>52.947183250212497</v>
      </c>
      <c r="AE153" s="93">
        <v>1.84</v>
      </c>
      <c r="AF153" s="98">
        <f>$AI153</f>
        <v>52.947183250212497</v>
      </c>
      <c r="AG153" s="10">
        <f t="shared" si="40"/>
        <v>7.97</v>
      </c>
      <c r="AH153" s="95">
        <f t="shared" si="41"/>
        <v>3.1833</v>
      </c>
      <c r="AI153" s="96">
        <f t="shared" si="44"/>
        <v>52.947183250212497</v>
      </c>
      <c r="AJ153" s="96">
        <f t="shared" si="42"/>
        <v>77.708567589919625</v>
      </c>
      <c r="AK153" s="96">
        <f t="shared" si="43"/>
        <v>62.13077202736514</v>
      </c>
    </row>
    <row r="154" spans="1:37" x14ac:dyDescent="0.15">
      <c r="A154" s="10">
        <f>A153+0.5</f>
        <v>2030.5</v>
      </c>
      <c r="AI154" s="96">
        <f t="shared" si="44"/>
        <v>51.578869192826026</v>
      </c>
      <c r="AJ154" s="96">
        <f t="shared" si="42"/>
        <v>72.546468195493347</v>
      </c>
      <c r="AK154" s="96">
        <f t="shared" si="43"/>
        <v>59.355405603027798</v>
      </c>
    </row>
    <row r="158" spans="1:37" x14ac:dyDescent="0.15">
      <c r="A158" s="10">
        <f>7/12</f>
        <v>0.58333333333333337</v>
      </c>
      <c r="B158" s="10" t="s">
        <v>1086</v>
      </c>
      <c r="C158" s="11" t="s">
        <v>1173</v>
      </c>
      <c r="D158" s="11" t="s">
        <v>1173</v>
      </c>
      <c r="E158" s="11" t="s">
        <v>1173</v>
      </c>
      <c r="F158" s="11"/>
      <c r="G158" s="11" t="s">
        <v>1173</v>
      </c>
      <c r="H158" s="11" t="s">
        <v>1173</v>
      </c>
      <c r="I158" s="11" t="s">
        <v>1173</v>
      </c>
      <c r="J158" s="11" t="s">
        <v>1173</v>
      </c>
      <c r="K158" s="11" t="s">
        <v>1173</v>
      </c>
      <c r="L158" s="11" t="s">
        <v>1173</v>
      </c>
      <c r="M158" s="11" t="s">
        <v>1173</v>
      </c>
      <c r="N158" s="11" t="s">
        <v>1173</v>
      </c>
      <c r="O158" s="11" t="s">
        <v>1173</v>
      </c>
      <c r="P158" s="11" t="s">
        <v>1173</v>
      </c>
      <c r="Q158" s="11" t="s">
        <v>1173</v>
      </c>
      <c r="R158" s="11" t="s">
        <v>1173</v>
      </c>
      <c r="S158" s="11" t="s">
        <v>1173</v>
      </c>
      <c r="T158" s="11" t="s">
        <v>1173</v>
      </c>
      <c r="U158" s="11" t="s">
        <v>1173</v>
      </c>
      <c r="V158" s="11" t="s">
        <v>1173</v>
      </c>
      <c r="W158" s="11" t="s">
        <v>1173</v>
      </c>
      <c r="X158" s="11" t="s">
        <v>1173</v>
      </c>
      <c r="Y158" s="11" t="s">
        <v>1173</v>
      </c>
      <c r="Z158" s="11" t="s">
        <v>1173</v>
      </c>
      <c r="AA158" s="11" t="s">
        <v>1173</v>
      </c>
      <c r="AB158" s="11" t="s">
        <v>1173</v>
      </c>
      <c r="AC158" s="11" t="s">
        <v>1173</v>
      </c>
      <c r="AD158" s="11" t="s">
        <v>1173</v>
      </c>
      <c r="AE158" s="11" t="s">
        <v>1173</v>
      </c>
      <c r="AF158" s="11" t="s">
        <v>1173</v>
      </c>
      <c r="AG158" s="11" t="s">
        <v>1173</v>
      </c>
      <c r="AH158" s="11" t="s">
        <v>1173</v>
      </c>
      <c r="AI158" s="11" t="s">
        <v>1173</v>
      </c>
    </row>
    <row r="159" spans="1:37" x14ac:dyDescent="0.15">
      <c r="A159">
        <f>5/12</f>
        <v>0.41666666666666669</v>
      </c>
      <c r="B159" s="10" t="s">
        <v>1087</v>
      </c>
      <c r="C159" s="118" t="s">
        <v>1174</v>
      </c>
      <c r="E159" s="10">
        <v>0.44</v>
      </c>
      <c r="F159" s="10" t="s">
        <v>1456</v>
      </c>
      <c r="G159" s="10">
        <v>1.17</v>
      </c>
      <c r="H159" s="10">
        <v>0.63</v>
      </c>
      <c r="S159" s="10"/>
      <c r="T159" s="10"/>
      <c r="AI159" t="s">
        <v>1443</v>
      </c>
      <c r="AJ159" t="s">
        <v>1444</v>
      </c>
      <c r="AK159" t="s">
        <v>1445</v>
      </c>
    </row>
    <row r="160" spans="1:37" ht="27" customHeight="1" x14ac:dyDescent="0.15">
      <c r="A160" s="85" t="s">
        <v>946</v>
      </c>
      <c r="B160" s="10" t="s">
        <v>1058</v>
      </c>
      <c r="D160" s="97" t="s">
        <v>1056</v>
      </c>
      <c r="E160" s="97" t="s">
        <v>1439</v>
      </c>
      <c r="F160" s="97" t="s">
        <v>1056</v>
      </c>
      <c r="G160" s="97" t="s">
        <v>1427</v>
      </c>
      <c r="H160" s="97" t="s">
        <v>1428</v>
      </c>
      <c r="I160" s="85" t="s">
        <v>1208</v>
      </c>
      <c r="J160" s="85" t="s">
        <v>1201</v>
      </c>
      <c r="K160" s="85" t="s">
        <v>919</v>
      </c>
      <c r="L160" s="85" t="s">
        <v>1201</v>
      </c>
      <c r="M160" s="85" t="s">
        <v>947</v>
      </c>
      <c r="N160" s="85" t="s">
        <v>1202</v>
      </c>
      <c r="O160" s="85" t="s">
        <v>779</v>
      </c>
      <c r="P160" s="85" t="s">
        <v>1203</v>
      </c>
      <c r="Q160" s="85" t="s">
        <v>780</v>
      </c>
      <c r="R160" s="85" t="s">
        <v>1201</v>
      </c>
      <c r="S160" s="85" t="s">
        <v>948</v>
      </c>
      <c r="T160" s="85" t="s">
        <v>1201</v>
      </c>
      <c r="U160" s="85" t="s">
        <v>949</v>
      </c>
      <c r="V160" s="85" t="s">
        <v>1204</v>
      </c>
      <c r="W160" s="85" t="s">
        <v>950</v>
      </c>
      <c r="X160" s="85" t="s">
        <v>1163</v>
      </c>
      <c r="Y160" s="85" t="s">
        <v>783</v>
      </c>
      <c r="Z160" s="85" t="s">
        <v>1164</v>
      </c>
      <c r="AA160" s="85" t="s">
        <v>784</v>
      </c>
      <c r="AB160" s="85" t="s">
        <v>1202</v>
      </c>
      <c r="AC160" s="85" t="s">
        <v>785</v>
      </c>
      <c r="AD160" s="85" t="s">
        <v>1202</v>
      </c>
      <c r="AE160" s="85" t="s">
        <v>1205</v>
      </c>
      <c r="AF160" s="85" t="s">
        <v>1165</v>
      </c>
      <c r="AG160" s="85" t="s">
        <v>1060</v>
      </c>
      <c r="AH160" s="85" t="s">
        <v>1061</v>
      </c>
      <c r="AI160" s="10" t="s">
        <v>748</v>
      </c>
      <c r="AJ160" s="10" t="s">
        <v>748</v>
      </c>
      <c r="AK160" s="10" t="s">
        <v>748</v>
      </c>
    </row>
    <row r="161" spans="1:37" x14ac:dyDescent="0.15">
      <c r="A161" s="10">
        <v>2014.5</v>
      </c>
      <c r="B161" s="10">
        <v>1</v>
      </c>
      <c r="C161" s="10">
        <v>0.44</v>
      </c>
      <c r="D161" s="96">
        <f>5/12*7</f>
        <v>2.916666666666667</v>
      </c>
      <c r="E161" s="96">
        <f t="shared" ref="E161:E192" si="45">E$159*D161</f>
        <v>1.2833333333333334</v>
      </c>
      <c r="F161" s="96">
        <f>D161*0.8</f>
        <v>2.3333333333333335</v>
      </c>
      <c r="G161" s="96">
        <f>(C161*0.4*D161+G$159*0.6*F161)</f>
        <v>2.1513333333333335</v>
      </c>
      <c r="H161" s="96">
        <f>(C161*0.4+H$159*0.6)*D161</f>
        <v>1.6158333333333337</v>
      </c>
      <c r="I161" s="94">
        <f>'Modell During mining'!$G155/1000000</f>
        <v>1.0170360000000001</v>
      </c>
      <c r="J161" s="94">
        <f>'Modell During mining'!$D155</f>
        <v>1.4435907594224786</v>
      </c>
      <c r="K161" s="93">
        <v>0.95</v>
      </c>
      <c r="L161" s="93">
        <v>0.41</v>
      </c>
      <c r="M161" s="93">
        <v>0.31</v>
      </c>
      <c r="N161" s="93">
        <v>0.41</v>
      </c>
      <c r="O161" s="93">
        <v>1.26</v>
      </c>
      <c r="P161" s="93">
        <v>0.19</v>
      </c>
      <c r="Q161" s="93">
        <v>1.6</v>
      </c>
      <c r="R161" s="93">
        <v>0</v>
      </c>
      <c r="S161" s="93">
        <v>0.36</v>
      </c>
      <c r="T161" s="93">
        <f>AF161</f>
        <v>1.07</v>
      </c>
      <c r="U161" s="93">
        <v>25.21</v>
      </c>
      <c r="V161" s="10">
        <f>AF161</f>
        <v>1.07</v>
      </c>
      <c r="W161" s="93">
        <v>21.42</v>
      </c>
      <c r="X161" s="10">
        <f>AF161</f>
        <v>1.07</v>
      </c>
      <c r="Y161" s="93">
        <v>0.11</v>
      </c>
      <c r="Z161" s="10">
        <f>AF161</f>
        <v>1.07</v>
      </c>
      <c r="AA161" s="93">
        <v>5.8</v>
      </c>
      <c r="AB161" s="10">
        <f>AF161</f>
        <v>1.07</v>
      </c>
      <c r="AC161" s="93">
        <v>1.7</v>
      </c>
      <c r="AD161" s="96">
        <f>AF161</f>
        <v>1.07</v>
      </c>
      <c r="AE161" s="93">
        <v>1.84</v>
      </c>
      <c r="AF161" s="10">
        <v>1.07</v>
      </c>
      <c r="AG161" s="10">
        <f t="shared" ref="AG161:AG192" si="46">S161+Y161+AA161+AC161</f>
        <v>7.97</v>
      </c>
      <c r="AH161" s="95">
        <f t="shared" ref="AH161:AH192" si="47">I161+K161+M161+O161+Q161</f>
        <v>5.1370360000000002</v>
      </c>
      <c r="AI161" s="10">
        <v>1.07</v>
      </c>
      <c r="AJ161" s="10">
        <v>1.07</v>
      </c>
      <c r="AK161" s="10">
        <v>1.07</v>
      </c>
    </row>
    <row r="162" spans="1:37" x14ac:dyDescent="0.15">
      <c r="A162" s="10">
        <v>2015</v>
      </c>
      <c r="B162" s="10">
        <v>0</v>
      </c>
      <c r="C162" s="10">
        <v>0.44</v>
      </c>
      <c r="D162" s="96">
        <f>5/12*5</f>
        <v>2.0833333333333335</v>
      </c>
      <c r="E162" s="96">
        <f t="shared" si="45"/>
        <v>0.91666666666666674</v>
      </c>
      <c r="F162" s="96">
        <f t="shared" ref="F162:F192" si="48">D162*0.8</f>
        <v>1.666666666666667</v>
      </c>
      <c r="G162" s="96">
        <f t="shared" ref="G162:G192" si="49">(C162*0.4*D162+G$159*0.6*F162)</f>
        <v>1.5366666666666668</v>
      </c>
      <c r="H162" s="96">
        <f t="shared" ref="H162:H192" si="50">(C162*0.4+H$159*0.6)*D162</f>
        <v>1.1541666666666668</v>
      </c>
      <c r="I162" s="94">
        <f>'Modell During mining'!$G156/1000000</f>
        <v>0.78051599999999999</v>
      </c>
      <c r="J162" s="94">
        <f>'Modell During mining'!$D156</f>
        <v>2.8787878787878791E-4</v>
      </c>
      <c r="K162" s="93">
        <v>0</v>
      </c>
      <c r="L162" s="93">
        <v>0</v>
      </c>
      <c r="M162" s="93">
        <v>0</v>
      </c>
      <c r="N162" s="93">
        <v>0</v>
      </c>
      <c r="O162" s="93">
        <v>1.26</v>
      </c>
      <c r="P162" s="93">
        <v>0.19</v>
      </c>
      <c r="Q162" s="93">
        <v>0</v>
      </c>
      <c r="R162" s="93">
        <v>0</v>
      </c>
      <c r="S162" s="93">
        <v>0.36</v>
      </c>
      <c r="T162" s="98">
        <f>AF162</f>
        <v>0.80602346262134994</v>
      </c>
      <c r="U162" s="93">
        <v>25.21</v>
      </c>
      <c r="V162" s="98">
        <f t="shared" ref="V162:V192" si="51">AI163</f>
        <v>0.56724720431373232</v>
      </c>
      <c r="W162" s="93">
        <v>21.42</v>
      </c>
      <c r="X162" s="98">
        <f t="shared" ref="X162:X192" si="52">AI163</f>
        <v>0.56724720431373232</v>
      </c>
      <c r="Y162" s="93">
        <v>0.11</v>
      </c>
      <c r="Z162" s="98">
        <f t="shared" ref="Z162:Z192" si="53">AI163</f>
        <v>0.56724720431373232</v>
      </c>
      <c r="AA162" s="93">
        <v>5.8</v>
      </c>
      <c r="AB162" s="98">
        <f t="shared" ref="AB162:AB192" si="54">AI163</f>
        <v>0.56724720431373232</v>
      </c>
      <c r="AC162" s="93">
        <v>1.7</v>
      </c>
      <c r="AD162" s="98">
        <f t="shared" ref="AD162:AD192" si="55">AI163</f>
        <v>0.56724720431373232</v>
      </c>
      <c r="AE162" s="93">
        <v>1.84</v>
      </c>
      <c r="AF162" s="96">
        <f t="shared" ref="AF162:AF192" si="56">AI162</f>
        <v>0.80602346262134994</v>
      </c>
      <c r="AG162" s="10">
        <f t="shared" si="46"/>
        <v>7.97</v>
      </c>
      <c r="AH162" s="95">
        <f t="shared" si="47"/>
        <v>2.0405160000000002</v>
      </c>
      <c r="AI162" s="96">
        <f>(($B161+E161+$I161*J$161+$K161*$L161+$M161*$N161+$O161*$P161-$S161*$T161)/($I161+$K161+$M161+$O161+$Q161+$I161-$S161)*$AH161+$AE161*$AF161)/($AH161+$AE161)</f>
        <v>0.80602346262134994</v>
      </c>
      <c r="AJ162" s="96">
        <f t="shared" ref="AJ162:AJ193" si="57">(($B161+G161+$I161*$J161+$K161*$L161+$M161*$N161+$O161*$P161-$S161*$T161)/($I161+$K161+$M161+$O161+$Q161+$I161-$S161)*$AH161+$AE161*$AF161)/($AH161+$AE161)</f>
        <v>0.9163239630723341</v>
      </c>
      <c r="AK162" s="96">
        <f t="shared" ref="AK162:AK193" si="58">(($B161+H161+$I161*$J161+$K161*$L161+$M161*$N161+$O161*$P161-$S161*$T161)/($I161+$K161+$M161+$O161+$Q161+$I161-$S161)*$AH161+$AE161*$AF161)/($AH161+$AE161)</f>
        <v>0.84827567045539654</v>
      </c>
    </row>
    <row r="163" spans="1:37" x14ac:dyDescent="0.15">
      <c r="A163" s="10">
        <v>2015.5</v>
      </c>
      <c r="B163" s="10">
        <v>1</v>
      </c>
      <c r="C163" s="10">
        <v>0.44</v>
      </c>
      <c r="D163" s="96">
        <f>5.5/12*7</f>
        <v>3.208333333333333</v>
      </c>
      <c r="E163" s="96">
        <f t="shared" si="45"/>
        <v>1.4116666666666666</v>
      </c>
      <c r="F163" s="96">
        <f t="shared" si="48"/>
        <v>2.5666666666666664</v>
      </c>
      <c r="G163" s="96">
        <f t="shared" si="49"/>
        <v>2.3664666666666663</v>
      </c>
      <c r="H163" s="96">
        <f t="shared" si="50"/>
        <v>1.7774166666666666</v>
      </c>
      <c r="I163" s="94">
        <f>'Modell During mining'!$G157/1000000</f>
        <v>1.1187298666666667</v>
      </c>
      <c r="J163" s="94">
        <f>'Modell During mining'!$D157</f>
        <v>1.3196324009823521</v>
      </c>
      <c r="K163" s="93">
        <v>0.95</v>
      </c>
      <c r="L163" s="93">
        <v>0.41</v>
      </c>
      <c r="M163" s="93">
        <v>0.31</v>
      </c>
      <c r="N163" s="93">
        <v>0.41</v>
      </c>
      <c r="O163" s="93">
        <v>1.26</v>
      </c>
      <c r="P163" s="93">
        <v>0.19</v>
      </c>
      <c r="Q163" s="93">
        <v>1.6</v>
      </c>
      <c r="R163" s="93">
        <v>0</v>
      </c>
      <c r="S163" s="93">
        <v>0.36</v>
      </c>
      <c r="T163" s="98">
        <f>AI162</f>
        <v>0.80602346262134994</v>
      </c>
      <c r="U163" s="93">
        <v>25.21</v>
      </c>
      <c r="V163" s="98">
        <f t="shared" si="51"/>
        <v>0.68469219138681048</v>
      </c>
      <c r="W163" s="93">
        <v>21.42</v>
      </c>
      <c r="X163" s="98">
        <f t="shared" si="52"/>
        <v>0.68469219138681048</v>
      </c>
      <c r="Y163" s="93">
        <v>0.11</v>
      </c>
      <c r="Z163" s="98">
        <f t="shared" si="53"/>
        <v>0.68469219138681048</v>
      </c>
      <c r="AA163" s="93">
        <v>5.8</v>
      </c>
      <c r="AB163" s="98">
        <f t="shared" si="54"/>
        <v>0.68469219138681048</v>
      </c>
      <c r="AC163" s="93">
        <v>1.7</v>
      </c>
      <c r="AD163" s="98">
        <f t="shared" si="55"/>
        <v>0.68469219138681048</v>
      </c>
      <c r="AE163" s="93">
        <v>1.84</v>
      </c>
      <c r="AF163" s="96">
        <f t="shared" si="56"/>
        <v>0.56724720431373232</v>
      </c>
      <c r="AG163" s="10">
        <f t="shared" si="46"/>
        <v>7.97</v>
      </c>
      <c r="AH163" s="95">
        <f t="shared" si="47"/>
        <v>5.2387298666666666</v>
      </c>
      <c r="AI163" s="96">
        <f t="shared" ref="AI163:AI193" si="59">((B162+E162+I162*J162+K162*L162+M162*N162+O162*P162-S162*T162)/(I162+K162+M162+O162+Q162+I162-S162)*AH162+AE162*AF162)/(AH162+AE162)</f>
        <v>0.56724720431373232</v>
      </c>
      <c r="AJ163" s="96">
        <f t="shared" si="57"/>
        <v>0.69971946715102729</v>
      </c>
      <c r="AK163" s="96">
        <f t="shared" si="58"/>
        <v>0.61799262757801876</v>
      </c>
    </row>
    <row r="164" spans="1:37" x14ac:dyDescent="0.15">
      <c r="A164" s="10">
        <f>A162+1</f>
        <v>2016</v>
      </c>
      <c r="B164" s="10">
        <v>0</v>
      </c>
      <c r="C164" s="10">
        <v>0.44</v>
      </c>
      <c r="D164" s="96">
        <f>5/12*5</f>
        <v>2.0833333333333335</v>
      </c>
      <c r="E164" s="96">
        <f t="shared" si="45"/>
        <v>0.91666666666666674</v>
      </c>
      <c r="F164" s="96">
        <f t="shared" si="48"/>
        <v>1.666666666666667</v>
      </c>
      <c r="G164" s="96">
        <f t="shared" si="49"/>
        <v>1.5366666666666668</v>
      </c>
      <c r="H164" s="96">
        <f t="shared" si="50"/>
        <v>1.1541666666666668</v>
      </c>
      <c r="I164" s="94">
        <f>'Modell During mining'!$G158/1000000</f>
        <v>0.84864933333333337</v>
      </c>
      <c r="J164" s="94">
        <f>'Modell During mining'!$D158</f>
        <v>2.9527468746415873E-4</v>
      </c>
      <c r="K164" s="93">
        <v>0</v>
      </c>
      <c r="L164" s="93">
        <v>0</v>
      </c>
      <c r="M164" s="93">
        <v>0</v>
      </c>
      <c r="N164" s="93">
        <v>0</v>
      </c>
      <c r="O164" s="93">
        <v>1.26</v>
      </c>
      <c r="P164" s="93">
        <v>0.19</v>
      </c>
      <c r="Q164" s="93">
        <v>0</v>
      </c>
      <c r="R164" s="93">
        <v>0</v>
      </c>
      <c r="S164" s="93">
        <v>0.36</v>
      </c>
      <c r="T164" s="98">
        <f>AF164</f>
        <v>0.68469219138681048</v>
      </c>
      <c r="U164" s="93">
        <v>25.21</v>
      </c>
      <c r="V164" s="98">
        <f t="shared" si="51"/>
        <v>0.50611961948628648</v>
      </c>
      <c r="W164" s="93">
        <v>21.42</v>
      </c>
      <c r="X164" s="98">
        <f t="shared" si="52"/>
        <v>0.50611961948628648</v>
      </c>
      <c r="Y164" s="93">
        <v>0.11</v>
      </c>
      <c r="Z164" s="98">
        <f t="shared" si="53"/>
        <v>0.50611961948628648</v>
      </c>
      <c r="AA164" s="93">
        <v>5.8</v>
      </c>
      <c r="AB164" s="98">
        <f t="shared" si="54"/>
        <v>0.50611961948628648</v>
      </c>
      <c r="AC164" s="93">
        <v>1.7</v>
      </c>
      <c r="AD164" s="98">
        <f t="shared" si="55"/>
        <v>0.50611961948628648</v>
      </c>
      <c r="AE164" s="93">
        <v>1.84</v>
      </c>
      <c r="AF164" s="96">
        <f t="shared" si="56"/>
        <v>0.68469219138681048</v>
      </c>
      <c r="AG164" s="10">
        <f t="shared" si="46"/>
        <v>7.97</v>
      </c>
      <c r="AH164" s="95">
        <f t="shared" si="47"/>
        <v>2.1086493333333332</v>
      </c>
      <c r="AI164" s="96">
        <f t="shared" si="59"/>
        <v>0.68469219138681048</v>
      </c>
      <c r="AJ164" s="96">
        <f t="shared" si="57"/>
        <v>0.80251130060214626</v>
      </c>
      <c r="AK164" s="96">
        <f t="shared" si="58"/>
        <v>0.72982451144913674</v>
      </c>
    </row>
    <row r="165" spans="1:37" x14ac:dyDescent="0.15">
      <c r="A165" s="10">
        <v>2016.5</v>
      </c>
      <c r="B165" s="10">
        <v>1</v>
      </c>
      <c r="C165" s="10">
        <v>0.44</v>
      </c>
      <c r="D165" s="96">
        <f>5.5/12*7</f>
        <v>3.208333333333333</v>
      </c>
      <c r="E165" s="96">
        <f t="shared" si="45"/>
        <v>1.4116666666666666</v>
      </c>
      <c r="F165" s="96">
        <f t="shared" si="48"/>
        <v>2.5666666666666664</v>
      </c>
      <c r="G165" s="96">
        <f t="shared" si="49"/>
        <v>2.3664666666666663</v>
      </c>
      <c r="H165" s="96">
        <f t="shared" si="50"/>
        <v>1.7774166666666666</v>
      </c>
      <c r="I165" s="94">
        <f>'Modell During mining'!$G159/1000000*A$40</f>
        <v>0.7119138444444445</v>
      </c>
      <c r="J165" s="94">
        <f>'Modell During mining'!$D159</f>
        <v>1.2159115719152407</v>
      </c>
      <c r="K165" s="93">
        <v>0.95</v>
      </c>
      <c r="L165" s="93">
        <v>0.41</v>
      </c>
      <c r="M165" s="93">
        <v>0.31</v>
      </c>
      <c r="N165" s="93">
        <v>0.41</v>
      </c>
      <c r="O165" s="93">
        <v>1.26</v>
      </c>
      <c r="P165" s="93">
        <v>0.19</v>
      </c>
      <c r="Q165" s="93">
        <v>1.6</v>
      </c>
      <c r="R165" s="93">
        <v>0</v>
      </c>
      <c r="S165" s="93">
        <v>0.36</v>
      </c>
      <c r="T165" s="98">
        <f>AI164</f>
        <v>0.68469219138681048</v>
      </c>
      <c r="U165" s="93">
        <v>25.21</v>
      </c>
      <c r="V165" s="98">
        <f t="shared" si="51"/>
        <v>0.66862190350098727</v>
      </c>
      <c r="W165" s="93">
        <v>21.42</v>
      </c>
      <c r="X165" s="98">
        <f t="shared" si="52"/>
        <v>0.66862190350098727</v>
      </c>
      <c r="Y165" s="93">
        <v>0.11</v>
      </c>
      <c r="Z165" s="98">
        <f t="shared" si="53"/>
        <v>0.66862190350098727</v>
      </c>
      <c r="AA165" s="93">
        <v>5.8</v>
      </c>
      <c r="AB165" s="98">
        <f t="shared" si="54"/>
        <v>0.66862190350098727</v>
      </c>
      <c r="AC165" s="93">
        <v>1.7</v>
      </c>
      <c r="AD165" s="98">
        <f t="shared" si="55"/>
        <v>0.66862190350098727</v>
      </c>
      <c r="AE165" s="93">
        <v>1.84</v>
      </c>
      <c r="AF165" s="96">
        <f t="shared" si="56"/>
        <v>0.50611961948628648</v>
      </c>
      <c r="AG165" s="10">
        <f t="shared" si="46"/>
        <v>7.97</v>
      </c>
      <c r="AH165" s="95">
        <f t="shared" si="47"/>
        <v>4.8319138444444452</v>
      </c>
      <c r="AI165" s="96">
        <f t="shared" si="59"/>
        <v>0.50611961948628648</v>
      </c>
      <c r="AJ165" s="96">
        <f t="shared" si="57"/>
        <v>0.63359478739202102</v>
      </c>
      <c r="AK165" s="96">
        <f t="shared" si="58"/>
        <v>0.55495083299856385</v>
      </c>
    </row>
    <row r="166" spans="1:37" x14ac:dyDescent="0.15">
      <c r="A166" s="10">
        <f>A164+1</f>
        <v>2017</v>
      </c>
      <c r="B166" s="10">
        <v>0</v>
      </c>
      <c r="C166" s="10">
        <v>0.44</v>
      </c>
      <c r="D166" s="96">
        <f>5/12*5</f>
        <v>2.0833333333333335</v>
      </c>
      <c r="E166" s="96">
        <f t="shared" si="45"/>
        <v>0.91666666666666674</v>
      </c>
      <c r="F166" s="96">
        <f t="shared" si="48"/>
        <v>1.666666666666667</v>
      </c>
      <c r="G166" s="96">
        <f t="shared" si="49"/>
        <v>1.5366666666666668</v>
      </c>
      <c r="H166" s="96">
        <f t="shared" si="50"/>
        <v>1.1541666666666668</v>
      </c>
      <c r="I166" s="94">
        <f>'Modell During mining'!$G160/1000000*A$40</f>
        <v>0.53478988888888901</v>
      </c>
      <c r="J166" s="94">
        <f>'Modell During mining'!$D160</f>
        <v>3.0157129206922182E-4</v>
      </c>
      <c r="K166" s="93">
        <v>0</v>
      </c>
      <c r="L166" s="93">
        <v>0</v>
      </c>
      <c r="M166" s="93">
        <v>0</v>
      </c>
      <c r="N166" s="93">
        <v>0</v>
      </c>
      <c r="O166" s="93">
        <v>1.26</v>
      </c>
      <c r="P166" s="93">
        <v>0.19</v>
      </c>
      <c r="Q166" s="93">
        <v>0</v>
      </c>
      <c r="R166" s="93">
        <v>0</v>
      </c>
      <c r="S166" s="93">
        <v>0.36</v>
      </c>
      <c r="T166" s="98">
        <f>AF166</f>
        <v>0.66862190350098727</v>
      </c>
      <c r="U166" s="93">
        <v>25.21</v>
      </c>
      <c r="V166" s="98">
        <f t="shared" si="51"/>
        <v>0.56799442592768901</v>
      </c>
      <c r="W166" s="93">
        <v>21.42</v>
      </c>
      <c r="X166" s="98">
        <f t="shared" si="52"/>
        <v>0.56799442592768901</v>
      </c>
      <c r="Y166" s="93">
        <v>0.11</v>
      </c>
      <c r="Z166" s="98">
        <f t="shared" si="53"/>
        <v>0.56799442592768901</v>
      </c>
      <c r="AA166" s="93">
        <v>5.8</v>
      </c>
      <c r="AB166" s="98">
        <f t="shared" si="54"/>
        <v>0.56799442592768901</v>
      </c>
      <c r="AC166" s="93">
        <v>1.7</v>
      </c>
      <c r="AD166" s="98">
        <f t="shared" si="55"/>
        <v>0.56799442592768901</v>
      </c>
      <c r="AE166" s="93">
        <v>1.84</v>
      </c>
      <c r="AF166" s="96">
        <f t="shared" si="56"/>
        <v>0.66862190350098727</v>
      </c>
      <c r="AG166" s="10">
        <f t="shared" si="46"/>
        <v>7.97</v>
      </c>
      <c r="AH166" s="95">
        <f t="shared" si="47"/>
        <v>1.7947898888888889</v>
      </c>
      <c r="AI166" s="96">
        <f t="shared" si="59"/>
        <v>0.66862190350098727</v>
      </c>
      <c r="AJ166" s="96">
        <f t="shared" si="57"/>
        <v>0.80201415582850966</v>
      </c>
      <c r="AK166" s="96">
        <f t="shared" si="58"/>
        <v>0.71971974209419132</v>
      </c>
    </row>
    <row r="167" spans="1:37" x14ac:dyDescent="0.15">
      <c r="A167" s="10">
        <f>A166+0.5</f>
        <v>2017.5</v>
      </c>
      <c r="B167" s="10">
        <v>1</v>
      </c>
      <c r="C167" s="10">
        <v>0.44</v>
      </c>
      <c r="D167" s="96">
        <f>5.5/12*7</f>
        <v>3.208333333333333</v>
      </c>
      <c r="E167" s="96">
        <f t="shared" si="45"/>
        <v>1.4116666666666666</v>
      </c>
      <c r="F167" s="96">
        <f t="shared" si="48"/>
        <v>2.5666666666666664</v>
      </c>
      <c r="G167" s="96">
        <f t="shared" si="49"/>
        <v>2.3664666666666663</v>
      </c>
      <c r="H167" s="96">
        <f t="shared" si="50"/>
        <v>1.7774166666666666</v>
      </c>
      <c r="I167" s="94">
        <f>'Modell During mining'!$G161/1000000*A$40</f>
        <v>0.77123526666666675</v>
      </c>
      <c r="J167" s="94">
        <f>'Modell During mining'!$D161</f>
        <v>1.1281466187274105</v>
      </c>
      <c r="K167" s="93">
        <v>0.95</v>
      </c>
      <c r="L167" s="93">
        <v>0.41</v>
      </c>
      <c r="M167" s="93">
        <v>0.31</v>
      </c>
      <c r="N167" s="93">
        <v>0.41</v>
      </c>
      <c r="O167" s="93">
        <v>1.26</v>
      </c>
      <c r="P167" s="93">
        <v>0.19</v>
      </c>
      <c r="Q167" s="93">
        <v>1.6</v>
      </c>
      <c r="R167" s="93">
        <v>0</v>
      </c>
      <c r="S167" s="93">
        <v>0.36</v>
      </c>
      <c r="T167" s="98">
        <f>AI166</f>
        <v>0.66862190350098727</v>
      </c>
      <c r="U167" s="93">
        <v>25.21</v>
      </c>
      <c r="V167" s="98">
        <f t="shared" si="51"/>
        <v>0.67560539049077528</v>
      </c>
      <c r="W167" s="93">
        <v>21.42</v>
      </c>
      <c r="X167" s="98">
        <f t="shared" si="52"/>
        <v>0.67560539049077528</v>
      </c>
      <c r="Y167" s="93">
        <v>0.11</v>
      </c>
      <c r="Z167" s="98">
        <f t="shared" si="53"/>
        <v>0.67560539049077528</v>
      </c>
      <c r="AA167" s="93">
        <v>5.8</v>
      </c>
      <c r="AB167" s="98">
        <f t="shared" si="54"/>
        <v>0.67560539049077528</v>
      </c>
      <c r="AC167" s="93">
        <v>1.7</v>
      </c>
      <c r="AD167" s="98">
        <f t="shared" si="55"/>
        <v>0.67560539049077528</v>
      </c>
      <c r="AE167" s="93">
        <v>1.84</v>
      </c>
      <c r="AF167" s="96">
        <f t="shared" si="56"/>
        <v>0.56799442592768901</v>
      </c>
      <c r="AG167" s="10">
        <f t="shared" si="46"/>
        <v>7.97</v>
      </c>
      <c r="AH167" s="95">
        <f t="shared" si="47"/>
        <v>4.8912352666666674</v>
      </c>
      <c r="AI167" s="96">
        <f t="shared" si="59"/>
        <v>0.56799442592768901</v>
      </c>
      <c r="AJ167" s="96">
        <f t="shared" si="57"/>
        <v>0.72343071378633017</v>
      </c>
      <c r="AK167" s="96">
        <f t="shared" si="58"/>
        <v>0.62753655232515249</v>
      </c>
    </row>
    <row r="168" spans="1:37" x14ac:dyDescent="0.15">
      <c r="A168" s="10">
        <f>A166+1</f>
        <v>2018</v>
      </c>
      <c r="B168" s="10">
        <v>0</v>
      </c>
      <c r="C168" s="10">
        <v>0.44</v>
      </c>
      <c r="D168" s="96">
        <f>5/12*5</f>
        <v>2.0833333333333335</v>
      </c>
      <c r="E168" s="96">
        <f t="shared" si="45"/>
        <v>0.91666666666666674</v>
      </c>
      <c r="F168" s="96">
        <f t="shared" si="48"/>
        <v>1.666666666666667</v>
      </c>
      <c r="G168" s="96">
        <f t="shared" si="49"/>
        <v>1.5366666666666668</v>
      </c>
      <c r="H168" s="96">
        <f t="shared" si="50"/>
        <v>1.1541666666666668</v>
      </c>
      <c r="I168" s="94">
        <f>'Modell During mining'!$G162/1000000*A$40</f>
        <v>0.57453433333333348</v>
      </c>
      <c r="J168" s="94">
        <f>'Modell During mining'!$D162</f>
        <v>3.0699673880818268E-4</v>
      </c>
      <c r="K168" s="93">
        <v>0</v>
      </c>
      <c r="L168" s="93">
        <v>0</v>
      </c>
      <c r="M168" s="93">
        <v>0</v>
      </c>
      <c r="N168" s="93">
        <v>0</v>
      </c>
      <c r="O168" s="93">
        <v>1.26</v>
      </c>
      <c r="P168" s="93">
        <v>0.19</v>
      </c>
      <c r="Q168" s="93">
        <v>0</v>
      </c>
      <c r="R168" s="93">
        <v>0</v>
      </c>
      <c r="S168" s="93">
        <v>0.36</v>
      </c>
      <c r="T168" s="98">
        <f>AF168</f>
        <v>0.67560539049077528</v>
      </c>
      <c r="U168" s="93">
        <v>25.21</v>
      </c>
      <c r="V168" s="98">
        <f t="shared" si="51"/>
        <v>0.56076403579205625</v>
      </c>
      <c r="W168" s="93">
        <v>21.42</v>
      </c>
      <c r="X168" s="98">
        <f t="shared" si="52"/>
        <v>0.56076403579205625</v>
      </c>
      <c r="Y168" s="93">
        <v>0.11</v>
      </c>
      <c r="Z168" s="98">
        <f t="shared" si="53"/>
        <v>0.56076403579205625</v>
      </c>
      <c r="AA168" s="93">
        <v>5.8</v>
      </c>
      <c r="AB168" s="98">
        <f t="shared" si="54"/>
        <v>0.56076403579205625</v>
      </c>
      <c r="AC168" s="93">
        <v>1.7</v>
      </c>
      <c r="AD168" s="98">
        <f t="shared" si="55"/>
        <v>0.56076403579205625</v>
      </c>
      <c r="AE168" s="93">
        <v>1.84</v>
      </c>
      <c r="AF168" s="96">
        <f t="shared" si="56"/>
        <v>0.67560539049077528</v>
      </c>
      <c r="AG168" s="10">
        <f t="shared" si="46"/>
        <v>7.97</v>
      </c>
      <c r="AH168" s="95">
        <f t="shared" si="47"/>
        <v>1.8345343333333335</v>
      </c>
      <c r="AI168" s="96">
        <f t="shared" si="59"/>
        <v>0.67560539049077528</v>
      </c>
      <c r="AJ168" s="96">
        <f t="shared" si="57"/>
        <v>0.80645063083094781</v>
      </c>
      <c r="AK168" s="96">
        <f t="shared" si="58"/>
        <v>0.7257275591694704</v>
      </c>
    </row>
    <row r="169" spans="1:37" x14ac:dyDescent="0.15">
      <c r="A169" s="10">
        <f>A168+0.5</f>
        <v>2018.5</v>
      </c>
      <c r="B169" s="10">
        <v>1</v>
      </c>
      <c r="C169" s="10">
        <v>0.44</v>
      </c>
      <c r="D169" s="96">
        <f>5.5/12*7</f>
        <v>3.208333333333333</v>
      </c>
      <c r="E169" s="96">
        <f t="shared" si="45"/>
        <v>1.4116666666666666</v>
      </c>
      <c r="F169" s="96">
        <f t="shared" si="48"/>
        <v>2.5666666666666664</v>
      </c>
      <c r="G169" s="96">
        <f t="shared" si="49"/>
        <v>2.3664666666666663</v>
      </c>
      <c r="H169" s="96">
        <f t="shared" si="50"/>
        <v>1.7774166666666666</v>
      </c>
      <c r="I169" s="94">
        <f>'Modell During mining'!$G163/1000000*A$40</f>
        <v>0.83055668888888901</v>
      </c>
      <c r="J169" s="94">
        <f>'Modell During mining'!$D163</f>
        <v>1.0529186588936024</v>
      </c>
      <c r="K169" s="93">
        <v>0.95</v>
      </c>
      <c r="L169" s="93">
        <v>0.41</v>
      </c>
      <c r="M169" s="93">
        <v>0.31</v>
      </c>
      <c r="N169" s="93">
        <v>0.41</v>
      </c>
      <c r="O169" s="93">
        <v>1.26</v>
      </c>
      <c r="P169" s="93">
        <v>0.19</v>
      </c>
      <c r="Q169" s="93">
        <v>3.6</v>
      </c>
      <c r="R169" s="93">
        <v>0</v>
      </c>
      <c r="S169" s="93">
        <v>0.36</v>
      </c>
      <c r="T169" s="98">
        <f>AI168</f>
        <v>0.67560539049077528</v>
      </c>
      <c r="U169" s="93">
        <v>25.21</v>
      </c>
      <c r="V169" s="98">
        <f t="shared" si="51"/>
        <v>0.52213752896765031</v>
      </c>
      <c r="W169" s="93">
        <v>21.42</v>
      </c>
      <c r="X169" s="98">
        <f t="shared" si="52"/>
        <v>0.52213752896765031</v>
      </c>
      <c r="Y169" s="93">
        <v>0.11</v>
      </c>
      <c r="Z169" s="98">
        <f t="shared" si="53"/>
        <v>0.52213752896765031</v>
      </c>
      <c r="AA169" s="93">
        <v>5.8</v>
      </c>
      <c r="AB169" s="98">
        <f t="shared" si="54"/>
        <v>0.52213752896765031</v>
      </c>
      <c r="AC169" s="93">
        <v>1.7</v>
      </c>
      <c r="AD169" s="98">
        <f t="shared" si="55"/>
        <v>0.52213752896765031</v>
      </c>
      <c r="AE169" s="93">
        <v>1.84</v>
      </c>
      <c r="AF169" s="96">
        <f t="shared" si="56"/>
        <v>0.56076403579205625</v>
      </c>
      <c r="AG169" s="10">
        <f t="shared" si="46"/>
        <v>7.97</v>
      </c>
      <c r="AH169" s="95">
        <f t="shared" si="47"/>
        <v>6.9505566888888897</v>
      </c>
      <c r="AI169" s="96">
        <f t="shared" si="59"/>
        <v>0.56076403579205625</v>
      </c>
      <c r="AJ169" s="96">
        <f t="shared" si="57"/>
        <v>0.71182724669095199</v>
      </c>
      <c r="AK169" s="96">
        <f t="shared" si="58"/>
        <v>0.61863099157993973</v>
      </c>
    </row>
    <row r="170" spans="1:37" x14ac:dyDescent="0.15">
      <c r="A170" s="10">
        <f>A168+1</f>
        <v>2019</v>
      </c>
      <c r="B170" s="10">
        <v>0</v>
      </c>
      <c r="C170" s="10">
        <v>0.44</v>
      </c>
      <c r="D170" s="96">
        <f>5/12*5</f>
        <v>2.0833333333333335</v>
      </c>
      <c r="E170" s="96">
        <f t="shared" si="45"/>
        <v>0.91666666666666674</v>
      </c>
      <c r="F170" s="96">
        <f t="shared" si="48"/>
        <v>1.666666666666667</v>
      </c>
      <c r="G170" s="96">
        <f t="shared" si="49"/>
        <v>1.5366666666666668</v>
      </c>
      <c r="H170" s="96">
        <f t="shared" si="50"/>
        <v>1.1541666666666668</v>
      </c>
      <c r="I170" s="94">
        <f>'Modell During mining'!$G164/1000000*A$40</f>
        <v>0.61427877777777795</v>
      </c>
      <c r="J170" s="94">
        <f>'Modell During mining'!$D164</f>
        <v>3.1172012200757931E-4</v>
      </c>
      <c r="K170" s="93">
        <v>0</v>
      </c>
      <c r="L170" s="93">
        <v>0</v>
      </c>
      <c r="M170" s="93">
        <v>0</v>
      </c>
      <c r="N170" s="93">
        <v>0</v>
      </c>
      <c r="O170" s="93">
        <v>1.26</v>
      </c>
      <c r="P170" s="93">
        <v>0.19</v>
      </c>
      <c r="Q170" s="93">
        <v>0</v>
      </c>
      <c r="R170" s="93">
        <v>0</v>
      </c>
      <c r="S170" s="93">
        <v>0.36</v>
      </c>
      <c r="T170" s="98">
        <f>AF170</f>
        <v>0.52213752896765031</v>
      </c>
      <c r="U170" s="93">
        <v>25.21</v>
      </c>
      <c r="V170" s="98">
        <f t="shared" si="51"/>
        <v>0.48821035049144451</v>
      </c>
      <c r="W170" s="93">
        <v>21.42</v>
      </c>
      <c r="X170" s="98">
        <f t="shared" si="52"/>
        <v>0.48821035049144451</v>
      </c>
      <c r="Y170" s="93">
        <v>0.11</v>
      </c>
      <c r="Z170" s="98">
        <f t="shared" si="53"/>
        <v>0.48821035049144451</v>
      </c>
      <c r="AA170" s="93">
        <v>5.8</v>
      </c>
      <c r="AB170" s="98">
        <f t="shared" si="54"/>
        <v>0.48821035049144451</v>
      </c>
      <c r="AC170" s="93">
        <v>1.7</v>
      </c>
      <c r="AD170" s="98">
        <f t="shared" si="55"/>
        <v>0.48821035049144451</v>
      </c>
      <c r="AE170" s="93">
        <v>1.84</v>
      </c>
      <c r="AF170" s="96">
        <f t="shared" si="56"/>
        <v>0.52213752896765031</v>
      </c>
      <c r="AG170" s="10">
        <f t="shared" si="46"/>
        <v>7.97</v>
      </c>
      <c r="AH170" s="95">
        <f t="shared" si="47"/>
        <v>1.8742787777777781</v>
      </c>
      <c r="AI170" s="96">
        <f t="shared" si="59"/>
        <v>0.52213752896765031</v>
      </c>
      <c r="AJ170" s="96">
        <f t="shared" si="57"/>
        <v>0.62386694570560342</v>
      </c>
      <c r="AK170" s="96">
        <f t="shared" si="58"/>
        <v>0.56110645876646292</v>
      </c>
    </row>
    <row r="171" spans="1:37" x14ac:dyDescent="0.15">
      <c r="A171" s="10">
        <f>A170+0.5</f>
        <v>2019.5</v>
      </c>
      <c r="B171" s="10">
        <v>1</v>
      </c>
      <c r="C171" s="10">
        <v>0.44</v>
      </c>
      <c r="D171" s="96">
        <f>5.5/12*7</f>
        <v>3.208333333333333</v>
      </c>
      <c r="E171" s="96">
        <f t="shared" si="45"/>
        <v>1.4116666666666666</v>
      </c>
      <c r="F171" s="96">
        <f t="shared" si="48"/>
        <v>2.5666666666666664</v>
      </c>
      <c r="G171" s="96">
        <f t="shared" si="49"/>
        <v>2.3664666666666663</v>
      </c>
      <c r="H171" s="96">
        <f t="shared" si="50"/>
        <v>1.7774166666666666</v>
      </c>
      <c r="I171" s="94">
        <f>'Modell During mining'!$G165/1000000*A$40</f>
        <v>0.88987811111111126</v>
      </c>
      <c r="J171" s="94">
        <f>'Modell During mining'!$D165</f>
        <v>0.98772045372506023</v>
      </c>
      <c r="K171" s="93">
        <v>0.95</v>
      </c>
      <c r="L171" s="93">
        <v>0.41</v>
      </c>
      <c r="M171" s="93">
        <v>0.31</v>
      </c>
      <c r="N171" s="93">
        <v>0.41</v>
      </c>
      <c r="O171" s="93">
        <v>1.26</v>
      </c>
      <c r="P171" s="93">
        <v>0.19</v>
      </c>
      <c r="Q171" s="93">
        <v>1.6</v>
      </c>
      <c r="R171" s="93">
        <v>0</v>
      </c>
      <c r="S171" s="93">
        <v>0.36</v>
      </c>
      <c r="T171" s="98">
        <f>AI170</f>
        <v>0.52213752896765031</v>
      </c>
      <c r="U171" s="93">
        <v>25.21</v>
      </c>
      <c r="V171" s="98">
        <f t="shared" si="51"/>
        <v>0.64057709714954481</v>
      </c>
      <c r="W171" s="93">
        <v>21.42</v>
      </c>
      <c r="X171" s="98">
        <f t="shared" si="52"/>
        <v>0.64057709714954481</v>
      </c>
      <c r="Y171" s="93">
        <v>0.11</v>
      </c>
      <c r="Z171" s="98">
        <f t="shared" si="53"/>
        <v>0.64057709714954481</v>
      </c>
      <c r="AA171" s="93">
        <v>5.8</v>
      </c>
      <c r="AB171" s="98">
        <f t="shared" si="54"/>
        <v>0.64057709714954481</v>
      </c>
      <c r="AC171" s="93">
        <v>1.7</v>
      </c>
      <c r="AD171" s="98">
        <f t="shared" si="55"/>
        <v>0.64057709714954481</v>
      </c>
      <c r="AE171" s="93">
        <v>1.84</v>
      </c>
      <c r="AF171" s="96">
        <f t="shared" si="56"/>
        <v>0.48821035049144451</v>
      </c>
      <c r="AG171" s="10">
        <f t="shared" si="46"/>
        <v>7.97</v>
      </c>
      <c r="AH171" s="95">
        <f t="shared" si="47"/>
        <v>5.0098781111111119</v>
      </c>
      <c r="AI171" s="96">
        <f t="shared" si="59"/>
        <v>0.48821035049144451</v>
      </c>
      <c r="AJ171" s="96">
        <f t="shared" si="57"/>
        <v>0.63519296980387863</v>
      </c>
      <c r="AK171" s="96">
        <f t="shared" si="58"/>
        <v>0.54451417643773981</v>
      </c>
    </row>
    <row r="172" spans="1:37" x14ac:dyDescent="0.15">
      <c r="A172" s="10">
        <f>A170+1</f>
        <v>2020</v>
      </c>
      <c r="B172" s="10">
        <v>0</v>
      </c>
      <c r="C172" s="10">
        <v>0.44</v>
      </c>
      <c r="D172" s="96">
        <f>5/12*5</f>
        <v>2.0833333333333335</v>
      </c>
      <c r="E172" s="96">
        <f t="shared" si="45"/>
        <v>0.91666666666666674</v>
      </c>
      <c r="F172" s="96">
        <f t="shared" si="48"/>
        <v>1.666666666666667</v>
      </c>
      <c r="G172" s="96">
        <f t="shared" si="49"/>
        <v>1.5366666666666668</v>
      </c>
      <c r="H172" s="96">
        <f t="shared" si="50"/>
        <v>1.1541666666666668</v>
      </c>
      <c r="I172" s="94">
        <f>'Modell During mining'!$G166/1000000*A$40</f>
        <v>0.65402322222222242</v>
      </c>
      <c r="J172" s="94">
        <f>'Modell During mining'!$D166</f>
        <v>3.1586943311051309E-4</v>
      </c>
      <c r="K172" s="93">
        <v>0</v>
      </c>
      <c r="L172" s="93">
        <v>0</v>
      </c>
      <c r="M172" s="93">
        <v>0</v>
      </c>
      <c r="N172" s="93">
        <v>0</v>
      </c>
      <c r="O172" s="93">
        <v>1.26</v>
      </c>
      <c r="P172" s="93">
        <v>0.19</v>
      </c>
      <c r="Q172" s="93">
        <v>0</v>
      </c>
      <c r="R172" s="93">
        <v>0</v>
      </c>
      <c r="S172" s="93">
        <v>0.36</v>
      </c>
      <c r="T172" s="98">
        <f>AF172</f>
        <v>0.64057709714954481</v>
      </c>
      <c r="U172" s="93">
        <v>25.21</v>
      </c>
      <c r="V172" s="98">
        <f t="shared" si="51"/>
        <v>0.52771805687995954</v>
      </c>
      <c r="W172" s="93">
        <v>21.42</v>
      </c>
      <c r="X172" s="98">
        <f t="shared" si="52"/>
        <v>0.52771805687995954</v>
      </c>
      <c r="Y172" s="93">
        <v>0.11</v>
      </c>
      <c r="Z172" s="98">
        <f t="shared" si="53"/>
        <v>0.52771805687995954</v>
      </c>
      <c r="AA172" s="93">
        <v>5.8</v>
      </c>
      <c r="AB172" s="98">
        <f t="shared" si="54"/>
        <v>0.52771805687995954</v>
      </c>
      <c r="AC172" s="93">
        <v>1.7</v>
      </c>
      <c r="AD172" s="98">
        <f t="shared" si="55"/>
        <v>0.52771805687995954</v>
      </c>
      <c r="AE172" s="93">
        <v>1.84</v>
      </c>
      <c r="AF172" s="96">
        <f t="shared" si="56"/>
        <v>0.64057709714954481</v>
      </c>
      <c r="AG172" s="10">
        <f t="shared" si="46"/>
        <v>7.97</v>
      </c>
      <c r="AH172" s="95">
        <f t="shared" si="47"/>
        <v>1.9140232222222224</v>
      </c>
      <c r="AI172" s="96">
        <f t="shared" si="59"/>
        <v>0.64057709714954481</v>
      </c>
      <c r="AJ172" s="96">
        <f t="shared" si="57"/>
        <v>0.76663383745172231</v>
      </c>
      <c r="AK172" s="96">
        <f t="shared" si="58"/>
        <v>0.68886496137820152</v>
      </c>
    </row>
    <row r="173" spans="1:37" x14ac:dyDescent="0.15">
      <c r="A173" s="10">
        <f>A172+0.5</f>
        <v>2020.5</v>
      </c>
      <c r="B173" s="10">
        <v>1</v>
      </c>
      <c r="C173" s="10">
        <v>0.44</v>
      </c>
      <c r="D173" s="96">
        <f>5.5/12*7</f>
        <v>3.208333333333333</v>
      </c>
      <c r="E173" s="96">
        <f t="shared" si="45"/>
        <v>1.4116666666666666</v>
      </c>
      <c r="F173" s="96">
        <f t="shared" si="48"/>
        <v>2.5666666666666664</v>
      </c>
      <c r="G173" s="96">
        <f t="shared" si="49"/>
        <v>2.3664666666666663</v>
      </c>
      <c r="H173" s="96">
        <f t="shared" si="50"/>
        <v>1.7774166666666666</v>
      </c>
      <c r="I173" s="94">
        <f>'Modell During mining'!$G167/1000000*A$40</f>
        <v>0.94919953333333351</v>
      </c>
      <c r="J173" s="94">
        <f>'Modell During mining'!$D167</f>
        <v>0.93067153671166947</v>
      </c>
      <c r="K173" s="93">
        <v>0.95</v>
      </c>
      <c r="L173" s="93">
        <v>0.41</v>
      </c>
      <c r="M173" s="93">
        <v>0.31</v>
      </c>
      <c r="N173" s="93">
        <v>0.41</v>
      </c>
      <c r="O173" s="93">
        <v>1.26</v>
      </c>
      <c r="P173" s="93">
        <v>0.19</v>
      </c>
      <c r="Q173" s="93">
        <v>1.6</v>
      </c>
      <c r="R173" s="93">
        <v>0</v>
      </c>
      <c r="S173" s="93">
        <v>0.36</v>
      </c>
      <c r="T173" s="98">
        <f>AI172</f>
        <v>0.64057709714954481</v>
      </c>
      <c r="U173" s="93">
        <v>25.21</v>
      </c>
      <c r="V173" s="98">
        <f t="shared" si="51"/>
        <v>0.63591099126337058</v>
      </c>
      <c r="W173" s="93">
        <v>21.42</v>
      </c>
      <c r="X173" s="98">
        <f t="shared" si="52"/>
        <v>0.63591099126337058</v>
      </c>
      <c r="Y173" s="93">
        <v>0.11</v>
      </c>
      <c r="Z173" s="98">
        <f t="shared" si="53"/>
        <v>0.63591099126337058</v>
      </c>
      <c r="AA173" s="93">
        <v>5.8</v>
      </c>
      <c r="AB173" s="98">
        <f t="shared" si="54"/>
        <v>0.63591099126337058</v>
      </c>
      <c r="AC173" s="93">
        <v>1.7</v>
      </c>
      <c r="AD173" s="98">
        <f t="shared" si="55"/>
        <v>0.63591099126337058</v>
      </c>
      <c r="AE173" s="93">
        <v>1.84</v>
      </c>
      <c r="AF173" s="96">
        <f t="shared" si="56"/>
        <v>0.52771805687995954</v>
      </c>
      <c r="AG173" s="10">
        <f t="shared" si="46"/>
        <v>7.97</v>
      </c>
      <c r="AH173" s="95">
        <f t="shared" si="47"/>
        <v>5.0691995333333342</v>
      </c>
      <c r="AI173" s="96">
        <f t="shared" si="59"/>
        <v>0.52771805687995954</v>
      </c>
      <c r="AJ173" s="96">
        <f t="shared" si="57"/>
        <v>0.67088202690015042</v>
      </c>
      <c r="AK173" s="96">
        <f t="shared" si="58"/>
        <v>0.5825590937828552</v>
      </c>
    </row>
    <row r="174" spans="1:37" x14ac:dyDescent="0.15">
      <c r="A174" s="10">
        <f>A172+1</f>
        <v>2021</v>
      </c>
      <c r="B174" s="10">
        <v>0</v>
      </c>
      <c r="C174" s="10">
        <v>0.44</v>
      </c>
      <c r="D174" s="96">
        <f>5/12*5</f>
        <v>2.0833333333333335</v>
      </c>
      <c r="E174" s="96">
        <f t="shared" si="45"/>
        <v>0.91666666666666674</v>
      </c>
      <c r="F174" s="96">
        <f t="shared" si="48"/>
        <v>1.666666666666667</v>
      </c>
      <c r="G174" s="96">
        <f t="shared" si="49"/>
        <v>1.5366666666666668</v>
      </c>
      <c r="H174" s="96">
        <f t="shared" si="50"/>
        <v>1.1541666666666668</v>
      </c>
      <c r="I174" s="94">
        <f>'Modell During mining'!$G168/1000000*A$40</f>
        <v>0.69376766666666689</v>
      </c>
      <c r="J174" s="94">
        <f>'Modell During mining'!$D168</f>
        <v>3.1954333415173096E-4</v>
      </c>
      <c r="K174" s="93">
        <v>0</v>
      </c>
      <c r="L174" s="93">
        <v>0</v>
      </c>
      <c r="M174" s="93">
        <v>0</v>
      </c>
      <c r="N174" s="93">
        <v>0</v>
      </c>
      <c r="O174" s="93">
        <v>1.26</v>
      </c>
      <c r="P174" s="93">
        <v>0.19</v>
      </c>
      <c r="Q174" s="93">
        <v>0</v>
      </c>
      <c r="R174" s="93">
        <v>0</v>
      </c>
      <c r="S174" s="93">
        <v>0.36</v>
      </c>
      <c r="T174" s="98">
        <f>AF174</f>
        <v>0.63591099126337058</v>
      </c>
      <c r="U174" s="93">
        <v>25.21</v>
      </c>
      <c r="V174" s="98">
        <f t="shared" si="51"/>
        <v>0.51719776233727877</v>
      </c>
      <c r="W174" s="93">
        <v>21.42</v>
      </c>
      <c r="X174" s="98">
        <f t="shared" si="52"/>
        <v>0.51719776233727877</v>
      </c>
      <c r="Y174" s="93">
        <v>0.11</v>
      </c>
      <c r="Z174" s="98">
        <f t="shared" si="53"/>
        <v>0.51719776233727877</v>
      </c>
      <c r="AA174" s="93">
        <v>5.8</v>
      </c>
      <c r="AB174" s="98">
        <f t="shared" si="54"/>
        <v>0.51719776233727877</v>
      </c>
      <c r="AC174" s="93">
        <v>1.7</v>
      </c>
      <c r="AD174" s="98">
        <f t="shared" si="55"/>
        <v>0.51719776233727877</v>
      </c>
      <c r="AE174" s="93">
        <v>1.84</v>
      </c>
      <c r="AF174" s="96">
        <f t="shared" si="56"/>
        <v>0.63591099126337058</v>
      </c>
      <c r="AG174" s="10">
        <f t="shared" si="46"/>
        <v>7.97</v>
      </c>
      <c r="AH174" s="95">
        <f t="shared" si="47"/>
        <v>1.9537676666666668</v>
      </c>
      <c r="AI174" s="96">
        <f t="shared" si="59"/>
        <v>0.63591099126337058</v>
      </c>
      <c r="AJ174" s="96">
        <f t="shared" si="57"/>
        <v>0.75971379725849231</v>
      </c>
      <c r="AK174" s="96">
        <f t="shared" si="58"/>
        <v>0.68333545323730838</v>
      </c>
    </row>
    <row r="175" spans="1:37" x14ac:dyDescent="0.15">
      <c r="A175" s="10">
        <f>A174+0.5</f>
        <v>2021.5</v>
      </c>
      <c r="B175" s="10">
        <v>1</v>
      </c>
      <c r="C175" s="10">
        <v>0.44</v>
      </c>
      <c r="D175" s="96">
        <f>5.5/12*7</f>
        <v>3.208333333333333</v>
      </c>
      <c r="E175" s="96">
        <f t="shared" si="45"/>
        <v>1.4116666666666666</v>
      </c>
      <c r="F175" s="96">
        <f t="shared" si="48"/>
        <v>2.5666666666666664</v>
      </c>
      <c r="G175" s="96">
        <f t="shared" si="49"/>
        <v>2.3664666666666663</v>
      </c>
      <c r="H175" s="96">
        <f t="shared" si="50"/>
        <v>1.7774166666666666</v>
      </c>
      <c r="I175" s="94">
        <f>'Modell During mining'!$G169/1000000*A$40</f>
        <v>1.0085209555555559</v>
      </c>
      <c r="J175" s="94">
        <f>'Modell During mining'!$D169</f>
        <v>0.88033387914178229</v>
      </c>
      <c r="K175" s="93">
        <v>0.95</v>
      </c>
      <c r="L175" s="93">
        <v>0.41</v>
      </c>
      <c r="M175" s="93">
        <v>0.31</v>
      </c>
      <c r="N175" s="93">
        <v>0.41</v>
      </c>
      <c r="O175" s="93">
        <v>1.26</v>
      </c>
      <c r="P175" s="93">
        <v>0.19</v>
      </c>
      <c r="Q175" s="93">
        <v>1.6</v>
      </c>
      <c r="R175" s="93">
        <v>0</v>
      </c>
      <c r="S175" s="93">
        <v>0.36</v>
      </c>
      <c r="T175" s="98">
        <f>AI174</f>
        <v>0.63591099126337058</v>
      </c>
      <c r="U175" s="93">
        <v>25.21</v>
      </c>
      <c r="V175" s="98">
        <f t="shared" si="51"/>
        <v>0.624042472293317</v>
      </c>
      <c r="W175" s="93">
        <v>21.42</v>
      </c>
      <c r="X175" s="98">
        <f t="shared" si="52"/>
        <v>0.624042472293317</v>
      </c>
      <c r="Y175" s="93">
        <v>0.11</v>
      </c>
      <c r="Z175" s="98">
        <f t="shared" si="53"/>
        <v>0.624042472293317</v>
      </c>
      <c r="AA175" s="93">
        <v>5.8</v>
      </c>
      <c r="AB175" s="98">
        <f t="shared" si="54"/>
        <v>0.624042472293317</v>
      </c>
      <c r="AC175" s="93">
        <v>1.7</v>
      </c>
      <c r="AD175" s="98">
        <f t="shared" si="55"/>
        <v>0.624042472293317</v>
      </c>
      <c r="AE175" s="93">
        <v>1.84</v>
      </c>
      <c r="AF175" s="96">
        <f t="shared" si="56"/>
        <v>0.51719776233727877</v>
      </c>
      <c r="AG175" s="10">
        <f t="shared" si="46"/>
        <v>7.97</v>
      </c>
      <c r="AH175" s="95">
        <f t="shared" si="47"/>
        <v>5.1285209555555564</v>
      </c>
      <c r="AI175" s="96">
        <f t="shared" si="59"/>
        <v>0.51719776233727877</v>
      </c>
      <c r="AJ175" s="96">
        <f t="shared" si="57"/>
        <v>0.65677868533981709</v>
      </c>
      <c r="AK175" s="96">
        <f t="shared" si="58"/>
        <v>0.57066626106808982</v>
      </c>
    </row>
    <row r="176" spans="1:37" x14ac:dyDescent="0.15">
      <c r="A176" s="10">
        <f>A174+1</f>
        <v>2022</v>
      </c>
      <c r="B176" s="10">
        <v>0</v>
      </c>
      <c r="C176" s="10">
        <v>0.44</v>
      </c>
      <c r="D176" s="96">
        <f>5/12*5</f>
        <v>2.0833333333333335</v>
      </c>
      <c r="E176" s="96">
        <f t="shared" si="45"/>
        <v>0.91666666666666674</v>
      </c>
      <c r="F176" s="96">
        <f t="shared" si="48"/>
        <v>1.666666666666667</v>
      </c>
      <c r="G176" s="96">
        <f t="shared" si="49"/>
        <v>1.5366666666666668</v>
      </c>
      <c r="H176" s="96">
        <f t="shared" si="50"/>
        <v>1.1541666666666668</v>
      </c>
      <c r="I176" s="94">
        <f>'Modell During mining'!$G170/1000000*A$40</f>
        <v>0.73351211111111125</v>
      </c>
      <c r="J176" s="94">
        <f>'Modell During mining'!$D170</f>
        <v>3.2281910364579308E-4</v>
      </c>
      <c r="K176" s="93">
        <v>0</v>
      </c>
      <c r="L176" s="93">
        <v>0</v>
      </c>
      <c r="M176" s="93">
        <v>0</v>
      </c>
      <c r="N176" s="93">
        <v>0</v>
      </c>
      <c r="O176" s="93">
        <v>1.26</v>
      </c>
      <c r="P176" s="93">
        <v>0.19</v>
      </c>
      <c r="Q176" s="93">
        <v>0</v>
      </c>
      <c r="R176" s="93">
        <v>0</v>
      </c>
      <c r="S176" s="93">
        <v>0.36</v>
      </c>
      <c r="T176" s="98">
        <f>AF176</f>
        <v>0.624042472293317</v>
      </c>
      <c r="U176" s="93">
        <v>25.21</v>
      </c>
      <c r="V176" s="98">
        <f t="shared" si="51"/>
        <v>0.50420446766320082</v>
      </c>
      <c r="W176" s="93">
        <v>21.42</v>
      </c>
      <c r="X176" s="98">
        <f t="shared" si="52"/>
        <v>0.50420446766320082</v>
      </c>
      <c r="Y176" s="93">
        <v>0.11</v>
      </c>
      <c r="Z176" s="98">
        <f t="shared" si="53"/>
        <v>0.50420446766320082</v>
      </c>
      <c r="AA176" s="93">
        <v>5.8</v>
      </c>
      <c r="AB176" s="98">
        <f t="shared" si="54"/>
        <v>0.50420446766320082</v>
      </c>
      <c r="AC176" s="93">
        <v>1.7</v>
      </c>
      <c r="AD176" s="98">
        <f t="shared" si="55"/>
        <v>0.50420446766320082</v>
      </c>
      <c r="AE176" s="93">
        <v>1.84</v>
      </c>
      <c r="AF176" s="96">
        <f t="shared" si="56"/>
        <v>0.624042472293317</v>
      </c>
      <c r="AG176" s="10">
        <f t="shared" si="46"/>
        <v>7.97</v>
      </c>
      <c r="AH176" s="95">
        <f t="shared" si="47"/>
        <v>1.9935121111111114</v>
      </c>
      <c r="AI176" s="96">
        <f t="shared" si="59"/>
        <v>0.624042472293317</v>
      </c>
      <c r="AJ176" s="96">
        <f t="shared" si="57"/>
        <v>0.74567743214207327</v>
      </c>
      <c r="AK176" s="96">
        <f t="shared" si="58"/>
        <v>0.67063650933215502</v>
      </c>
    </row>
    <row r="177" spans="1:37" x14ac:dyDescent="0.15">
      <c r="A177" s="10">
        <f>A176+0.5</f>
        <v>2022.5</v>
      </c>
      <c r="B177" s="10">
        <v>1</v>
      </c>
      <c r="C177" s="10">
        <v>0.44</v>
      </c>
      <c r="D177" s="96">
        <f>5.5/12*7</f>
        <v>3.208333333333333</v>
      </c>
      <c r="E177" s="96">
        <f t="shared" si="45"/>
        <v>1.4116666666666666</v>
      </c>
      <c r="F177" s="96">
        <f t="shared" si="48"/>
        <v>2.5666666666666664</v>
      </c>
      <c r="G177" s="96">
        <f t="shared" si="49"/>
        <v>2.3664666666666663</v>
      </c>
      <c r="H177" s="96">
        <f t="shared" si="50"/>
        <v>1.7774166666666666</v>
      </c>
      <c r="I177" s="94">
        <f>'Modell During mining'!$G171/1000000*A$40</f>
        <v>1.0678423777777781</v>
      </c>
      <c r="J177" s="94">
        <f>'Modell During mining'!$D171</f>
        <v>0.83558899724838631</v>
      </c>
      <c r="K177" s="93">
        <v>0.95</v>
      </c>
      <c r="L177" s="93">
        <v>0.41</v>
      </c>
      <c r="M177" s="93">
        <v>0.31</v>
      </c>
      <c r="N177" s="93">
        <v>0.41</v>
      </c>
      <c r="O177" s="93">
        <v>1.26</v>
      </c>
      <c r="P177" s="93">
        <v>0.19</v>
      </c>
      <c r="Q177" s="93">
        <v>0.6</v>
      </c>
      <c r="R177" s="93">
        <v>0</v>
      </c>
      <c r="S177" s="93">
        <v>0.36</v>
      </c>
      <c r="T177" s="98">
        <f>AI176</f>
        <v>0.624042472293317</v>
      </c>
      <c r="U177" s="93">
        <v>25.21</v>
      </c>
      <c r="V177" s="98">
        <f t="shared" si="51"/>
        <v>0.69817682919299218</v>
      </c>
      <c r="W177" s="93">
        <v>21.42</v>
      </c>
      <c r="X177" s="98">
        <f t="shared" si="52"/>
        <v>0.69817682919299218</v>
      </c>
      <c r="Y177" s="93">
        <v>0.11</v>
      </c>
      <c r="Z177" s="98">
        <f t="shared" si="53"/>
        <v>0.69817682919299218</v>
      </c>
      <c r="AA177" s="93">
        <v>5.8</v>
      </c>
      <c r="AB177" s="98">
        <f t="shared" si="54"/>
        <v>0.69817682919299218</v>
      </c>
      <c r="AC177" s="93">
        <v>1.7</v>
      </c>
      <c r="AD177" s="98">
        <f t="shared" si="55"/>
        <v>0.69817682919299218</v>
      </c>
      <c r="AE177" s="93">
        <v>1.84</v>
      </c>
      <c r="AF177" s="96">
        <f t="shared" si="56"/>
        <v>0.50420446766320082</v>
      </c>
      <c r="AG177" s="10">
        <f t="shared" si="46"/>
        <v>7.97</v>
      </c>
      <c r="AH177" s="95">
        <f t="shared" si="47"/>
        <v>4.1878423777777778</v>
      </c>
      <c r="AI177" s="96">
        <f t="shared" si="59"/>
        <v>0.50420446766320082</v>
      </c>
      <c r="AJ177" s="96">
        <f t="shared" si="57"/>
        <v>0.64041510534900825</v>
      </c>
      <c r="AK177" s="96">
        <f t="shared" si="58"/>
        <v>0.5563819296799416</v>
      </c>
    </row>
    <row r="178" spans="1:37" x14ac:dyDescent="0.15">
      <c r="A178" s="10">
        <f>A176+1</f>
        <v>2023</v>
      </c>
      <c r="B178" s="10">
        <v>0</v>
      </c>
      <c r="C178" s="10">
        <v>0.44</v>
      </c>
      <c r="D178" s="96">
        <f>5/12*5</f>
        <v>2.0833333333333335</v>
      </c>
      <c r="E178" s="96">
        <f t="shared" si="45"/>
        <v>0.91666666666666674</v>
      </c>
      <c r="F178" s="96">
        <f t="shared" si="48"/>
        <v>1.666666666666667</v>
      </c>
      <c r="G178" s="96">
        <f t="shared" si="49"/>
        <v>1.5366666666666668</v>
      </c>
      <c r="H178" s="96">
        <f t="shared" si="50"/>
        <v>1.1541666666666668</v>
      </c>
      <c r="I178" s="94">
        <f>'Modell During mining'!$G172/1000000*A$40</f>
        <v>0.77325655555555572</v>
      </c>
      <c r="J178" s="94">
        <f>'Modell During mining'!$D172</f>
        <v>3.2575813202144065E-4</v>
      </c>
      <c r="K178" s="93">
        <v>0</v>
      </c>
      <c r="L178" s="93">
        <v>0</v>
      </c>
      <c r="M178" s="93">
        <v>0</v>
      </c>
      <c r="N178" s="93">
        <v>0</v>
      </c>
      <c r="O178" s="93">
        <v>1.26</v>
      </c>
      <c r="P178" s="93">
        <v>0.19</v>
      </c>
      <c r="Q178" s="93">
        <v>0</v>
      </c>
      <c r="R178" s="93">
        <v>0</v>
      </c>
      <c r="S178" s="93">
        <v>0.36</v>
      </c>
      <c r="T178" s="98">
        <f>AF178</f>
        <v>0.69817682919299218</v>
      </c>
      <c r="U178" s="93">
        <v>25.21</v>
      </c>
      <c r="V178" s="98">
        <f t="shared" si="51"/>
        <v>0.52585079257661815</v>
      </c>
      <c r="W178" s="93">
        <v>21.42</v>
      </c>
      <c r="X178" s="98">
        <f t="shared" si="52"/>
        <v>0.52585079257661815</v>
      </c>
      <c r="Y178" s="93">
        <v>0.11</v>
      </c>
      <c r="Z178" s="98">
        <f t="shared" si="53"/>
        <v>0.52585079257661815</v>
      </c>
      <c r="AA178" s="93">
        <v>5.8</v>
      </c>
      <c r="AB178" s="98">
        <f t="shared" si="54"/>
        <v>0.52585079257661815</v>
      </c>
      <c r="AC178" s="93">
        <v>1.7</v>
      </c>
      <c r="AD178" s="98">
        <f t="shared" si="55"/>
        <v>0.52585079257661815</v>
      </c>
      <c r="AE178" s="93">
        <v>1.84</v>
      </c>
      <c r="AF178" s="96">
        <f t="shared" si="56"/>
        <v>0.69817682919299218</v>
      </c>
      <c r="AG178" s="10">
        <f t="shared" si="46"/>
        <v>7.97</v>
      </c>
      <c r="AH178" s="95">
        <f t="shared" si="47"/>
        <v>2.033256555555556</v>
      </c>
      <c r="AI178" s="96">
        <f t="shared" si="59"/>
        <v>0.69817682919299218</v>
      </c>
      <c r="AJ178" s="96">
        <f t="shared" si="57"/>
        <v>0.83367311962764368</v>
      </c>
      <c r="AK178" s="96">
        <f t="shared" si="58"/>
        <v>0.75008065012562075</v>
      </c>
    </row>
    <row r="179" spans="1:37" x14ac:dyDescent="0.15">
      <c r="A179" s="10">
        <f>A178+0.5</f>
        <v>2023.5</v>
      </c>
      <c r="B179" s="10">
        <v>1</v>
      </c>
      <c r="C179" s="10">
        <v>0.44</v>
      </c>
      <c r="D179" s="96">
        <f>5.5/12*7</f>
        <v>3.208333333333333</v>
      </c>
      <c r="E179" s="96">
        <f t="shared" si="45"/>
        <v>1.4116666666666666</v>
      </c>
      <c r="F179" s="96">
        <f t="shared" si="48"/>
        <v>2.5666666666666664</v>
      </c>
      <c r="G179" s="96">
        <f t="shared" si="49"/>
        <v>2.3664666666666663</v>
      </c>
      <c r="H179" s="96">
        <f t="shared" si="50"/>
        <v>1.7774166666666666</v>
      </c>
      <c r="I179" s="94">
        <f>'Modell During mining'!$G173/1000000*A$40</f>
        <v>1.1271638000000004</v>
      </c>
      <c r="J179" s="94">
        <f>'Modell During mining'!$D173</f>
        <v>0.79555386567004072</v>
      </c>
      <c r="K179" s="93">
        <v>0.95</v>
      </c>
      <c r="L179" s="93">
        <v>0.41</v>
      </c>
      <c r="M179" s="93">
        <v>0.31</v>
      </c>
      <c r="N179" s="93">
        <v>0.41</v>
      </c>
      <c r="O179" s="93">
        <v>1.26</v>
      </c>
      <c r="P179" s="93">
        <v>0.19</v>
      </c>
      <c r="Q179" s="93">
        <v>1.6</v>
      </c>
      <c r="R179" s="93">
        <v>0</v>
      </c>
      <c r="S179" s="93">
        <v>0.36</v>
      </c>
      <c r="T179" s="98">
        <f>AI178</f>
        <v>0.69817682919299218</v>
      </c>
      <c r="U179" s="93">
        <v>25.21</v>
      </c>
      <c r="V179" s="98">
        <f t="shared" si="51"/>
        <v>0.60591676847614984</v>
      </c>
      <c r="W179" s="93">
        <v>21.42</v>
      </c>
      <c r="X179" s="98">
        <f t="shared" si="52"/>
        <v>0.60591676847614984</v>
      </c>
      <c r="Y179" s="93">
        <v>0.11</v>
      </c>
      <c r="Z179" s="98">
        <f t="shared" si="53"/>
        <v>0.60591676847614984</v>
      </c>
      <c r="AA179" s="93">
        <v>5.8</v>
      </c>
      <c r="AB179" s="98">
        <f t="shared" si="54"/>
        <v>0.60591676847614984</v>
      </c>
      <c r="AC179" s="93">
        <v>1.7</v>
      </c>
      <c r="AD179" s="98">
        <f t="shared" si="55"/>
        <v>0.60591676847614984</v>
      </c>
      <c r="AE179" s="93">
        <v>1.84</v>
      </c>
      <c r="AF179" s="96">
        <f t="shared" si="56"/>
        <v>0.52585079257661815</v>
      </c>
      <c r="AG179" s="10">
        <f t="shared" si="46"/>
        <v>7.97</v>
      </c>
      <c r="AH179" s="95">
        <f t="shared" si="47"/>
        <v>5.2471638000000009</v>
      </c>
      <c r="AI179" s="96">
        <f t="shared" si="59"/>
        <v>0.52585079257661815</v>
      </c>
      <c r="AJ179" s="96">
        <f t="shared" si="57"/>
        <v>0.65888399894459393</v>
      </c>
      <c r="AK179" s="96">
        <f t="shared" si="58"/>
        <v>0.57681109340306047</v>
      </c>
    </row>
    <row r="180" spans="1:37" x14ac:dyDescent="0.15">
      <c r="A180" s="10">
        <f>A178+1</f>
        <v>2024</v>
      </c>
      <c r="B180" s="10">
        <v>0</v>
      </c>
      <c r="C180" s="10">
        <v>0.44</v>
      </c>
      <c r="D180" s="96">
        <f>5/12*5</f>
        <v>2.0833333333333335</v>
      </c>
      <c r="E180" s="96">
        <f t="shared" si="45"/>
        <v>0.91666666666666674</v>
      </c>
      <c r="F180" s="96">
        <f t="shared" si="48"/>
        <v>1.666666666666667</v>
      </c>
      <c r="G180" s="96">
        <f t="shared" si="49"/>
        <v>1.5366666666666668</v>
      </c>
      <c r="H180" s="96">
        <f t="shared" si="50"/>
        <v>1.1541666666666668</v>
      </c>
      <c r="I180" s="94">
        <f>'Modell During mining'!$G174/1000000*A$40</f>
        <v>0.81300099999999997</v>
      </c>
      <c r="J180" s="94">
        <f>'Modell During mining'!$D174</f>
        <v>3.2840980515399121E-4</v>
      </c>
      <c r="K180" s="93">
        <v>0</v>
      </c>
      <c r="L180" s="93">
        <v>0</v>
      </c>
      <c r="M180" s="93">
        <v>0</v>
      </c>
      <c r="N180" s="93">
        <v>0</v>
      </c>
      <c r="O180" s="93">
        <v>1.26</v>
      </c>
      <c r="P180" s="93">
        <v>0.19</v>
      </c>
      <c r="Q180" s="93">
        <v>0</v>
      </c>
      <c r="R180" s="93">
        <v>0</v>
      </c>
      <c r="S180" s="93">
        <v>0.36</v>
      </c>
      <c r="T180" s="98">
        <f>AF180</f>
        <v>0.60591676847614984</v>
      </c>
      <c r="U180" s="93">
        <v>25.21</v>
      </c>
      <c r="V180" s="98">
        <f t="shared" si="51"/>
        <v>0.48168594226452305</v>
      </c>
      <c r="W180" s="93">
        <v>21.42</v>
      </c>
      <c r="X180" s="98">
        <f t="shared" si="52"/>
        <v>0.48168594226452305</v>
      </c>
      <c r="Y180" s="93">
        <v>0.11</v>
      </c>
      <c r="Z180" s="98">
        <f t="shared" si="53"/>
        <v>0.48168594226452305</v>
      </c>
      <c r="AA180" s="93">
        <v>5.8</v>
      </c>
      <c r="AB180" s="98">
        <f t="shared" si="54"/>
        <v>0.48168594226452305</v>
      </c>
      <c r="AC180" s="93">
        <v>1.7</v>
      </c>
      <c r="AD180" s="98">
        <f t="shared" si="55"/>
        <v>0.48168594226452305</v>
      </c>
      <c r="AE180" s="93">
        <v>1.84</v>
      </c>
      <c r="AF180" s="96">
        <f t="shared" si="56"/>
        <v>0.60591676847614984</v>
      </c>
      <c r="AG180" s="10">
        <f t="shared" si="46"/>
        <v>7.97</v>
      </c>
      <c r="AH180" s="95">
        <f t="shared" si="47"/>
        <v>2.0730010000000001</v>
      </c>
      <c r="AI180" s="96">
        <f t="shared" si="59"/>
        <v>0.60591676847614984</v>
      </c>
      <c r="AJ180" s="96">
        <f t="shared" si="57"/>
        <v>0.72345454782028518</v>
      </c>
      <c r="AK180" s="96">
        <f t="shared" si="58"/>
        <v>0.65094132104749192</v>
      </c>
    </row>
    <row r="181" spans="1:37" x14ac:dyDescent="0.15">
      <c r="A181" s="10">
        <f>A180+0.5</f>
        <v>2024.5</v>
      </c>
      <c r="B181" s="10">
        <v>1</v>
      </c>
      <c r="C181" s="10">
        <v>0.44</v>
      </c>
      <c r="D181" s="96">
        <f>5.5/12*7</f>
        <v>3.208333333333333</v>
      </c>
      <c r="E181" s="96">
        <f t="shared" si="45"/>
        <v>1.4116666666666666</v>
      </c>
      <c r="F181" s="96">
        <f t="shared" si="48"/>
        <v>2.5666666666666664</v>
      </c>
      <c r="G181" s="96">
        <f t="shared" si="49"/>
        <v>2.3664666666666663</v>
      </c>
      <c r="H181" s="96">
        <f t="shared" si="50"/>
        <v>1.7774166666666666</v>
      </c>
      <c r="I181" s="94">
        <f>'Modell During mining'!$G175/1000000*A$40</f>
        <v>1.1864852222222226</v>
      </c>
      <c r="J181" s="94">
        <f>'Modell During mining'!$D175</f>
        <v>0.75952205566637587</v>
      </c>
      <c r="K181" s="93">
        <v>0.95</v>
      </c>
      <c r="L181" s="93">
        <v>0.41</v>
      </c>
      <c r="M181" s="93">
        <v>0.31</v>
      </c>
      <c r="N181" s="93">
        <v>0.41</v>
      </c>
      <c r="O181" s="93">
        <v>1.26</v>
      </c>
      <c r="P181" s="93">
        <v>0.19</v>
      </c>
      <c r="Q181" s="93">
        <v>1.6</v>
      </c>
      <c r="R181" s="93">
        <v>0</v>
      </c>
      <c r="S181" s="93">
        <v>0.36</v>
      </c>
      <c r="T181" s="98">
        <f>AI180</f>
        <v>0.60591676847614984</v>
      </c>
      <c r="U181" s="93">
        <v>25.21</v>
      </c>
      <c r="V181" s="98">
        <f t="shared" si="51"/>
        <v>0.59023091429781682</v>
      </c>
      <c r="W181" s="93">
        <v>21.42</v>
      </c>
      <c r="X181" s="98">
        <f t="shared" si="52"/>
        <v>0.59023091429781682</v>
      </c>
      <c r="Y181" s="93">
        <v>0.11</v>
      </c>
      <c r="Z181" s="98">
        <f t="shared" si="53"/>
        <v>0.59023091429781682</v>
      </c>
      <c r="AA181" s="93">
        <v>5.8</v>
      </c>
      <c r="AB181" s="98">
        <f t="shared" si="54"/>
        <v>0.59023091429781682</v>
      </c>
      <c r="AC181" s="93">
        <v>1.7</v>
      </c>
      <c r="AD181" s="98">
        <f t="shared" si="55"/>
        <v>0.59023091429781682</v>
      </c>
      <c r="AE181" s="93">
        <v>1.84</v>
      </c>
      <c r="AF181" s="96">
        <f t="shared" si="56"/>
        <v>0.48168594226452305</v>
      </c>
      <c r="AG181" s="10">
        <f t="shared" si="46"/>
        <v>7.97</v>
      </c>
      <c r="AH181" s="95">
        <f t="shared" si="47"/>
        <v>5.3064852222222232</v>
      </c>
      <c r="AI181" s="96">
        <f t="shared" si="59"/>
        <v>0.48168594226452305</v>
      </c>
      <c r="AJ181" s="96">
        <f t="shared" si="57"/>
        <v>0.61171713677003925</v>
      </c>
      <c r="AK181" s="96">
        <f t="shared" si="58"/>
        <v>0.5314962788694586</v>
      </c>
    </row>
    <row r="182" spans="1:37" x14ac:dyDescent="0.15">
      <c r="A182" s="10">
        <f>A180+1</f>
        <v>2025</v>
      </c>
      <c r="B182" s="10">
        <v>0</v>
      </c>
      <c r="C182" s="10">
        <v>0.44</v>
      </c>
      <c r="D182" s="96">
        <f>5/12*5</f>
        <v>2.0833333333333335</v>
      </c>
      <c r="E182" s="96">
        <f t="shared" si="45"/>
        <v>0.91666666666666674</v>
      </c>
      <c r="F182" s="96">
        <f t="shared" si="48"/>
        <v>1.666666666666667</v>
      </c>
      <c r="G182" s="96">
        <f t="shared" si="49"/>
        <v>1.5366666666666668</v>
      </c>
      <c r="H182" s="96">
        <f t="shared" si="50"/>
        <v>1.1541666666666668</v>
      </c>
      <c r="I182" s="94">
        <f>'Modell During mining'!$G176/1000000*A$40</f>
        <v>0.85274544444444444</v>
      </c>
      <c r="J182" s="94">
        <f>'Modell During mining'!$D176</f>
        <v>3.3081430188427991E-4</v>
      </c>
      <c r="K182" s="93">
        <v>0</v>
      </c>
      <c r="L182" s="93">
        <v>0</v>
      </c>
      <c r="M182" s="93">
        <v>0</v>
      </c>
      <c r="N182" s="93">
        <v>0</v>
      </c>
      <c r="O182" s="93">
        <v>1.26</v>
      </c>
      <c r="P182" s="93">
        <v>0.19</v>
      </c>
      <c r="Q182" s="93">
        <v>0</v>
      </c>
      <c r="R182" s="93">
        <v>0</v>
      </c>
      <c r="S182" s="93">
        <v>0.36</v>
      </c>
      <c r="T182" s="98">
        <f>AF182</f>
        <v>0.59023091429781682</v>
      </c>
      <c r="U182" s="93">
        <v>25.21</v>
      </c>
      <c r="V182" s="98">
        <f t="shared" si="51"/>
        <v>0.46838039164590056</v>
      </c>
      <c r="W182" s="93">
        <v>21.42</v>
      </c>
      <c r="X182" s="98">
        <f t="shared" si="52"/>
        <v>0.46838039164590056</v>
      </c>
      <c r="Y182" s="93">
        <v>0.11</v>
      </c>
      <c r="Z182" s="98">
        <f t="shared" si="53"/>
        <v>0.46838039164590056</v>
      </c>
      <c r="AA182" s="93">
        <v>5.8</v>
      </c>
      <c r="AB182" s="98">
        <f t="shared" si="54"/>
        <v>0.46838039164590056</v>
      </c>
      <c r="AC182" s="93">
        <v>1.7</v>
      </c>
      <c r="AD182" s="98">
        <f t="shared" si="55"/>
        <v>0.46838039164590056</v>
      </c>
      <c r="AE182" s="93">
        <v>1.84</v>
      </c>
      <c r="AF182" s="96">
        <f t="shared" si="56"/>
        <v>0.59023091429781682</v>
      </c>
      <c r="AG182" s="10">
        <f t="shared" si="46"/>
        <v>7.97</v>
      </c>
      <c r="AH182" s="95">
        <f t="shared" si="47"/>
        <v>2.1127454444444442</v>
      </c>
      <c r="AI182" s="96">
        <f t="shared" si="59"/>
        <v>0.59023091429781682</v>
      </c>
      <c r="AJ182" s="96">
        <f t="shared" si="57"/>
        <v>0.70583042548856545</v>
      </c>
      <c r="AK182" s="96">
        <f t="shared" si="58"/>
        <v>0.63451298511685372</v>
      </c>
    </row>
    <row r="183" spans="1:37" x14ac:dyDescent="0.15">
      <c r="A183" s="10">
        <f>A182+0.5</f>
        <v>2025.5</v>
      </c>
      <c r="B183" s="10">
        <v>1</v>
      </c>
      <c r="C183" s="10">
        <v>0.44</v>
      </c>
      <c r="D183" s="96">
        <f>5.5/12*7</f>
        <v>3.208333333333333</v>
      </c>
      <c r="E183" s="96">
        <f t="shared" si="45"/>
        <v>1.4116666666666666</v>
      </c>
      <c r="F183" s="96">
        <f t="shared" si="48"/>
        <v>2.5666666666666664</v>
      </c>
      <c r="G183" s="96">
        <f t="shared" si="49"/>
        <v>2.3664666666666663</v>
      </c>
      <c r="H183" s="96">
        <f t="shared" si="50"/>
        <v>1.7774166666666666</v>
      </c>
      <c r="I183" s="94">
        <f>'Modell During mining'!$G177/1000000*A$40</f>
        <v>1.2458066444444451</v>
      </c>
      <c r="J183" s="94">
        <f>'Modell During mining'!$D177</f>
        <v>0.72692169021984232</v>
      </c>
      <c r="K183" s="93">
        <v>0.95</v>
      </c>
      <c r="L183" s="93">
        <v>0.41</v>
      </c>
      <c r="M183" s="93">
        <v>0.31</v>
      </c>
      <c r="N183" s="93">
        <v>0.41</v>
      </c>
      <c r="O183" s="93">
        <v>1.26</v>
      </c>
      <c r="P183" s="93">
        <v>0.19</v>
      </c>
      <c r="Q183" s="93">
        <v>1.6</v>
      </c>
      <c r="R183" s="93">
        <v>0</v>
      </c>
      <c r="S183" s="93">
        <v>0.36</v>
      </c>
      <c r="T183" s="98">
        <f>AI182</f>
        <v>0.59023091429781682</v>
      </c>
      <c r="U183" s="93">
        <v>25.21</v>
      </c>
      <c r="V183" s="98">
        <f t="shared" si="51"/>
        <v>0.57947193978740541</v>
      </c>
      <c r="W183" s="93">
        <v>21.42</v>
      </c>
      <c r="X183" s="98">
        <f t="shared" si="52"/>
        <v>0.57947193978740541</v>
      </c>
      <c r="Y183" s="93">
        <v>0.11</v>
      </c>
      <c r="Z183" s="98">
        <f t="shared" si="53"/>
        <v>0.57947193978740541</v>
      </c>
      <c r="AA183" s="93">
        <v>5.8</v>
      </c>
      <c r="AB183" s="98">
        <f t="shared" si="54"/>
        <v>0.57947193978740541</v>
      </c>
      <c r="AC183" s="93">
        <v>1.7</v>
      </c>
      <c r="AD183" s="98">
        <f t="shared" si="55"/>
        <v>0.57947193978740541</v>
      </c>
      <c r="AE183" s="93">
        <v>1.84</v>
      </c>
      <c r="AF183" s="96">
        <f t="shared" si="56"/>
        <v>0.46838039164590056</v>
      </c>
      <c r="AG183" s="10">
        <f t="shared" si="46"/>
        <v>7.97</v>
      </c>
      <c r="AH183" s="95">
        <f t="shared" si="47"/>
        <v>5.3658066444444454</v>
      </c>
      <c r="AI183" s="96">
        <f t="shared" si="59"/>
        <v>0.46838039164590056</v>
      </c>
      <c r="AJ183" s="96">
        <f t="shared" si="57"/>
        <v>0.59556965669404904</v>
      </c>
      <c r="AK183" s="96">
        <f t="shared" si="58"/>
        <v>0.51710208591837681</v>
      </c>
    </row>
    <row r="184" spans="1:37" x14ac:dyDescent="0.15">
      <c r="A184" s="10">
        <f>A182+1</f>
        <v>2026</v>
      </c>
      <c r="B184" s="10">
        <v>0</v>
      </c>
      <c r="C184" s="10">
        <v>0.44</v>
      </c>
      <c r="D184" s="96">
        <f>5/12*5</f>
        <v>2.0833333333333335</v>
      </c>
      <c r="E184" s="96">
        <f t="shared" si="45"/>
        <v>0.91666666666666674</v>
      </c>
      <c r="F184" s="96">
        <f t="shared" si="48"/>
        <v>1.666666666666667</v>
      </c>
      <c r="G184" s="96">
        <f t="shared" si="49"/>
        <v>1.5366666666666668</v>
      </c>
      <c r="H184" s="96">
        <f t="shared" si="50"/>
        <v>1.1541666666666668</v>
      </c>
      <c r="I184" s="94">
        <f>'Modell During mining'!$G178/1000000*A$40</f>
        <v>0.8924898888888888</v>
      </c>
      <c r="J184" s="94">
        <f>'Modell During mining'!$D178</f>
        <v>3.3300464406132708E-4</v>
      </c>
      <c r="K184" s="93">
        <v>0</v>
      </c>
      <c r="L184" s="93">
        <v>0</v>
      </c>
      <c r="M184" s="93">
        <v>0</v>
      </c>
      <c r="N184" s="93">
        <v>0</v>
      </c>
      <c r="O184" s="93">
        <v>1.26</v>
      </c>
      <c r="P184" s="93">
        <v>0.19</v>
      </c>
      <c r="Q184" s="93">
        <v>0</v>
      </c>
      <c r="R184" s="93">
        <v>0</v>
      </c>
      <c r="S184" s="93">
        <v>0.36</v>
      </c>
      <c r="T184" s="98">
        <f>AF184</f>
        <v>0.57947193978740541</v>
      </c>
      <c r="U184" s="93">
        <v>25.21</v>
      </c>
      <c r="V184" s="98">
        <f t="shared" si="51"/>
        <v>0.45736424266533393</v>
      </c>
      <c r="W184" s="93">
        <v>21.42</v>
      </c>
      <c r="X184" s="98">
        <f t="shared" si="52"/>
        <v>0.45736424266533393</v>
      </c>
      <c r="Y184" s="93">
        <v>0.11</v>
      </c>
      <c r="Z184" s="98">
        <f t="shared" si="53"/>
        <v>0.45736424266533393</v>
      </c>
      <c r="AA184" s="93">
        <v>5.8</v>
      </c>
      <c r="AB184" s="98">
        <f t="shared" si="54"/>
        <v>0.45736424266533393</v>
      </c>
      <c r="AC184" s="93">
        <v>1.7</v>
      </c>
      <c r="AD184" s="98">
        <f t="shared" si="55"/>
        <v>0.45736424266533393</v>
      </c>
      <c r="AE184" s="93">
        <v>1.84</v>
      </c>
      <c r="AF184" s="96">
        <f t="shared" si="56"/>
        <v>0.57947193978740541</v>
      </c>
      <c r="AG184" s="10">
        <f t="shared" si="46"/>
        <v>7.97</v>
      </c>
      <c r="AH184" s="95">
        <f t="shared" si="47"/>
        <v>2.1524898888888888</v>
      </c>
      <c r="AI184" s="96">
        <f t="shared" si="59"/>
        <v>0.57947193978740541</v>
      </c>
      <c r="AJ184" s="96">
        <f t="shared" si="57"/>
        <v>0.69320133225599412</v>
      </c>
      <c r="AK184" s="96">
        <f t="shared" si="58"/>
        <v>0.62303763448303418</v>
      </c>
    </row>
    <row r="185" spans="1:37" x14ac:dyDescent="0.15">
      <c r="A185" s="10">
        <f>A184+0.5</f>
        <v>2026.5</v>
      </c>
      <c r="B185" s="10">
        <v>1</v>
      </c>
      <c r="C185" s="10">
        <v>0.44</v>
      </c>
      <c r="D185" s="96">
        <f>5.5/12*7</f>
        <v>3.208333333333333</v>
      </c>
      <c r="E185" s="96">
        <f t="shared" si="45"/>
        <v>1.4116666666666666</v>
      </c>
      <c r="F185" s="96">
        <f t="shared" si="48"/>
        <v>2.5666666666666664</v>
      </c>
      <c r="G185" s="96">
        <f t="shared" si="49"/>
        <v>2.3664666666666663</v>
      </c>
      <c r="H185" s="96">
        <f t="shared" si="50"/>
        <v>1.7774166666666666</v>
      </c>
      <c r="I185" s="94">
        <f>'Modell During mining'!$G179/1000000*A$40</f>
        <v>1.3051280666666671</v>
      </c>
      <c r="J185" s="94">
        <f>'Modell During mining'!$D179</f>
        <v>0.69728486542904189</v>
      </c>
      <c r="K185" s="93">
        <v>0.95</v>
      </c>
      <c r="L185" s="93">
        <v>0.41</v>
      </c>
      <c r="M185" s="93">
        <v>0.31</v>
      </c>
      <c r="N185" s="93">
        <v>0.41</v>
      </c>
      <c r="O185" s="93">
        <v>1.26</v>
      </c>
      <c r="P185" s="93">
        <v>0.19</v>
      </c>
      <c r="Q185" s="93">
        <v>1.6</v>
      </c>
      <c r="R185" s="93">
        <v>0</v>
      </c>
      <c r="S185" s="93">
        <v>0.36</v>
      </c>
      <c r="T185" s="98">
        <f>AI184</f>
        <v>0.57947193978740541</v>
      </c>
      <c r="U185" s="93">
        <v>25.21</v>
      </c>
      <c r="V185" s="98">
        <f t="shared" si="51"/>
        <v>0.56937888769406952</v>
      </c>
      <c r="W185" s="93">
        <v>21.42</v>
      </c>
      <c r="X185" s="98">
        <f t="shared" si="52"/>
        <v>0.56937888769406952</v>
      </c>
      <c r="Y185" s="93">
        <v>0.11</v>
      </c>
      <c r="Z185" s="98">
        <f t="shared" si="53"/>
        <v>0.56937888769406952</v>
      </c>
      <c r="AA185" s="93">
        <v>5.8</v>
      </c>
      <c r="AB185" s="98">
        <f t="shared" si="54"/>
        <v>0.56937888769406952</v>
      </c>
      <c r="AC185" s="93">
        <v>1.7</v>
      </c>
      <c r="AD185" s="98">
        <f t="shared" si="55"/>
        <v>0.56937888769406952</v>
      </c>
      <c r="AE185" s="93">
        <v>1.84</v>
      </c>
      <c r="AF185" s="96">
        <f t="shared" si="56"/>
        <v>0.45736424266533393</v>
      </c>
      <c r="AG185" s="10">
        <f t="shared" si="46"/>
        <v>7.97</v>
      </c>
      <c r="AH185" s="95">
        <f t="shared" si="47"/>
        <v>5.4251280666666677</v>
      </c>
      <c r="AI185" s="96">
        <f t="shared" si="59"/>
        <v>0.45736424266533393</v>
      </c>
      <c r="AJ185" s="96">
        <f t="shared" si="57"/>
        <v>0.5818581120760582</v>
      </c>
      <c r="AK185" s="96">
        <f t="shared" si="58"/>
        <v>0.5050534265121841</v>
      </c>
    </row>
    <row r="186" spans="1:37" x14ac:dyDescent="0.15">
      <c r="A186" s="10">
        <f>A184+1</f>
        <v>2027</v>
      </c>
      <c r="B186" s="10">
        <v>0</v>
      </c>
      <c r="C186" s="10">
        <v>0.44</v>
      </c>
      <c r="D186" s="96">
        <f>5/12*5</f>
        <v>2.0833333333333335</v>
      </c>
      <c r="E186" s="96">
        <f t="shared" si="45"/>
        <v>0.91666666666666674</v>
      </c>
      <c r="F186" s="96">
        <f t="shared" si="48"/>
        <v>1.666666666666667</v>
      </c>
      <c r="G186" s="96">
        <f t="shared" si="49"/>
        <v>1.5366666666666668</v>
      </c>
      <c r="H186" s="96">
        <f t="shared" si="50"/>
        <v>1.1541666666666668</v>
      </c>
      <c r="I186" s="94">
        <f>'Modell During mining'!$G180/1000000*A$40</f>
        <v>0.93223433333333328</v>
      </c>
      <c r="J186" s="94">
        <f>'Modell During mining'!$D180</f>
        <v>3.3500822218161884E-4</v>
      </c>
      <c r="K186" s="93">
        <v>0</v>
      </c>
      <c r="L186" s="93">
        <v>0</v>
      </c>
      <c r="M186" s="93">
        <v>0</v>
      </c>
      <c r="N186" s="93">
        <v>0</v>
      </c>
      <c r="O186" s="93">
        <v>1.26</v>
      </c>
      <c r="P186" s="93">
        <v>0.19</v>
      </c>
      <c r="Q186" s="93">
        <v>0</v>
      </c>
      <c r="R186" s="93">
        <v>0</v>
      </c>
      <c r="S186" s="93">
        <v>0.36</v>
      </c>
      <c r="T186" s="98">
        <f>AF186</f>
        <v>0.56937888769406952</v>
      </c>
      <c r="U186" s="93">
        <v>25.21</v>
      </c>
      <c r="V186" s="98">
        <f t="shared" si="51"/>
        <v>0.4469291516244685</v>
      </c>
      <c r="W186" s="93">
        <v>21.42</v>
      </c>
      <c r="X186" s="98">
        <f t="shared" si="52"/>
        <v>0.4469291516244685</v>
      </c>
      <c r="Y186" s="93">
        <v>0.11</v>
      </c>
      <c r="Z186" s="98">
        <f t="shared" si="53"/>
        <v>0.4469291516244685</v>
      </c>
      <c r="AA186" s="93">
        <v>5.8</v>
      </c>
      <c r="AB186" s="98">
        <f t="shared" si="54"/>
        <v>0.4469291516244685</v>
      </c>
      <c r="AC186" s="93">
        <v>1.7</v>
      </c>
      <c r="AD186" s="98">
        <f t="shared" si="55"/>
        <v>0.4469291516244685</v>
      </c>
      <c r="AE186" s="93">
        <v>1.84</v>
      </c>
      <c r="AF186" s="96">
        <f t="shared" si="56"/>
        <v>0.56937888769406952</v>
      </c>
      <c r="AG186" s="10">
        <f t="shared" si="46"/>
        <v>7.97</v>
      </c>
      <c r="AH186" s="95">
        <f t="shared" si="47"/>
        <v>2.1922343333333334</v>
      </c>
      <c r="AI186" s="96">
        <f t="shared" si="59"/>
        <v>0.56937888769406952</v>
      </c>
      <c r="AJ186" s="96">
        <f t="shared" si="57"/>
        <v>0.68130263340138397</v>
      </c>
      <c r="AK186" s="96">
        <f t="shared" si="58"/>
        <v>0.61225290318679071</v>
      </c>
    </row>
    <row r="187" spans="1:37" x14ac:dyDescent="0.15">
      <c r="A187" s="10">
        <f>A186+0.5</f>
        <v>2027.5</v>
      </c>
      <c r="B187" s="10">
        <v>1</v>
      </c>
      <c r="C187" s="10">
        <v>0.44</v>
      </c>
      <c r="D187" s="96">
        <f>5.5/12*7</f>
        <v>3.208333333333333</v>
      </c>
      <c r="E187" s="96">
        <f t="shared" si="45"/>
        <v>1.4116666666666666</v>
      </c>
      <c r="F187" s="96">
        <f t="shared" si="48"/>
        <v>2.5666666666666664</v>
      </c>
      <c r="G187" s="96">
        <f t="shared" si="49"/>
        <v>2.3664666666666663</v>
      </c>
      <c r="H187" s="96">
        <f t="shared" si="50"/>
        <v>1.7774166666666666</v>
      </c>
      <c r="I187" s="94">
        <f>'Modell During mining'!$G181/1000000*A$40</f>
        <v>1.3644494888888896</v>
      </c>
      <c r="J187" s="94">
        <f>'Modell During mining'!$D181</f>
        <v>0.67022504859794652</v>
      </c>
      <c r="K187" s="93">
        <v>0.95</v>
      </c>
      <c r="L187" s="93">
        <v>0.41</v>
      </c>
      <c r="M187" s="93">
        <v>0.31</v>
      </c>
      <c r="N187" s="93">
        <v>0.41</v>
      </c>
      <c r="O187" s="93">
        <v>1.26</v>
      </c>
      <c r="P187" s="93">
        <v>0.19</v>
      </c>
      <c r="Q187" s="93">
        <v>1.6</v>
      </c>
      <c r="R187" s="93">
        <v>0</v>
      </c>
      <c r="S187" s="93">
        <v>0.36</v>
      </c>
      <c r="T187" s="98">
        <f>AI186</f>
        <v>0.56937888769406952</v>
      </c>
      <c r="U187" s="93">
        <v>25.21</v>
      </c>
      <c r="V187" s="98">
        <f t="shared" si="51"/>
        <v>0.55968166216063919</v>
      </c>
      <c r="W187" s="93">
        <v>21.42</v>
      </c>
      <c r="X187" s="98">
        <f t="shared" si="52"/>
        <v>0.55968166216063919</v>
      </c>
      <c r="Y187" s="93">
        <v>0.11</v>
      </c>
      <c r="Z187" s="98">
        <f t="shared" si="53"/>
        <v>0.55968166216063919</v>
      </c>
      <c r="AA187" s="93">
        <v>5.8</v>
      </c>
      <c r="AB187" s="98">
        <f t="shared" si="54"/>
        <v>0.55968166216063919</v>
      </c>
      <c r="AC187" s="93">
        <v>1.7</v>
      </c>
      <c r="AD187" s="98">
        <f t="shared" si="55"/>
        <v>0.55968166216063919</v>
      </c>
      <c r="AE187" s="93">
        <v>1.84</v>
      </c>
      <c r="AF187" s="96">
        <f t="shared" si="56"/>
        <v>0.4469291516244685</v>
      </c>
      <c r="AG187" s="10">
        <f t="shared" si="46"/>
        <v>7.97</v>
      </c>
      <c r="AH187" s="95">
        <f t="shared" si="47"/>
        <v>5.4844494888888899</v>
      </c>
      <c r="AI187" s="96">
        <f t="shared" si="59"/>
        <v>0.4469291516244685</v>
      </c>
      <c r="AJ187" s="96">
        <f t="shared" si="57"/>
        <v>0.5688621433004255</v>
      </c>
      <c r="AK187" s="96">
        <f t="shared" si="58"/>
        <v>0.49363735408098425</v>
      </c>
    </row>
    <row r="188" spans="1:37" x14ac:dyDescent="0.15">
      <c r="A188" s="10">
        <f>A186+1</f>
        <v>2028</v>
      </c>
      <c r="B188" s="10">
        <v>0</v>
      </c>
      <c r="C188" s="10">
        <v>0.44</v>
      </c>
      <c r="D188" s="96">
        <f>5/12*5</f>
        <v>2.0833333333333335</v>
      </c>
      <c r="E188" s="96">
        <f t="shared" si="45"/>
        <v>0.91666666666666674</v>
      </c>
      <c r="F188" s="96">
        <f t="shared" si="48"/>
        <v>1.666666666666667</v>
      </c>
      <c r="G188" s="96">
        <f t="shared" si="49"/>
        <v>1.5366666666666668</v>
      </c>
      <c r="H188" s="96">
        <f t="shared" si="50"/>
        <v>1.1541666666666668</v>
      </c>
      <c r="I188" s="94">
        <f>'Modell During mining'!$G182/1000000*A$40</f>
        <v>0.97197877777777764</v>
      </c>
      <c r="J188" s="94">
        <f>'Modell During mining'!$D182</f>
        <v>3.3684794672586012E-4</v>
      </c>
      <c r="K188" s="93">
        <v>0</v>
      </c>
      <c r="L188" s="93">
        <v>0</v>
      </c>
      <c r="M188" s="93">
        <v>0</v>
      </c>
      <c r="N188" s="93">
        <v>0</v>
      </c>
      <c r="O188" s="93">
        <v>1.26</v>
      </c>
      <c r="P188" s="93">
        <v>0.19</v>
      </c>
      <c r="Q188" s="93">
        <v>0</v>
      </c>
      <c r="R188" s="93">
        <v>0</v>
      </c>
      <c r="S188" s="93">
        <v>0.36</v>
      </c>
      <c r="T188" s="98">
        <f>AF188</f>
        <v>0.55968166216063919</v>
      </c>
      <c r="U188" s="93">
        <v>25.21</v>
      </c>
      <c r="V188" s="98">
        <f t="shared" si="51"/>
        <v>0.43694734535182528</v>
      </c>
      <c r="W188" s="93">
        <v>21.42</v>
      </c>
      <c r="X188" s="98">
        <f t="shared" si="52"/>
        <v>0.43694734535182528</v>
      </c>
      <c r="Y188" s="93">
        <v>0.11</v>
      </c>
      <c r="Z188" s="98">
        <f t="shared" si="53"/>
        <v>0.43694734535182528</v>
      </c>
      <c r="AA188" s="93">
        <v>5.8</v>
      </c>
      <c r="AB188" s="98">
        <f t="shared" si="54"/>
        <v>0.43694734535182528</v>
      </c>
      <c r="AC188" s="93">
        <v>1.7</v>
      </c>
      <c r="AD188" s="98">
        <f t="shared" si="55"/>
        <v>0.43694734535182528</v>
      </c>
      <c r="AE188" s="93">
        <v>1.84</v>
      </c>
      <c r="AF188" s="96">
        <f t="shared" si="56"/>
        <v>0.55968166216063919</v>
      </c>
      <c r="AG188" s="10">
        <f t="shared" si="46"/>
        <v>7.97</v>
      </c>
      <c r="AH188" s="95">
        <f t="shared" si="47"/>
        <v>2.2319787777777775</v>
      </c>
      <c r="AI188" s="96">
        <f t="shared" si="59"/>
        <v>0.55968166216063919</v>
      </c>
      <c r="AJ188" s="96">
        <f t="shared" si="57"/>
        <v>0.66986082040893447</v>
      </c>
      <c r="AK188" s="96">
        <f t="shared" si="58"/>
        <v>0.6018873881025264</v>
      </c>
    </row>
    <row r="189" spans="1:37" x14ac:dyDescent="0.15">
      <c r="A189" s="10">
        <f>A188+0.5</f>
        <v>2028.5</v>
      </c>
      <c r="B189" s="10">
        <v>1</v>
      </c>
      <c r="C189" s="10">
        <v>0.44</v>
      </c>
      <c r="D189" s="96">
        <f>5.5/12*7</f>
        <v>3.208333333333333</v>
      </c>
      <c r="E189" s="96">
        <f t="shared" si="45"/>
        <v>1.4116666666666666</v>
      </c>
      <c r="F189" s="96">
        <f t="shared" si="48"/>
        <v>2.5666666666666664</v>
      </c>
      <c r="G189" s="96">
        <f t="shared" si="49"/>
        <v>2.3664666666666663</v>
      </c>
      <c r="H189" s="96">
        <f t="shared" si="50"/>
        <v>1.7774166666666666</v>
      </c>
      <c r="I189" s="94">
        <f>'Modell During mining'!$G183/1000000*A$40</f>
        <v>1.4237709111111116</v>
      </c>
      <c r="J189" s="94">
        <f>'Modell During mining'!$D183</f>
        <v>0.64542012657747871</v>
      </c>
      <c r="K189" s="93">
        <v>0.95</v>
      </c>
      <c r="L189" s="93">
        <v>0.41</v>
      </c>
      <c r="M189" s="93">
        <v>0.31</v>
      </c>
      <c r="N189" s="93">
        <v>0.41</v>
      </c>
      <c r="O189" s="93">
        <v>1.26</v>
      </c>
      <c r="P189" s="93">
        <v>0.19</v>
      </c>
      <c r="Q189" s="93">
        <v>1.6</v>
      </c>
      <c r="R189" s="93">
        <v>0</v>
      </c>
      <c r="S189" s="93">
        <v>0.36</v>
      </c>
      <c r="T189" s="98">
        <f>AI188</f>
        <v>0.55968166216063919</v>
      </c>
      <c r="U189" s="93">
        <v>25.21</v>
      </c>
      <c r="V189" s="98">
        <f t="shared" si="51"/>
        <v>0.5503444416337393</v>
      </c>
      <c r="W189" s="93">
        <v>21.42</v>
      </c>
      <c r="X189" s="98">
        <f t="shared" si="52"/>
        <v>0.5503444416337393</v>
      </c>
      <c r="Y189" s="93">
        <v>0.11</v>
      </c>
      <c r="Z189" s="98">
        <f t="shared" si="53"/>
        <v>0.5503444416337393</v>
      </c>
      <c r="AA189" s="93">
        <v>5.8</v>
      </c>
      <c r="AB189" s="98">
        <f t="shared" si="54"/>
        <v>0.5503444416337393</v>
      </c>
      <c r="AC189" s="93">
        <v>1.7</v>
      </c>
      <c r="AD189" s="98">
        <f t="shared" si="55"/>
        <v>0.5503444416337393</v>
      </c>
      <c r="AE189" s="93">
        <v>1.84</v>
      </c>
      <c r="AF189" s="96">
        <f t="shared" si="56"/>
        <v>0.43694734535182528</v>
      </c>
      <c r="AG189" s="10">
        <f t="shared" si="46"/>
        <v>7.97</v>
      </c>
      <c r="AH189" s="95">
        <f t="shared" si="47"/>
        <v>5.5437709111111122</v>
      </c>
      <c r="AI189" s="96">
        <f t="shared" si="59"/>
        <v>0.43694734535182528</v>
      </c>
      <c r="AJ189" s="96">
        <f t="shared" si="57"/>
        <v>0.5564432809707115</v>
      </c>
      <c r="AK189" s="96">
        <f t="shared" si="58"/>
        <v>0.48272199810905991</v>
      </c>
    </row>
    <row r="190" spans="1:37" x14ac:dyDescent="0.15">
      <c r="A190" s="10">
        <f>A188+1</f>
        <v>2029</v>
      </c>
      <c r="B190" s="10">
        <v>0</v>
      </c>
      <c r="C190" s="10">
        <v>0.44</v>
      </c>
      <c r="D190" s="96">
        <f>5/12*5</f>
        <v>2.0833333333333335</v>
      </c>
      <c r="E190" s="96">
        <f t="shared" si="45"/>
        <v>0.91666666666666674</v>
      </c>
      <c r="F190" s="96">
        <f t="shared" si="48"/>
        <v>1.666666666666667</v>
      </c>
      <c r="G190" s="96">
        <f t="shared" si="49"/>
        <v>1.5366666666666668</v>
      </c>
      <c r="H190" s="96">
        <f t="shared" si="50"/>
        <v>1.1541666666666668</v>
      </c>
      <c r="I190" s="94">
        <f>'Modell During mining'!$G184/1000000*A$40</f>
        <v>1.0117232222222221</v>
      </c>
      <c r="J190" s="94">
        <f>'Modell During mining'!$D184</f>
        <v>3.3854312812166786E-4</v>
      </c>
      <c r="K190" s="93">
        <v>0</v>
      </c>
      <c r="L190" s="93">
        <v>0</v>
      </c>
      <c r="M190" s="93">
        <v>0</v>
      </c>
      <c r="N190" s="93">
        <v>0</v>
      </c>
      <c r="O190" s="93">
        <v>1.26</v>
      </c>
      <c r="P190" s="93">
        <v>0.19</v>
      </c>
      <c r="Q190" s="93">
        <v>0</v>
      </c>
      <c r="R190" s="93">
        <v>0</v>
      </c>
      <c r="S190" s="93">
        <v>0.36</v>
      </c>
      <c r="T190" s="98">
        <f>AF190</f>
        <v>0.5503444416337393</v>
      </c>
      <c r="U190" s="93">
        <v>25.21</v>
      </c>
      <c r="V190" s="98">
        <f t="shared" si="51"/>
        <v>0.42738495991360465</v>
      </c>
      <c r="W190" s="93">
        <v>21.42</v>
      </c>
      <c r="X190" s="98">
        <f t="shared" si="52"/>
        <v>0.42738495991360465</v>
      </c>
      <c r="Y190" s="93">
        <v>0.11</v>
      </c>
      <c r="Z190" s="98">
        <f t="shared" si="53"/>
        <v>0.42738495991360465</v>
      </c>
      <c r="AA190" s="93">
        <v>5.8</v>
      </c>
      <c r="AB190" s="98">
        <f t="shared" si="54"/>
        <v>0.42738495991360465</v>
      </c>
      <c r="AC190" s="93">
        <v>1.7</v>
      </c>
      <c r="AD190" s="98">
        <f t="shared" si="55"/>
        <v>0.42738495991360465</v>
      </c>
      <c r="AE190" s="93">
        <v>1.84</v>
      </c>
      <c r="AF190" s="96">
        <f t="shared" si="56"/>
        <v>0.5503444416337393</v>
      </c>
      <c r="AG190" s="10">
        <f t="shared" si="46"/>
        <v>7.97</v>
      </c>
      <c r="AH190" s="95">
        <f t="shared" si="47"/>
        <v>2.2717232222222221</v>
      </c>
      <c r="AI190" s="96">
        <f t="shared" si="59"/>
        <v>0.5503444416337393</v>
      </c>
      <c r="AJ190" s="96">
        <f t="shared" si="57"/>
        <v>0.65883690026744113</v>
      </c>
      <c r="AK190" s="96">
        <f t="shared" si="58"/>
        <v>0.59190405280390723</v>
      </c>
    </row>
    <row r="191" spans="1:37" x14ac:dyDescent="0.15">
      <c r="A191" s="10">
        <f>A190+0.5</f>
        <v>2029.5</v>
      </c>
      <c r="B191" s="10">
        <v>1</v>
      </c>
      <c r="C191" s="10">
        <v>0.44</v>
      </c>
      <c r="D191" s="96">
        <f>5.5/12*7</f>
        <v>3.208333333333333</v>
      </c>
      <c r="E191" s="96">
        <f t="shared" si="45"/>
        <v>1.4116666666666666</v>
      </c>
      <c r="F191" s="96">
        <f t="shared" si="48"/>
        <v>2.5666666666666664</v>
      </c>
      <c r="G191" s="96">
        <f t="shared" si="49"/>
        <v>2.3664666666666663</v>
      </c>
      <c r="H191" s="96">
        <f t="shared" si="50"/>
        <v>1.7774166666666666</v>
      </c>
      <c r="I191" s="94">
        <f>'Modell During mining'!$G185/1000000*A$40</f>
        <v>1.4830923333333335</v>
      </c>
      <c r="J191" s="94">
        <f>'Modell During mining'!$D185</f>
        <v>0.622599522349361</v>
      </c>
      <c r="K191" s="93">
        <v>0.95</v>
      </c>
      <c r="L191" s="93">
        <v>0.41</v>
      </c>
      <c r="M191" s="93">
        <v>0.31</v>
      </c>
      <c r="N191" s="93">
        <v>0.41</v>
      </c>
      <c r="O191" s="93">
        <v>1.26</v>
      </c>
      <c r="P191" s="93">
        <v>0.19</v>
      </c>
      <c r="Q191" s="93">
        <v>1.6</v>
      </c>
      <c r="R191" s="93">
        <v>0</v>
      </c>
      <c r="S191" s="93">
        <v>0.36</v>
      </c>
      <c r="T191" s="98">
        <f>AI190</f>
        <v>0.5503444416337393</v>
      </c>
      <c r="U191" s="93">
        <v>25.21</v>
      </c>
      <c r="V191" s="98">
        <f t="shared" si="51"/>
        <v>0.54134639437667331</v>
      </c>
      <c r="W191" s="93">
        <v>21.42</v>
      </c>
      <c r="X191" s="98">
        <f t="shared" si="52"/>
        <v>0.54134639437667331</v>
      </c>
      <c r="Y191" s="93">
        <v>0.11</v>
      </c>
      <c r="Z191" s="98">
        <f t="shared" si="53"/>
        <v>0.54134639437667331</v>
      </c>
      <c r="AA191" s="93">
        <v>5.8</v>
      </c>
      <c r="AB191" s="98">
        <f t="shared" si="54"/>
        <v>0.54134639437667331</v>
      </c>
      <c r="AC191" s="93">
        <v>1.7</v>
      </c>
      <c r="AD191" s="98">
        <f t="shared" si="55"/>
        <v>0.54134639437667331</v>
      </c>
      <c r="AE191" s="93">
        <v>1.84</v>
      </c>
      <c r="AF191" s="96">
        <f t="shared" si="56"/>
        <v>0.42738495991360465</v>
      </c>
      <c r="AG191" s="10">
        <f t="shared" si="46"/>
        <v>7.97</v>
      </c>
      <c r="AH191" s="95">
        <f t="shared" si="47"/>
        <v>5.6030923333333345</v>
      </c>
      <c r="AI191" s="96">
        <f t="shared" si="59"/>
        <v>0.42738495991360465</v>
      </c>
      <c r="AJ191" s="96">
        <f t="shared" si="57"/>
        <v>0.5445581063213637</v>
      </c>
      <c r="AK191" s="96">
        <f t="shared" si="58"/>
        <v>0.47226983454560911</v>
      </c>
    </row>
    <row r="192" spans="1:37" x14ac:dyDescent="0.15">
      <c r="A192" s="10">
        <f>A190+1</f>
        <v>2030</v>
      </c>
      <c r="B192" s="10">
        <v>0</v>
      </c>
      <c r="C192" s="10">
        <v>0.44</v>
      </c>
      <c r="D192" s="96">
        <f>5/12*5</f>
        <v>2.0833333333333335</v>
      </c>
      <c r="E192" s="96">
        <f t="shared" si="45"/>
        <v>0.91666666666666674</v>
      </c>
      <c r="F192" s="96">
        <f t="shared" si="48"/>
        <v>1.666666666666667</v>
      </c>
      <c r="G192" s="96">
        <f t="shared" si="49"/>
        <v>1.5366666666666668</v>
      </c>
      <c r="H192" s="96">
        <f t="shared" si="50"/>
        <v>1.1541666666666668</v>
      </c>
      <c r="I192" s="94">
        <f>'Modell During mining'!$G186/1000000*A$40</f>
        <v>1.0514676666666667</v>
      </c>
      <c r="J192" s="94">
        <f>'Modell During mining'!$D186</f>
        <v>3.4011015713591444E-4</v>
      </c>
      <c r="K192" s="93">
        <v>0</v>
      </c>
      <c r="L192" s="93">
        <v>0</v>
      </c>
      <c r="M192" s="93">
        <v>0</v>
      </c>
      <c r="N192" s="93">
        <v>0</v>
      </c>
      <c r="O192" s="93">
        <v>1.26</v>
      </c>
      <c r="P192" s="93">
        <v>0.19</v>
      </c>
      <c r="Q192" s="93">
        <v>0</v>
      </c>
      <c r="R192" s="93">
        <v>0</v>
      </c>
      <c r="S192" s="93">
        <v>0.36</v>
      </c>
      <c r="T192" s="98">
        <f>AF192</f>
        <v>0.54134639437667331</v>
      </c>
      <c r="U192" s="93">
        <v>25.21</v>
      </c>
      <c r="V192" s="98">
        <f t="shared" si="51"/>
        <v>0.41821572756119862</v>
      </c>
      <c r="W192" s="93">
        <v>21.42</v>
      </c>
      <c r="X192" s="98">
        <f t="shared" si="52"/>
        <v>0.41821572756119862</v>
      </c>
      <c r="Y192" s="93">
        <v>0.11</v>
      </c>
      <c r="Z192" s="98">
        <f t="shared" si="53"/>
        <v>0.41821572756119862</v>
      </c>
      <c r="AA192" s="93">
        <v>5.8</v>
      </c>
      <c r="AB192" s="98">
        <f t="shared" si="54"/>
        <v>0.41821572756119862</v>
      </c>
      <c r="AC192" s="93">
        <v>1.7</v>
      </c>
      <c r="AD192" s="98">
        <f t="shared" si="55"/>
        <v>0.41821572756119862</v>
      </c>
      <c r="AE192" s="93">
        <v>1.84</v>
      </c>
      <c r="AF192" s="96">
        <f t="shared" si="56"/>
        <v>0.54134639437667331</v>
      </c>
      <c r="AG192" s="10">
        <f t="shared" si="46"/>
        <v>7.97</v>
      </c>
      <c r="AH192" s="95">
        <f t="shared" si="47"/>
        <v>2.3114676666666667</v>
      </c>
      <c r="AI192" s="96">
        <f t="shared" si="59"/>
        <v>0.54134639437667331</v>
      </c>
      <c r="AJ192" s="96">
        <f t="shared" si="57"/>
        <v>0.64820708986342057</v>
      </c>
      <c r="AK192" s="96">
        <f t="shared" si="58"/>
        <v>0.58228093498651612</v>
      </c>
    </row>
    <row r="193" spans="1:37" x14ac:dyDescent="0.15">
      <c r="A193" s="10">
        <f>A192+0.5</f>
        <v>2030.5</v>
      </c>
      <c r="S193" s="10"/>
      <c r="T193" s="10"/>
      <c r="AI193" s="96">
        <f t="shared" si="59"/>
        <v>0.41821572756119862</v>
      </c>
      <c r="AJ193" s="96">
        <f t="shared" si="57"/>
        <v>0.53317178812170751</v>
      </c>
      <c r="AK193" s="96">
        <f t="shared" si="58"/>
        <v>0.46225131527590962</v>
      </c>
    </row>
    <row r="197" spans="1:37" x14ac:dyDescent="0.15">
      <c r="A197" s="10">
        <f>7/12</f>
        <v>0.58333333333333337</v>
      </c>
      <c r="B197" s="10" t="s">
        <v>1086</v>
      </c>
      <c r="C197" s="11" t="s">
        <v>1176</v>
      </c>
      <c r="D197" s="11" t="s">
        <v>1176</v>
      </c>
      <c r="E197" s="11" t="s">
        <v>1176</v>
      </c>
      <c r="F197" s="11"/>
      <c r="G197" s="11" t="s">
        <v>1176</v>
      </c>
      <c r="H197" s="11" t="s">
        <v>1176</v>
      </c>
      <c r="I197" s="11" t="s">
        <v>1176</v>
      </c>
      <c r="J197" s="11" t="s">
        <v>1176</v>
      </c>
      <c r="K197" s="11" t="s">
        <v>1176</v>
      </c>
      <c r="L197" s="11" t="s">
        <v>1176</v>
      </c>
      <c r="M197" s="11" t="s">
        <v>1176</v>
      </c>
      <c r="N197" s="11" t="s">
        <v>1176</v>
      </c>
      <c r="O197" s="11" t="s">
        <v>1176</v>
      </c>
      <c r="P197" s="11" t="s">
        <v>1176</v>
      </c>
      <c r="Q197" s="11" t="s">
        <v>1176</v>
      </c>
      <c r="R197" s="11" t="s">
        <v>1176</v>
      </c>
      <c r="S197" s="11" t="s">
        <v>1176</v>
      </c>
      <c r="T197" s="11" t="s">
        <v>1176</v>
      </c>
      <c r="U197" s="11" t="s">
        <v>1176</v>
      </c>
      <c r="V197" s="11" t="s">
        <v>1176</v>
      </c>
      <c r="W197" s="11" t="s">
        <v>1176</v>
      </c>
      <c r="X197" s="11" t="s">
        <v>1176</v>
      </c>
      <c r="Y197" s="11" t="s">
        <v>1176</v>
      </c>
      <c r="Z197" s="11" t="s">
        <v>1176</v>
      </c>
      <c r="AA197" s="11" t="s">
        <v>1176</v>
      </c>
      <c r="AB197" s="11" t="s">
        <v>1176</v>
      </c>
      <c r="AC197" s="11" t="s">
        <v>1176</v>
      </c>
      <c r="AD197" s="11" t="s">
        <v>1176</v>
      </c>
      <c r="AE197" s="11" t="s">
        <v>1176</v>
      </c>
      <c r="AF197" s="11" t="s">
        <v>1176</v>
      </c>
      <c r="AG197" s="11" t="s">
        <v>1176</v>
      </c>
      <c r="AH197" s="11" t="s">
        <v>1176</v>
      </c>
      <c r="AI197" s="11" t="s">
        <v>1176</v>
      </c>
      <c r="AJ197" s="11" t="s">
        <v>1176</v>
      </c>
      <c r="AK197" s="11" t="s">
        <v>1176</v>
      </c>
    </row>
    <row r="198" spans="1:37" x14ac:dyDescent="0.15">
      <c r="A198">
        <f>5/12</f>
        <v>0.41666666666666669</v>
      </c>
      <c r="B198" s="10" t="s">
        <v>1087</v>
      </c>
      <c r="C198" s="118" t="s">
        <v>1184</v>
      </c>
      <c r="E198" s="10">
        <v>9.43</v>
      </c>
      <c r="F198" s="10" t="s">
        <v>1456</v>
      </c>
      <c r="G198" s="10">
        <v>150</v>
      </c>
      <c r="H198" s="10">
        <v>5.31</v>
      </c>
      <c r="S198" s="10"/>
      <c r="T198" s="10"/>
      <c r="AI198" t="s">
        <v>1443</v>
      </c>
      <c r="AJ198" t="s">
        <v>1444</v>
      </c>
      <c r="AK198" t="s">
        <v>1445</v>
      </c>
    </row>
    <row r="199" spans="1:37" ht="25" customHeight="1" x14ac:dyDescent="0.15">
      <c r="A199" s="85" t="s">
        <v>946</v>
      </c>
      <c r="B199" s="10" t="s">
        <v>1058</v>
      </c>
      <c r="D199" s="97" t="s">
        <v>1056</v>
      </c>
      <c r="E199" s="97" t="s">
        <v>1439</v>
      </c>
      <c r="F199" s="97" t="s">
        <v>1056</v>
      </c>
      <c r="G199" s="97" t="s">
        <v>1427</v>
      </c>
      <c r="H199" s="97" t="s">
        <v>1428</v>
      </c>
      <c r="I199" s="85" t="s">
        <v>1208</v>
      </c>
      <c r="J199" s="85" t="s">
        <v>1201</v>
      </c>
      <c r="K199" s="85" t="s">
        <v>919</v>
      </c>
      <c r="L199" s="85" t="s">
        <v>1201</v>
      </c>
      <c r="M199" s="85" t="s">
        <v>947</v>
      </c>
      <c r="N199" s="85" t="s">
        <v>1202</v>
      </c>
      <c r="O199" s="85" t="s">
        <v>779</v>
      </c>
      <c r="P199" s="85" t="s">
        <v>1203</v>
      </c>
      <c r="Q199" s="85" t="s">
        <v>780</v>
      </c>
      <c r="R199" s="85" t="s">
        <v>1201</v>
      </c>
      <c r="S199" s="85" t="s">
        <v>948</v>
      </c>
      <c r="T199" s="85" t="s">
        <v>1201</v>
      </c>
      <c r="U199" s="85" t="s">
        <v>949</v>
      </c>
      <c r="V199" s="85" t="s">
        <v>1204</v>
      </c>
      <c r="W199" s="85" t="s">
        <v>950</v>
      </c>
      <c r="X199" s="85" t="s">
        <v>1163</v>
      </c>
      <c r="Y199" s="85" t="s">
        <v>783</v>
      </c>
      <c r="Z199" s="85" t="s">
        <v>1164</v>
      </c>
      <c r="AA199" s="85" t="s">
        <v>784</v>
      </c>
      <c r="AB199" s="85" t="s">
        <v>1202</v>
      </c>
      <c r="AC199" s="85" t="s">
        <v>785</v>
      </c>
      <c r="AD199" s="85" t="s">
        <v>1202</v>
      </c>
      <c r="AE199" s="85" t="s">
        <v>1205</v>
      </c>
      <c r="AF199" s="85" t="s">
        <v>1165</v>
      </c>
      <c r="AG199" s="85" t="s">
        <v>1060</v>
      </c>
      <c r="AH199" s="85" t="s">
        <v>1061</v>
      </c>
      <c r="AI199" s="10" t="s">
        <v>748</v>
      </c>
      <c r="AJ199" s="10" t="s">
        <v>748</v>
      </c>
      <c r="AK199" s="10" t="s">
        <v>748</v>
      </c>
    </row>
    <row r="200" spans="1:37" x14ac:dyDescent="0.15">
      <c r="A200" s="10">
        <v>2014.5</v>
      </c>
      <c r="B200" s="95">
        <v>1</v>
      </c>
      <c r="C200" s="10">
        <v>9.43</v>
      </c>
      <c r="D200" s="96">
        <f>5/12*7</f>
        <v>2.916666666666667</v>
      </c>
      <c r="E200" s="96">
        <f>C200*D200</f>
        <v>27.50416666666667</v>
      </c>
      <c r="F200" s="96">
        <f>D200*0.8</f>
        <v>2.3333333333333335</v>
      </c>
      <c r="G200" s="96">
        <f>(C200*0.4*D200+G$198*0.6*F200)</f>
        <v>221.00166666666667</v>
      </c>
      <c r="H200" s="96">
        <f>(C200*0.4+H$198*0.6)*D200</f>
        <v>20.294166666666669</v>
      </c>
      <c r="I200" s="94">
        <f>'Modell During mining'!$G194/1000000</f>
        <v>1.0170360000000001</v>
      </c>
      <c r="J200" s="94">
        <f>'Modell During mining'!$D194</f>
        <v>1.2588223032419698E-2</v>
      </c>
      <c r="K200" s="93">
        <v>0.95</v>
      </c>
      <c r="L200" s="93">
        <v>0.6</v>
      </c>
      <c r="M200" s="93">
        <v>0.31</v>
      </c>
      <c r="N200" s="93">
        <v>0.6</v>
      </c>
      <c r="O200" s="93">
        <v>1.26</v>
      </c>
      <c r="P200" s="93">
        <v>2</v>
      </c>
      <c r="Q200" s="93">
        <v>1.6</v>
      </c>
      <c r="R200" s="93">
        <v>0</v>
      </c>
      <c r="S200" s="93">
        <v>0.36</v>
      </c>
      <c r="T200" s="93">
        <f>AF200</f>
        <v>2.6</v>
      </c>
      <c r="U200" s="93">
        <v>25.21</v>
      </c>
      <c r="V200" s="10">
        <v>2.6</v>
      </c>
      <c r="W200" s="93">
        <v>21.42</v>
      </c>
      <c r="X200" s="10">
        <v>2.6</v>
      </c>
      <c r="Y200" s="93">
        <v>0.11</v>
      </c>
      <c r="Z200" s="10">
        <v>2.6</v>
      </c>
      <c r="AA200" s="93">
        <v>5.8</v>
      </c>
      <c r="AB200" s="10">
        <v>2.6</v>
      </c>
      <c r="AC200" s="93">
        <v>1.7</v>
      </c>
      <c r="AD200" s="10">
        <v>2.6</v>
      </c>
      <c r="AE200" s="93">
        <v>1.84</v>
      </c>
      <c r="AF200" s="10">
        <v>2.6</v>
      </c>
      <c r="AG200" s="10">
        <f t="shared" ref="AG200:AG231" si="60">S200+Y200+AA200+AC200</f>
        <v>7.97</v>
      </c>
      <c r="AH200" s="95">
        <f t="shared" ref="AH200:AH231" si="61">I200+K200+M200+O200+Q200</f>
        <v>5.1370360000000002</v>
      </c>
      <c r="AI200" s="10">
        <v>2.6</v>
      </c>
      <c r="AJ200" s="10">
        <v>2.6</v>
      </c>
      <c r="AK200" s="10">
        <v>2.6</v>
      </c>
    </row>
    <row r="201" spans="1:37" x14ac:dyDescent="0.15">
      <c r="A201" s="10">
        <v>2015</v>
      </c>
      <c r="B201" s="95">
        <v>0</v>
      </c>
      <c r="C201" s="10">
        <v>9.43</v>
      </c>
      <c r="D201" s="96">
        <f>5/12*5</f>
        <v>2.0833333333333335</v>
      </c>
      <c r="E201" s="96">
        <f>C201*D201</f>
        <v>19.645833333333336</v>
      </c>
      <c r="F201" s="96">
        <f t="shared" ref="F201:F231" si="62">D201*0.8</f>
        <v>1.666666666666667</v>
      </c>
      <c r="G201" s="96">
        <f t="shared" ref="G201:G231" si="63">(C201*0.4*D201+G$198*0.6*F201)</f>
        <v>157.85833333333335</v>
      </c>
      <c r="H201" s="96">
        <f t="shared" ref="H201:H231" si="64">(C201*0.4+H$198*0.6)*D201</f>
        <v>14.495833333333335</v>
      </c>
      <c r="I201" s="94">
        <f>'Modell During mining'!$G195/1000000</f>
        <v>0.78051599999999999</v>
      </c>
      <c r="J201" s="94">
        <f>'Modell During mining'!$D195</f>
        <v>1.5554351224062032E-2</v>
      </c>
      <c r="K201" s="93">
        <v>0</v>
      </c>
      <c r="L201" s="93">
        <v>0.6</v>
      </c>
      <c r="M201" s="93">
        <v>0</v>
      </c>
      <c r="N201" s="93">
        <v>0.6</v>
      </c>
      <c r="O201" s="93">
        <v>1.26</v>
      </c>
      <c r="P201" s="93">
        <v>2</v>
      </c>
      <c r="Q201" s="93">
        <v>0</v>
      </c>
      <c r="R201" s="93">
        <v>0</v>
      </c>
      <c r="S201" s="93">
        <v>0.36</v>
      </c>
      <c r="T201" s="98">
        <f>AF201</f>
        <v>4.6068060525913817</v>
      </c>
      <c r="U201" s="93">
        <v>25.21</v>
      </c>
      <c r="V201" s="93">
        <v>2.5</v>
      </c>
      <c r="W201" s="93">
        <v>21.42</v>
      </c>
      <c r="X201" s="93">
        <v>2.5</v>
      </c>
      <c r="Y201" s="93">
        <v>0.11</v>
      </c>
      <c r="Z201" s="93">
        <v>2.5</v>
      </c>
      <c r="AA201" s="93">
        <v>5.8</v>
      </c>
      <c r="AB201" s="93">
        <v>2.5</v>
      </c>
      <c r="AC201" s="93">
        <v>1.7</v>
      </c>
      <c r="AD201" s="93">
        <v>2.5</v>
      </c>
      <c r="AE201" s="93">
        <v>1.84</v>
      </c>
      <c r="AF201" s="96">
        <f t="shared" ref="AF201:AF231" si="65">AI201</f>
        <v>4.6068060525913817</v>
      </c>
      <c r="AG201" s="10">
        <f t="shared" si="60"/>
        <v>7.97</v>
      </c>
      <c r="AH201" s="95">
        <f t="shared" si="61"/>
        <v>2.0405160000000002</v>
      </c>
      <c r="AI201" s="96">
        <f>(($B200+E200+$I200*$J200+$K200*L$200+$M200*N$200+$O200*P$200-$S200*T$200)/($I200+$K200+$M200+$O200+$Q200+$I200-$S200)*$AH200+$AE200*$AF200)/($AH200+$AE200)</f>
        <v>4.6068060525913817</v>
      </c>
      <c r="AJ201" s="96">
        <f t="shared" ref="AJ201:AJ232" si="66">(($B200+G200+$I200*$J200+$K200*M$200+$M200*O$200+$O200*Q$200-$S200*U$200)/($I200+$K200+$M200+$O200+$Q200+$I200-$S200)*$AH200+$AE200*$AF200)/($AH200+$AE200)</f>
        <v>28.087978143414201</v>
      </c>
      <c r="AK201" s="96">
        <f t="shared" ref="AK201:AK232" si="67">(($B200+H200+$I200*$J200+$K200*N$200+$M200*P$200+$O200*R$200-$S200*V$200)/($I200+$K200+$M200+$O200+$Q200+$I200-$S200)*$AH200+$AE200*$AF200)/($AH200+$AE200)</f>
        <v>3.4255232735679386</v>
      </c>
    </row>
    <row r="202" spans="1:37" x14ac:dyDescent="0.15">
      <c r="A202" s="10">
        <v>2015.5</v>
      </c>
      <c r="B202" s="95">
        <v>1</v>
      </c>
      <c r="C202" s="10">
        <v>9.43</v>
      </c>
      <c r="D202" s="96">
        <f>5.5/12*7</f>
        <v>3.208333333333333</v>
      </c>
      <c r="E202" s="96">
        <f t="shared" ref="E202:E231" si="68">C202*D202</f>
        <v>30.254583333333329</v>
      </c>
      <c r="F202" s="96">
        <f t="shared" si="62"/>
        <v>2.5666666666666664</v>
      </c>
      <c r="G202" s="96">
        <f t="shared" si="63"/>
        <v>243.1018333333333</v>
      </c>
      <c r="H202" s="96">
        <f t="shared" si="64"/>
        <v>22.323583333333332</v>
      </c>
      <c r="I202" s="94">
        <f>'Modell During mining'!$G196/1000000</f>
        <v>1.1187298666666667</v>
      </c>
      <c r="J202" s="94">
        <f>'Modell During mining'!$D196</f>
        <v>1.0245278753023963E-2</v>
      </c>
      <c r="K202" s="93">
        <v>0.95</v>
      </c>
      <c r="L202" s="93">
        <v>0.6</v>
      </c>
      <c r="M202" s="93">
        <v>0.31</v>
      </c>
      <c r="N202" s="93">
        <v>0.6</v>
      </c>
      <c r="O202" s="93">
        <v>1.26</v>
      </c>
      <c r="P202" s="93">
        <v>2</v>
      </c>
      <c r="Q202" s="93">
        <v>1.6</v>
      </c>
      <c r="R202" s="93">
        <v>0</v>
      </c>
      <c r="S202" s="93">
        <v>0.36</v>
      </c>
      <c r="T202" s="98">
        <f>AI201</f>
        <v>4.6068060525913817</v>
      </c>
      <c r="U202" s="93">
        <v>25.21</v>
      </c>
      <c r="V202" s="98">
        <f>$AI201</f>
        <v>4.6068060525913817</v>
      </c>
      <c r="W202" s="93">
        <v>21.42</v>
      </c>
      <c r="X202" s="98">
        <f>$AI201</f>
        <v>4.6068060525913817</v>
      </c>
      <c r="Y202" s="93">
        <v>0.11</v>
      </c>
      <c r="Z202" s="98">
        <f>$AI201</f>
        <v>4.6068060525913817</v>
      </c>
      <c r="AA202" s="93">
        <v>5.8</v>
      </c>
      <c r="AB202" s="98">
        <f>$AI201</f>
        <v>4.6068060525913817</v>
      </c>
      <c r="AC202" s="93">
        <v>1.7</v>
      </c>
      <c r="AD202" s="98">
        <f>$AI201</f>
        <v>4.6068060525913817</v>
      </c>
      <c r="AE202" s="93">
        <v>1.84</v>
      </c>
      <c r="AF202" s="96">
        <f t="shared" si="65"/>
        <v>6.5686831860500101</v>
      </c>
      <c r="AG202" s="10">
        <f t="shared" si="60"/>
        <v>7.97</v>
      </c>
      <c r="AH202" s="10">
        <f t="shared" si="61"/>
        <v>5.2387298666666666</v>
      </c>
      <c r="AI202" s="96">
        <f t="shared" ref="AI202:AI232" si="69">((B201+E201+I201*J201+K201*L201+M201*N201+O201*P201-S201*T201)/(I201+K201+M201+O201+Q201+I201-S201)*AH201+AE201*AF201)/(AH201+AE201)</f>
        <v>6.5686831860500101</v>
      </c>
      <c r="AJ202" s="96">
        <f t="shared" si="66"/>
        <v>34.407376712388128</v>
      </c>
      <c r="AK202" s="96">
        <f t="shared" si="67"/>
        <v>5.0842353699667804</v>
      </c>
    </row>
    <row r="203" spans="1:37" x14ac:dyDescent="0.15">
      <c r="A203" s="10">
        <f>A201+1</f>
        <v>2016</v>
      </c>
      <c r="B203" s="95">
        <v>0</v>
      </c>
      <c r="C203" s="10">
        <v>9.43</v>
      </c>
      <c r="D203" s="96">
        <f>5/12*5</f>
        <v>2.0833333333333335</v>
      </c>
      <c r="E203" s="96">
        <f t="shared" si="68"/>
        <v>19.645833333333336</v>
      </c>
      <c r="F203" s="96">
        <f t="shared" si="62"/>
        <v>1.666666666666667</v>
      </c>
      <c r="G203" s="96">
        <f t="shared" si="63"/>
        <v>157.85833333333335</v>
      </c>
      <c r="H203" s="96">
        <f t="shared" si="64"/>
        <v>14.495833333333335</v>
      </c>
      <c r="I203" s="94">
        <f>'Modell During mining'!$G197/1000000</f>
        <v>0.84864933333333337</v>
      </c>
      <c r="J203" s="94">
        <f>'Modell During mining'!$D197</f>
        <v>1.459366727050199E-2</v>
      </c>
      <c r="K203" s="93">
        <v>0</v>
      </c>
      <c r="L203" s="93">
        <v>0.6</v>
      </c>
      <c r="M203" s="93">
        <v>0</v>
      </c>
      <c r="N203" s="93">
        <v>0.6</v>
      </c>
      <c r="O203" s="93">
        <v>1.26</v>
      </c>
      <c r="P203" s="93">
        <v>2</v>
      </c>
      <c r="Q203" s="93">
        <v>0</v>
      </c>
      <c r="R203" s="93">
        <v>0</v>
      </c>
      <c r="S203" s="93">
        <v>0.36</v>
      </c>
      <c r="T203" s="98">
        <f>AF203</f>
        <v>5.7651467358132464</v>
      </c>
      <c r="U203" s="93">
        <v>25.21</v>
      </c>
      <c r="V203" s="93">
        <v>2.5</v>
      </c>
      <c r="W203" s="93">
        <v>21.42</v>
      </c>
      <c r="X203" s="93">
        <v>2.5</v>
      </c>
      <c r="Y203" s="93">
        <v>0.11</v>
      </c>
      <c r="Z203" s="93">
        <v>2.5</v>
      </c>
      <c r="AA203" s="93">
        <v>5.8</v>
      </c>
      <c r="AB203" s="93">
        <v>2.5</v>
      </c>
      <c r="AC203" s="93">
        <v>1.7</v>
      </c>
      <c r="AD203" s="93">
        <v>2.5</v>
      </c>
      <c r="AE203" s="93">
        <v>1.84</v>
      </c>
      <c r="AF203" s="96">
        <f t="shared" si="65"/>
        <v>5.7651467358132464</v>
      </c>
      <c r="AG203" s="10">
        <f t="shared" si="60"/>
        <v>7.97</v>
      </c>
      <c r="AH203" s="95">
        <f t="shared" si="61"/>
        <v>2.1086493333333332</v>
      </c>
      <c r="AI203" s="96">
        <f t="shared" si="69"/>
        <v>5.7651467358132464</v>
      </c>
      <c r="AJ203" s="96">
        <f t="shared" si="66"/>
        <v>31.043589554425736</v>
      </c>
      <c r="AK203" s="96">
        <f t="shared" si="67"/>
        <v>4.6182305434423965</v>
      </c>
    </row>
    <row r="204" spans="1:37" x14ac:dyDescent="0.15">
      <c r="A204" s="10">
        <v>2016.5</v>
      </c>
      <c r="B204" s="95">
        <v>1</v>
      </c>
      <c r="C204" s="10">
        <v>9.43</v>
      </c>
      <c r="D204" s="96">
        <f>5.5/12*7</f>
        <v>3.208333333333333</v>
      </c>
      <c r="E204" s="96">
        <f t="shared" si="68"/>
        <v>30.254583333333329</v>
      </c>
      <c r="F204" s="96">
        <f t="shared" si="62"/>
        <v>2.5666666666666664</v>
      </c>
      <c r="G204" s="96">
        <f t="shared" si="63"/>
        <v>243.1018333333333</v>
      </c>
      <c r="H204" s="96">
        <f t="shared" si="64"/>
        <v>22.323583333333332</v>
      </c>
      <c r="I204" s="94">
        <f>'Modell During mining'!$G198/1000000</f>
        <v>1.2204237333333334</v>
      </c>
      <c r="J204" s="94">
        <f>'Modell During mining'!$D198</f>
        <v>9.5137437510774935E-3</v>
      </c>
      <c r="K204" s="93">
        <v>0.95</v>
      </c>
      <c r="L204" s="93">
        <v>0.6</v>
      </c>
      <c r="M204" s="93">
        <v>0.31</v>
      </c>
      <c r="N204" s="93">
        <v>0.6</v>
      </c>
      <c r="O204" s="93">
        <v>1.26</v>
      </c>
      <c r="P204" s="93">
        <v>2</v>
      </c>
      <c r="Q204" s="93">
        <v>1.6</v>
      </c>
      <c r="R204" s="93">
        <v>0</v>
      </c>
      <c r="S204" s="93">
        <v>0.36</v>
      </c>
      <c r="T204" s="98">
        <f>AI203</f>
        <v>5.7651467358132464</v>
      </c>
      <c r="U204" s="93">
        <v>25.21</v>
      </c>
      <c r="V204" s="98">
        <f>$AI203</f>
        <v>5.7651467358132464</v>
      </c>
      <c r="W204" s="93">
        <v>21.42</v>
      </c>
      <c r="X204" s="98">
        <f>$AI203</f>
        <v>5.7651467358132464</v>
      </c>
      <c r="Y204" s="93">
        <v>0.11</v>
      </c>
      <c r="Z204" s="98">
        <f>$AI203</f>
        <v>5.7651467358132464</v>
      </c>
      <c r="AA204" s="93">
        <v>5.8</v>
      </c>
      <c r="AB204" s="98">
        <f>$AI203</f>
        <v>5.7651467358132464</v>
      </c>
      <c r="AC204" s="93">
        <v>1.7</v>
      </c>
      <c r="AD204" s="98">
        <f>$AI203</f>
        <v>5.7651467358132464</v>
      </c>
      <c r="AE204" s="93">
        <v>1.84</v>
      </c>
      <c r="AF204" s="96">
        <f t="shared" si="65"/>
        <v>6.8196866011392059</v>
      </c>
      <c r="AG204" s="10">
        <f t="shared" si="60"/>
        <v>7.97</v>
      </c>
      <c r="AH204" s="95">
        <f t="shared" si="61"/>
        <v>5.3404237333333331</v>
      </c>
      <c r="AI204" s="96">
        <f t="shared" si="69"/>
        <v>6.8196866011392059</v>
      </c>
      <c r="AJ204" s="96">
        <f t="shared" si="66"/>
        <v>33.693991799583095</v>
      </c>
      <c r="AK204" s="96">
        <f t="shared" si="67"/>
        <v>5.4769727339406327</v>
      </c>
    </row>
    <row r="205" spans="1:37" x14ac:dyDescent="0.15">
      <c r="A205" s="10">
        <f>A203+1</f>
        <v>2017</v>
      </c>
      <c r="B205" s="95">
        <v>0</v>
      </c>
      <c r="C205" s="10">
        <v>9.43</v>
      </c>
      <c r="D205" s="96">
        <f>5/12*5</f>
        <v>2.0833333333333335</v>
      </c>
      <c r="E205" s="96">
        <f t="shared" si="68"/>
        <v>19.645833333333336</v>
      </c>
      <c r="F205" s="96">
        <f t="shared" si="62"/>
        <v>1.666666666666667</v>
      </c>
      <c r="G205" s="96">
        <f t="shared" si="63"/>
        <v>157.85833333333335</v>
      </c>
      <c r="H205" s="96">
        <f t="shared" si="64"/>
        <v>14.495833333333335</v>
      </c>
      <c r="I205" s="94">
        <f>'Modell During mining'!$G199/1000000</f>
        <v>0.91678266666666675</v>
      </c>
      <c r="J205" s="94">
        <f>'Modell During mining'!$D199</f>
        <v>1.3775775283709551E-2</v>
      </c>
      <c r="K205" s="93">
        <v>0</v>
      </c>
      <c r="L205" s="93">
        <v>0.6</v>
      </c>
      <c r="M205" s="93">
        <v>0</v>
      </c>
      <c r="N205" s="93">
        <v>0.6</v>
      </c>
      <c r="O205" s="93">
        <v>1.26</v>
      </c>
      <c r="P205" s="93">
        <v>2</v>
      </c>
      <c r="Q205" s="93">
        <v>0</v>
      </c>
      <c r="R205" s="93">
        <v>0</v>
      </c>
      <c r="S205" s="93">
        <v>0.36</v>
      </c>
      <c r="T205" s="98">
        <f>AF205</f>
        <v>5.6417158404539629</v>
      </c>
      <c r="U205" s="93">
        <v>25.21</v>
      </c>
      <c r="V205" s="93">
        <v>2.5</v>
      </c>
      <c r="W205" s="93">
        <v>21.42</v>
      </c>
      <c r="X205" s="93">
        <v>2.5</v>
      </c>
      <c r="Y205" s="93">
        <v>0.11</v>
      </c>
      <c r="Z205" s="93">
        <v>2.5</v>
      </c>
      <c r="AA205" s="93">
        <v>5.8</v>
      </c>
      <c r="AB205" s="93">
        <v>2.5</v>
      </c>
      <c r="AC205" s="93">
        <v>1.7</v>
      </c>
      <c r="AD205" s="93">
        <v>2.5</v>
      </c>
      <c r="AE205" s="93">
        <v>1.84</v>
      </c>
      <c r="AF205" s="96">
        <f t="shared" si="65"/>
        <v>5.6417158404539629</v>
      </c>
      <c r="AG205" s="10">
        <f t="shared" si="60"/>
        <v>7.97</v>
      </c>
      <c r="AH205" s="95">
        <f t="shared" si="61"/>
        <v>2.176782666666667</v>
      </c>
      <c r="AI205" s="96">
        <f t="shared" si="69"/>
        <v>5.6417158404539629</v>
      </c>
      <c r="AJ205" s="96">
        <f t="shared" si="66"/>
        <v>30.262661978607216</v>
      </c>
      <c r="AK205" s="96">
        <f t="shared" si="67"/>
        <v>4.576916964477153</v>
      </c>
    </row>
    <row r="206" spans="1:37" x14ac:dyDescent="0.15">
      <c r="A206" s="10">
        <f>A205+0.5</f>
        <v>2017.5</v>
      </c>
      <c r="B206" s="95">
        <v>1</v>
      </c>
      <c r="C206" s="10">
        <v>9.43</v>
      </c>
      <c r="D206" s="96">
        <f>5.5/12*7</f>
        <v>3.208333333333333</v>
      </c>
      <c r="E206" s="96">
        <f t="shared" si="68"/>
        <v>30.254583333333329</v>
      </c>
      <c r="F206" s="96">
        <f t="shared" si="62"/>
        <v>2.5666666666666664</v>
      </c>
      <c r="G206" s="96">
        <f t="shared" si="63"/>
        <v>243.1018333333333</v>
      </c>
      <c r="H206" s="96">
        <f t="shared" si="64"/>
        <v>22.323583333333332</v>
      </c>
      <c r="I206" s="94">
        <f>'Modell During mining'!$G200/1000000</f>
        <v>1.3221176000000001</v>
      </c>
      <c r="J206" s="94">
        <f>'Modell During mining'!$D200</f>
        <v>8.8947443101884405E-3</v>
      </c>
      <c r="K206" s="93">
        <v>0.95</v>
      </c>
      <c r="L206" s="93">
        <v>0.6</v>
      </c>
      <c r="M206" s="93">
        <v>0.31</v>
      </c>
      <c r="N206" s="93">
        <v>0.6</v>
      </c>
      <c r="O206" s="93">
        <v>1.26</v>
      </c>
      <c r="P206" s="93">
        <v>2</v>
      </c>
      <c r="Q206" s="93">
        <v>1.6</v>
      </c>
      <c r="R206" s="93">
        <v>0</v>
      </c>
      <c r="S206" s="93">
        <v>0.36</v>
      </c>
      <c r="T206" s="98">
        <f>AI205</f>
        <v>5.6417158404539629</v>
      </c>
      <c r="U206" s="93">
        <v>25.21</v>
      </c>
      <c r="V206" s="98">
        <f>$AI205</f>
        <v>5.6417158404539629</v>
      </c>
      <c r="W206" s="93">
        <v>21.42</v>
      </c>
      <c r="X206" s="98">
        <f>$AI205</f>
        <v>5.6417158404539629</v>
      </c>
      <c r="Y206" s="93">
        <v>0.11</v>
      </c>
      <c r="Z206" s="98">
        <f>$AI205</f>
        <v>5.6417158404539629</v>
      </c>
      <c r="AA206" s="93">
        <v>5.8</v>
      </c>
      <c r="AB206" s="98">
        <f>$AI205</f>
        <v>5.6417158404539629</v>
      </c>
      <c r="AC206" s="93">
        <v>1.7</v>
      </c>
      <c r="AD206" s="98">
        <f>$AI205</f>
        <v>5.6417158404539629</v>
      </c>
      <c r="AE206" s="93">
        <v>1.84</v>
      </c>
      <c r="AF206" s="96">
        <f t="shared" si="65"/>
        <v>6.5785227803973738</v>
      </c>
      <c r="AG206" s="10">
        <f t="shared" si="60"/>
        <v>7.97</v>
      </c>
      <c r="AH206" s="95">
        <f t="shared" si="61"/>
        <v>5.4421175999999996</v>
      </c>
      <c r="AI206" s="96">
        <f t="shared" si="69"/>
        <v>6.5785227803973738</v>
      </c>
      <c r="AJ206" s="96">
        <f t="shared" si="66"/>
        <v>32.482291487283582</v>
      </c>
      <c r="AK206" s="96">
        <f t="shared" si="67"/>
        <v>5.2750503016954218</v>
      </c>
    </row>
    <row r="207" spans="1:37" x14ac:dyDescent="0.15">
      <c r="A207" s="10">
        <f>A205+1</f>
        <v>2018</v>
      </c>
      <c r="B207" s="95">
        <v>0</v>
      </c>
      <c r="C207" s="10">
        <v>9.43</v>
      </c>
      <c r="D207" s="96">
        <f>5/12*5</f>
        <v>2.0833333333333335</v>
      </c>
      <c r="E207" s="96">
        <f t="shared" si="68"/>
        <v>19.645833333333336</v>
      </c>
      <c r="F207" s="96">
        <f t="shared" si="62"/>
        <v>1.666666666666667</v>
      </c>
      <c r="G207" s="96">
        <f t="shared" si="63"/>
        <v>157.85833333333335</v>
      </c>
      <c r="H207" s="96">
        <f t="shared" si="64"/>
        <v>14.495833333333335</v>
      </c>
      <c r="I207" s="94">
        <f>'Modell During mining'!$G201/1000000</f>
        <v>0.98491600000000012</v>
      </c>
      <c r="J207" s="94">
        <f>'Modell During mining'!$D201</f>
        <v>1.3071041591364132E-2</v>
      </c>
      <c r="K207" s="93">
        <v>0</v>
      </c>
      <c r="L207" s="93">
        <v>0.6</v>
      </c>
      <c r="M207" s="93">
        <v>0</v>
      </c>
      <c r="N207" s="93">
        <v>0.6</v>
      </c>
      <c r="O207" s="93">
        <v>1.26</v>
      </c>
      <c r="P207" s="93">
        <v>2</v>
      </c>
      <c r="Q207" s="93">
        <v>0</v>
      </c>
      <c r="R207" s="93">
        <v>0</v>
      </c>
      <c r="S207" s="93">
        <v>0.36</v>
      </c>
      <c r="T207" s="98">
        <f>AF207</f>
        <v>5.45604805471738</v>
      </c>
      <c r="U207" s="93">
        <v>25.21</v>
      </c>
      <c r="V207" s="93">
        <v>2.5</v>
      </c>
      <c r="W207" s="93">
        <v>21.42</v>
      </c>
      <c r="X207" s="93">
        <v>2.5</v>
      </c>
      <c r="Y207" s="93">
        <v>0.11</v>
      </c>
      <c r="Z207" s="93">
        <v>2.5</v>
      </c>
      <c r="AA207" s="93">
        <v>5.8</v>
      </c>
      <c r="AB207" s="93">
        <v>2.5</v>
      </c>
      <c r="AC207" s="93">
        <v>1.7</v>
      </c>
      <c r="AD207" s="93">
        <v>2.5</v>
      </c>
      <c r="AE207" s="93">
        <v>1.84</v>
      </c>
      <c r="AF207" s="96">
        <f t="shared" si="65"/>
        <v>5.45604805471738</v>
      </c>
      <c r="AG207" s="10">
        <f t="shared" si="60"/>
        <v>7.97</v>
      </c>
      <c r="AH207" s="95">
        <f t="shared" si="61"/>
        <v>2.2449159999999999</v>
      </c>
      <c r="AI207" s="96">
        <f t="shared" si="69"/>
        <v>5.45604805471738</v>
      </c>
      <c r="AJ207" s="96">
        <f t="shared" si="66"/>
        <v>29.404590256947436</v>
      </c>
      <c r="AK207" s="96">
        <f t="shared" si="67"/>
        <v>4.4149195954955296</v>
      </c>
    </row>
    <row r="208" spans="1:37" x14ac:dyDescent="0.15">
      <c r="A208" s="10">
        <f>A207+0.5</f>
        <v>2018.5</v>
      </c>
      <c r="B208" s="95">
        <v>1</v>
      </c>
      <c r="C208" s="10">
        <v>9.43</v>
      </c>
      <c r="D208" s="96">
        <f>5.5/12*7</f>
        <v>3.208333333333333</v>
      </c>
      <c r="E208" s="96">
        <f t="shared" si="68"/>
        <v>30.254583333333329</v>
      </c>
      <c r="F208" s="96">
        <f t="shared" si="62"/>
        <v>2.5666666666666664</v>
      </c>
      <c r="G208" s="96">
        <f t="shared" si="63"/>
        <v>243.1018333333333</v>
      </c>
      <c r="H208" s="96">
        <f t="shared" si="64"/>
        <v>22.323583333333332</v>
      </c>
      <c r="I208" s="94">
        <f>'Modell During mining'!$G202/1000000</f>
        <v>1.4238114666666668</v>
      </c>
      <c r="J208" s="94">
        <f>'Modell During mining'!$D202</f>
        <v>8.3641673157850652E-3</v>
      </c>
      <c r="K208" s="93">
        <v>0.95</v>
      </c>
      <c r="L208" s="93">
        <v>0.6</v>
      </c>
      <c r="M208" s="93">
        <v>0.31</v>
      </c>
      <c r="N208" s="93">
        <v>0.6</v>
      </c>
      <c r="O208" s="93">
        <v>1.26</v>
      </c>
      <c r="P208" s="93">
        <v>2</v>
      </c>
      <c r="Q208" s="93">
        <v>3.6</v>
      </c>
      <c r="R208" s="93">
        <v>0</v>
      </c>
      <c r="S208" s="93">
        <v>0.36</v>
      </c>
      <c r="T208" s="98">
        <f>AI207</f>
        <v>5.45604805471738</v>
      </c>
      <c r="U208" s="93">
        <v>25.21</v>
      </c>
      <c r="V208" s="98">
        <f>$AI207</f>
        <v>5.45604805471738</v>
      </c>
      <c r="W208" s="93">
        <v>21.42</v>
      </c>
      <c r="X208" s="98">
        <f>$AI207</f>
        <v>5.45604805471738</v>
      </c>
      <c r="Y208" s="93">
        <v>0.11</v>
      </c>
      <c r="Z208" s="98">
        <f>$AI207</f>
        <v>5.45604805471738</v>
      </c>
      <c r="AA208" s="93">
        <v>5.8</v>
      </c>
      <c r="AB208" s="98">
        <f>$AI207</f>
        <v>5.45604805471738</v>
      </c>
      <c r="AC208" s="93">
        <v>1.7</v>
      </c>
      <c r="AD208" s="98">
        <f>$AI207</f>
        <v>5.45604805471738</v>
      </c>
      <c r="AE208" s="93">
        <v>1.84</v>
      </c>
      <c r="AF208" s="96">
        <f t="shared" si="65"/>
        <v>6.3286181229771623</v>
      </c>
      <c r="AG208" s="10">
        <f t="shared" si="60"/>
        <v>7.97</v>
      </c>
      <c r="AH208" s="95">
        <f t="shared" si="61"/>
        <v>7.5438114666666678</v>
      </c>
      <c r="AI208" s="96">
        <f t="shared" si="69"/>
        <v>6.3286181229771623</v>
      </c>
      <c r="AJ208" s="96">
        <f t="shared" si="66"/>
        <v>31.337481198106762</v>
      </c>
      <c r="AK208" s="96">
        <f t="shared" si="67"/>
        <v>5.0567333464139619</v>
      </c>
    </row>
    <row r="209" spans="1:37" x14ac:dyDescent="0.15">
      <c r="A209" s="10">
        <f>A207+1</f>
        <v>2019</v>
      </c>
      <c r="B209" s="95">
        <v>0</v>
      </c>
      <c r="C209" s="10">
        <v>9.43</v>
      </c>
      <c r="D209" s="96">
        <f>5/12*5</f>
        <v>2.0833333333333335</v>
      </c>
      <c r="E209" s="96">
        <f t="shared" si="68"/>
        <v>19.645833333333336</v>
      </c>
      <c r="F209" s="96">
        <f t="shared" si="62"/>
        <v>1.666666666666667</v>
      </c>
      <c r="G209" s="96">
        <f t="shared" si="63"/>
        <v>157.85833333333335</v>
      </c>
      <c r="H209" s="96">
        <f t="shared" si="64"/>
        <v>14.495833333333335</v>
      </c>
      <c r="I209" s="94">
        <f>'Modell During mining'!$G203/1000000</f>
        <v>1.0530493333333335</v>
      </c>
      <c r="J209" s="94">
        <f>'Modell During mining'!$D203</f>
        <v>1.245750183277263E-2</v>
      </c>
      <c r="K209" s="93">
        <v>0</v>
      </c>
      <c r="L209" s="93">
        <v>0.6</v>
      </c>
      <c r="M209" s="93">
        <v>0</v>
      </c>
      <c r="N209" s="93">
        <v>0.6</v>
      </c>
      <c r="O209" s="93">
        <v>1.26</v>
      </c>
      <c r="P209" s="93">
        <v>2</v>
      </c>
      <c r="Q209" s="93">
        <v>0</v>
      </c>
      <c r="R209" s="93">
        <v>0</v>
      </c>
      <c r="S209" s="93">
        <v>0.36</v>
      </c>
      <c r="T209" s="98">
        <f>AF209</f>
        <v>4.2836150503527675</v>
      </c>
      <c r="U209" s="93">
        <v>25.21</v>
      </c>
      <c r="V209" s="93">
        <v>2.5</v>
      </c>
      <c r="W209" s="93">
        <v>21.42</v>
      </c>
      <c r="X209" s="93">
        <v>2.5</v>
      </c>
      <c r="Y209" s="93">
        <v>0.11</v>
      </c>
      <c r="Z209" s="93">
        <v>2.5</v>
      </c>
      <c r="AA209" s="93">
        <v>5.8</v>
      </c>
      <c r="AB209" s="93">
        <v>2.5</v>
      </c>
      <c r="AC209" s="93">
        <v>1.7</v>
      </c>
      <c r="AD209" s="93">
        <v>2.5</v>
      </c>
      <c r="AE209" s="93">
        <v>1.84</v>
      </c>
      <c r="AF209" s="96">
        <f t="shared" si="65"/>
        <v>4.2836150503527675</v>
      </c>
      <c r="AG209" s="10">
        <f t="shared" si="60"/>
        <v>7.97</v>
      </c>
      <c r="AH209" s="95">
        <f t="shared" si="61"/>
        <v>2.3130493333333337</v>
      </c>
      <c r="AI209" s="96">
        <f t="shared" si="69"/>
        <v>4.2836150503527675</v>
      </c>
      <c r="AJ209" s="96">
        <f t="shared" si="66"/>
        <v>23.44482686762904</v>
      </c>
      <c r="AK209" s="96">
        <f t="shared" si="67"/>
        <v>3.4440948843280723</v>
      </c>
    </row>
    <row r="210" spans="1:37" x14ac:dyDescent="0.15">
      <c r="A210" s="10">
        <f>A209+0.5</f>
        <v>2019.5</v>
      </c>
      <c r="B210" s="95">
        <v>1</v>
      </c>
      <c r="C210" s="10">
        <v>9.43</v>
      </c>
      <c r="D210" s="96">
        <f>5.5/12*7</f>
        <v>3.208333333333333</v>
      </c>
      <c r="E210" s="96">
        <f t="shared" si="68"/>
        <v>30.254583333333329</v>
      </c>
      <c r="F210" s="96">
        <f t="shared" si="62"/>
        <v>2.5666666666666664</v>
      </c>
      <c r="G210" s="96">
        <f t="shared" si="63"/>
        <v>243.1018333333333</v>
      </c>
      <c r="H210" s="96">
        <f t="shared" si="64"/>
        <v>22.323583333333332</v>
      </c>
      <c r="I210" s="94">
        <f>'Modell During mining'!$G204/1000000</f>
        <v>1.5255053333333335</v>
      </c>
      <c r="J210" s="94">
        <f>'Modell During mining'!$D204</f>
        <v>7.9043294069112806E-3</v>
      </c>
      <c r="K210" s="93">
        <v>0.95</v>
      </c>
      <c r="L210" s="93">
        <v>0.6</v>
      </c>
      <c r="M210" s="93">
        <v>0.31</v>
      </c>
      <c r="N210" s="93">
        <v>0.6</v>
      </c>
      <c r="O210" s="93">
        <v>1.26</v>
      </c>
      <c r="P210" s="93">
        <v>2</v>
      </c>
      <c r="Q210" s="93">
        <v>1.6</v>
      </c>
      <c r="R210" s="93">
        <v>0</v>
      </c>
      <c r="S210" s="93">
        <v>0.36</v>
      </c>
      <c r="T210" s="98">
        <f>AI209</f>
        <v>4.2836150503527675</v>
      </c>
      <c r="U210" s="93">
        <v>25.21</v>
      </c>
      <c r="V210" s="98">
        <f>$AI209</f>
        <v>4.2836150503527675</v>
      </c>
      <c r="W210" s="93">
        <v>21.42</v>
      </c>
      <c r="X210" s="98">
        <f>$AI209</f>
        <v>4.2836150503527675</v>
      </c>
      <c r="Y210" s="93">
        <v>0.11</v>
      </c>
      <c r="Z210" s="98">
        <f>$AI209</f>
        <v>4.2836150503527675</v>
      </c>
      <c r="AA210" s="93">
        <v>5.8</v>
      </c>
      <c r="AB210" s="98">
        <f>$AI209</f>
        <v>4.2836150503527675</v>
      </c>
      <c r="AC210" s="93">
        <v>1.7</v>
      </c>
      <c r="AD210" s="98">
        <f>$AI209</f>
        <v>4.2836150503527675</v>
      </c>
      <c r="AE210" s="93">
        <v>1.84</v>
      </c>
      <c r="AF210" s="96">
        <f t="shared" si="65"/>
        <v>5.7213195236272067</v>
      </c>
      <c r="AG210" s="10">
        <f t="shared" si="60"/>
        <v>7.97</v>
      </c>
      <c r="AH210" s="95">
        <f t="shared" si="61"/>
        <v>5.6455053333333343</v>
      </c>
      <c r="AI210" s="96">
        <f t="shared" si="69"/>
        <v>5.7213195236272067</v>
      </c>
      <c r="AJ210" s="96">
        <f t="shared" si="66"/>
        <v>29.839368107688152</v>
      </c>
      <c r="AK210" s="96">
        <f t="shared" si="67"/>
        <v>4.4125624862966237</v>
      </c>
    </row>
    <row r="211" spans="1:37" x14ac:dyDescent="0.15">
      <c r="A211" s="10">
        <f>A209+1</f>
        <v>2020</v>
      </c>
      <c r="B211" s="95">
        <v>0</v>
      </c>
      <c r="C211" s="10">
        <v>9.43</v>
      </c>
      <c r="D211" s="96">
        <f>5/12*5</f>
        <v>2.0833333333333335</v>
      </c>
      <c r="E211" s="96">
        <f t="shared" si="68"/>
        <v>19.645833333333336</v>
      </c>
      <c r="F211" s="96">
        <f t="shared" si="62"/>
        <v>1.666666666666667</v>
      </c>
      <c r="G211" s="96">
        <f t="shared" si="63"/>
        <v>157.85833333333335</v>
      </c>
      <c r="H211" s="96">
        <f t="shared" si="64"/>
        <v>14.495833333333335</v>
      </c>
      <c r="I211" s="94">
        <f>'Modell During mining'!$G205/1000000</f>
        <v>1.1211826666666669</v>
      </c>
      <c r="J211" s="94">
        <f>'Modell During mining'!$D205</f>
        <v>1.1918530670589502E-2</v>
      </c>
      <c r="K211" s="93">
        <v>0</v>
      </c>
      <c r="L211" s="93">
        <v>0.6</v>
      </c>
      <c r="M211" s="93">
        <v>0</v>
      </c>
      <c r="N211" s="93">
        <v>0.6</v>
      </c>
      <c r="O211" s="93">
        <v>1.26</v>
      </c>
      <c r="P211" s="93">
        <v>2</v>
      </c>
      <c r="Q211" s="93">
        <v>0</v>
      </c>
      <c r="R211" s="93">
        <v>0</v>
      </c>
      <c r="S211" s="93">
        <v>0.36</v>
      </c>
      <c r="T211" s="98">
        <f>AF211</f>
        <v>5.0605388286617536</v>
      </c>
      <c r="U211" s="93">
        <v>25.21</v>
      </c>
      <c r="V211" s="93">
        <v>2.5</v>
      </c>
      <c r="W211" s="93">
        <v>21.42</v>
      </c>
      <c r="X211" s="93">
        <v>2.5</v>
      </c>
      <c r="Y211" s="93">
        <v>0.11</v>
      </c>
      <c r="Z211" s="93">
        <v>2.5</v>
      </c>
      <c r="AA211" s="93">
        <v>5.8</v>
      </c>
      <c r="AB211" s="93">
        <v>2.5</v>
      </c>
      <c r="AC211" s="93">
        <v>1.7</v>
      </c>
      <c r="AD211" s="93">
        <v>2.5</v>
      </c>
      <c r="AE211" s="93">
        <v>1.84</v>
      </c>
      <c r="AF211" s="96">
        <f t="shared" si="65"/>
        <v>5.0605388286617536</v>
      </c>
      <c r="AG211" s="10">
        <f t="shared" si="60"/>
        <v>7.97</v>
      </c>
      <c r="AH211" s="95">
        <f t="shared" si="61"/>
        <v>2.3811826666666667</v>
      </c>
      <c r="AI211" s="96">
        <f t="shared" si="69"/>
        <v>5.0605388286617536</v>
      </c>
      <c r="AJ211" s="96">
        <f t="shared" si="66"/>
        <v>27.731524373882433</v>
      </c>
      <c r="AK211" s="96">
        <f t="shared" si="67"/>
        <v>4.0184584211603029</v>
      </c>
    </row>
    <row r="212" spans="1:37" x14ac:dyDescent="0.15">
      <c r="A212" s="10">
        <f>A211+0.5</f>
        <v>2020.5</v>
      </c>
      <c r="B212" s="95">
        <v>1</v>
      </c>
      <c r="C212" s="10">
        <v>9.43</v>
      </c>
      <c r="D212" s="96">
        <f>5.5/12*7</f>
        <v>3.208333333333333</v>
      </c>
      <c r="E212" s="96">
        <f t="shared" si="68"/>
        <v>30.254583333333329</v>
      </c>
      <c r="F212" s="96">
        <f t="shared" si="62"/>
        <v>2.5666666666666664</v>
      </c>
      <c r="G212" s="96">
        <f t="shared" si="63"/>
        <v>243.1018333333333</v>
      </c>
      <c r="H212" s="96">
        <f t="shared" si="64"/>
        <v>22.323583333333332</v>
      </c>
      <c r="I212" s="94">
        <f>'Modell During mining'!$G206/1000000</f>
        <v>1.6271992000000002</v>
      </c>
      <c r="J212" s="94">
        <f>'Modell During mining'!$D206</f>
        <v>7.5019677984109103E-3</v>
      </c>
      <c r="K212" s="93">
        <v>0.95</v>
      </c>
      <c r="L212" s="93">
        <v>0.6</v>
      </c>
      <c r="M212" s="93">
        <v>0.31</v>
      </c>
      <c r="N212" s="93">
        <v>0.6</v>
      </c>
      <c r="O212" s="93">
        <v>1.26</v>
      </c>
      <c r="P212" s="93">
        <v>2</v>
      </c>
      <c r="Q212" s="93">
        <v>1.6</v>
      </c>
      <c r="R212" s="93">
        <v>0</v>
      </c>
      <c r="S212" s="93">
        <v>0.36</v>
      </c>
      <c r="T212" s="98">
        <f>AI211</f>
        <v>5.0605388286617536</v>
      </c>
      <c r="U212" s="93">
        <v>25.21</v>
      </c>
      <c r="V212" s="98">
        <f>$AI211</f>
        <v>5.0605388286617536</v>
      </c>
      <c r="W212" s="93">
        <v>21.42</v>
      </c>
      <c r="X212" s="98">
        <f>$AI211</f>
        <v>5.0605388286617536</v>
      </c>
      <c r="Y212" s="93">
        <v>0.11</v>
      </c>
      <c r="Z212" s="98">
        <f>$AI211</f>
        <v>5.0605388286617536</v>
      </c>
      <c r="AA212" s="93">
        <v>5.8</v>
      </c>
      <c r="AB212" s="98">
        <f>$AI211</f>
        <v>5.0605388286617536</v>
      </c>
      <c r="AC212" s="93">
        <v>1.7</v>
      </c>
      <c r="AD212" s="98">
        <f>$AI211</f>
        <v>5.0605388286617536</v>
      </c>
      <c r="AE212" s="93">
        <v>1.84</v>
      </c>
      <c r="AF212" s="96">
        <f t="shared" si="65"/>
        <v>5.8603413786475915</v>
      </c>
      <c r="AG212" s="10">
        <f t="shared" si="60"/>
        <v>7.97</v>
      </c>
      <c r="AH212" s="95">
        <f t="shared" si="61"/>
        <v>5.7471992000000007</v>
      </c>
      <c r="AI212" s="96">
        <f t="shared" si="69"/>
        <v>5.8603413786475915</v>
      </c>
      <c r="AJ212" s="96">
        <f t="shared" si="66"/>
        <v>29.278977671845599</v>
      </c>
      <c r="AK212" s="96">
        <f t="shared" si="67"/>
        <v>4.6424714154073659</v>
      </c>
    </row>
    <row r="213" spans="1:37" x14ac:dyDescent="0.15">
      <c r="A213" s="10">
        <f>A211+1</f>
        <v>2021</v>
      </c>
      <c r="B213" s="95">
        <v>0</v>
      </c>
      <c r="C213" s="10">
        <v>9.43</v>
      </c>
      <c r="D213" s="96">
        <f>5/12*5</f>
        <v>2.0833333333333335</v>
      </c>
      <c r="E213" s="96">
        <f t="shared" si="68"/>
        <v>19.645833333333336</v>
      </c>
      <c r="F213" s="96">
        <f t="shared" si="62"/>
        <v>1.666666666666667</v>
      </c>
      <c r="G213" s="96">
        <f t="shared" si="63"/>
        <v>157.85833333333335</v>
      </c>
      <c r="H213" s="96">
        <f t="shared" si="64"/>
        <v>14.495833333333335</v>
      </c>
      <c r="I213" s="94">
        <f>'Modell During mining'!$G207/1000000</f>
        <v>1.1893160000000003</v>
      </c>
      <c r="J213" s="94">
        <f>'Modell During mining'!$D207</f>
        <v>1.1441312485495861E-2</v>
      </c>
      <c r="K213" s="93">
        <v>0</v>
      </c>
      <c r="L213" s="93">
        <v>0.6</v>
      </c>
      <c r="M213" s="93">
        <v>0</v>
      </c>
      <c r="N213" s="93">
        <v>0.6</v>
      </c>
      <c r="O213" s="93">
        <v>1.26</v>
      </c>
      <c r="P213" s="93">
        <v>2</v>
      </c>
      <c r="Q213" s="93">
        <v>0</v>
      </c>
      <c r="R213" s="93">
        <v>0</v>
      </c>
      <c r="S213" s="93">
        <v>0.36</v>
      </c>
      <c r="T213" s="98">
        <f>AF213</f>
        <v>4.9547601368968568</v>
      </c>
      <c r="U213" s="93">
        <v>25.21</v>
      </c>
      <c r="V213" s="93">
        <v>2.5</v>
      </c>
      <c r="W213" s="93">
        <v>21.42</v>
      </c>
      <c r="X213" s="93">
        <v>2.5</v>
      </c>
      <c r="Y213" s="93">
        <v>0.11</v>
      </c>
      <c r="Z213" s="93">
        <v>2.5</v>
      </c>
      <c r="AA213" s="93">
        <v>5.8</v>
      </c>
      <c r="AB213" s="93">
        <v>2.5</v>
      </c>
      <c r="AC213" s="93">
        <v>1.7</v>
      </c>
      <c r="AD213" s="93">
        <v>2.5</v>
      </c>
      <c r="AE213" s="93">
        <v>1.84</v>
      </c>
      <c r="AF213" s="96">
        <f t="shared" si="65"/>
        <v>4.9547601368968568</v>
      </c>
      <c r="AG213" s="10">
        <f t="shared" si="60"/>
        <v>7.97</v>
      </c>
      <c r="AH213" s="95">
        <f t="shared" si="61"/>
        <v>2.4493160000000005</v>
      </c>
      <c r="AI213" s="96">
        <f t="shared" si="69"/>
        <v>4.9547601368968568</v>
      </c>
      <c r="AJ213" s="96">
        <f t="shared" si="66"/>
        <v>27.094753150568842</v>
      </c>
      <c r="AK213" s="96">
        <f t="shared" si="67"/>
        <v>3.9686793970599088</v>
      </c>
    </row>
    <row r="214" spans="1:37" x14ac:dyDescent="0.15">
      <c r="A214" s="10">
        <f>A213+0.5</f>
        <v>2021.5</v>
      </c>
      <c r="B214" s="95">
        <v>1</v>
      </c>
      <c r="C214" s="10">
        <v>9.43</v>
      </c>
      <c r="D214" s="96">
        <f>5.5/12*7</f>
        <v>3.208333333333333</v>
      </c>
      <c r="E214" s="96">
        <f t="shared" si="68"/>
        <v>30.254583333333329</v>
      </c>
      <c r="F214" s="96">
        <f t="shared" si="62"/>
        <v>2.5666666666666664</v>
      </c>
      <c r="G214" s="96">
        <f t="shared" si="63"/>
        <v>243.1018333333333</v>
      </c>
      <c r="H214" s="96">
        <f t="shared" si="64"/>
        <v>22.323583333333332</v>
      </c>
      <c r="I214" s="94">
        <f>'Modell During mining'!$G208/1000000</f>
        <v>1.7288930666666671</v>
      </c>
      <c r="J214" s="94">
        <f>'Modell During mining'!$D208</f>
        <v>7.1469401847717865E-3</v>
      </c>
      <c r="K214" s="93">
        <v>0.95</v>
      </c>
      <c r="L214" s="93">
        <v>0.6</v>
      </c>
      <c r="M214" s="93">
        <v>0.31</v>
      </c>
      <c r="N214" s="93">
        <v>0.6</v>
      </c>
      <c r="O214" s="93">
        <v>1.26</v>
      </c>
      <c r="P214" s="93">
        <v>2</v>
      </c>
      <c r="Q214" s="93">
        <v>1.6</v>
      </c>
      <c r="R214" s="93">
        <v>0</v>
      </c>
      <c r="S214" s="93">
        <v>0.36</v>
      </c>
      <c r="T214" s="98">
        <f>AI213</f>
        <v>4.9547601368968568</v>
      </c>
      <c r="U214" s="93">
        <v>25.21</v>
      </c>
      <c r="V214" s="98">
        <f>$AI213</f>
        <v>4.9547601368968568</v>
      </c>
      <c r="W214" s="93">
        <v>21.42</v>
      </c>
      <c r="X214" s="98">
        <f>$AI213</f>
        <v>4.9547601368968568</v>
      </c>
      <c r="Y214" s="93">
        <v>0.11</v>
      </c>
      <c r="Z214" s="98">
        <f>$AI213</f>
        <v>4.9547601368968568</v>
      </c>
      <c r="AA214" s="93">
        <v>5.8</v>
      </c>
      <c r="AB214" s="98">
        <f>$AI213</f>
        <v>4.9547601368968568</v>
      </c>
      <c r="AC214" s="93">
        <v>1.7</v>
      </c>
      <c r="AD214" s="98">
        <f>$AI213</f>
        <v>4.9547601368968568</v>
      </c>
      <c r="AE214" s="93">
        <v>1.84</v>
      </c>
      <c r="AF214" s="96">
        <f t="shared" si="65"/>
        <v>5.6777055810329946</v>
      </c>
      <c r="AG214" s="10">
        <f t="shared" si="60"/>
        <v>7.97</v>
      </c>
      <c r="AH214" s="95">
        <f t="shared" si="61"/>
        <v>5.8488930666666672</v>
      </c>
      <c r="AI214" s="96">
        <f t="shared" si="69"/>
        <v>5.6777055810329946</v>
      </c>
      <c r="AJ214" s="96">
        <f t="shared" si="66"/>
        <v>28.391883482392977</v>
      </c>
      <c r="AK214" s="96">
        <f t="shared" si="67"/>
        <v>4.4894932702844939</v>
      </c>
    </row>
    <row r="215" spans="1:37" x14ac:dyDescent="0.15">
      <c r="A215" s="10">
        <f>A213+1</f>
        <v>2022</v>
      </c>
      <c r="B215" s="95">
        <v>0</v>
      </c>
      <c r="C215" s="10">
        <v>9.43</v>
      </c>
      <c r="D215" s="96">
        <f>5/12*5</f>
        <v>2.0833333333333335</v>
      </c>
      <c r="E215" s="96">
        <f t="shared" si="68"/>
        <v>19.645833333333336</v>
      </c>
      <c r="F215" s="96">
        <f t="shared" si="62"/>
        <v>1.666666666666667</v>
      </c>
      <c r="G215" s="96">
        <f t="shared" si="63"/>
        <v>157.85833333333335</v>
      </c>
      <c r="H215" s="96">
        <f t="shared" si="64"/>
        <v>14.495833333333335</v>
      </c>
      <c r="I215" s="94">
        <f>'Modell During mining'!$G209/1000000</f>
        <v>1.2574493333333334</v>
      </c>
      <c r="J215" s="94">
        <f>'Modell During mining'!$D209</f>
        <v>1.1015809251956603E-2</v>
      </c>
      <c r="K215" s="93">
        <v>0</v>
      </c>
      <c r="L215" s="93">
        <v>0.6</v>
      </c>
      <c r="M215" s="93">
        <v>0</v>
      </c>
      <c r="N215" s="93">
        <v>0.6</v>
      </c>
      <c r="O215" s="93">
        <v>1.26</v>
      </c>
      <c r="P215" s="93">
        <v>2</v>
      </c>
      <c r="Q215" s="93">
        <v>0</v>
      </c>
      <c r="R215" s="93">
        <v>0</v>
      </c>
      <c r="S215" s="93">
        <v>0.36</v>
      </c>
      <c r="T215" s="98">
        <f>AF215</f>
        <v>4.8112563807564106</v>
      </c>
      <c r="U215" s="93">
        <v>25.21</v>
      </c>
      <c r="V215" s="93">
        <v>2.5</v>
      </c>
      <c r="W215" s="93">
        <v>21.42</v>
      </c>
      <c r="X215" s="93">
        <v>2.5</v>
      </c>
      <c r="Y215" s="93">
        <v>0.11</v>
      </c>
      <c r="Z215" s="93">
        <v>2.5</v>
      </c>
      <c r="AA215" s="93">
        <v>5.8</v>
      </c>
      <c r="AB215" s="93">
        <v>2.5</v>
      </c>
      <c r="AC215" s="93">
        <v>1.7</v>
      </c>
      <c r="AD215" s="93">
        <v>2.5</v>
      </c>
      <c r="AE215" s="93">
        <v>1.84</v>
      </c>
      <c r="AF215" s="96">
        <f t="shared" si="65"/>
        <v>4.8112563807564106</v>
      </c>
      <c r="AG215" s="10">
        <f t="shared" si="60"/>
        <v>7.97</v>
      </c>
      <c r="AH215" s="95">
        <f t="shared" si="61"/>
        <v>2.5174493333333334</v>
      </c>
      <c r="AI215" s="96">
        <f t="shared" si="69"/>
        <v>4.8112563807564106</v>
      </c>
      <c r="AJ215" s="96">
        <f t="shared" si="66"/>
        <v>26.414468103398651</v>
      </c>
      <c r="AK215" s="96">
        <f t="shared" si="67"/>
        <v>3.8448909483950273</v>
      </c>
    </row>
    <row r="216" spans="1:37" x14ac:dyDescent="0.15">
      <c r="A216" s="10">
        <f>A215+0.5</f>
        <v>2022.5</v>
      </c>
      <c r="B216" s="95">
        <v>1</v>
      </c>
      <c r="C216" s="10">
        <v>9.43</v>
      </c>
      <c r="D216" s="96">
        <f>5.5/12*7</f>
        <v>3.208333333333333</v>
      </c>
      <c r="E216" s="96">
        <f t="shared" si="68"/>
        <v>30.254583333333329</v>
      </c>
      <c r="F216" s="96">
        <f t="shared" si="62"/>
        <v>2.5666666666666664</v>
      </c>
      <c r="G216" s="96">
        <f t="shared" si="63"/>
        <v>243.1018333333333</v>
      </c>
      <c r="H216" s="96">
        <f t="shared" si="64"/>
        <v>22.323583333333332</v>
      </c>
      <c r="I216" s="94">
        <f>'Modell During mining'!$G210/1000000</f>
        <v>1.8305869333333338</v>
      </c>
      <c r="J216" s="94">
        <f>'Modell During mining'!$D210</f>
        <v>6.8313579863128731E-3</v>
      </c>
      <c r="K216" s="93">
        <v>0.95</v>
      </c>
      <c r="L216" s="93">
        <v>0.6</v>
      </c>
      <c r="M216" s="93">
        <v>0.31</v>
      </c>
      <c r="N216" s="93">
        <v>0.6</v>
      </c>
      <c r="O216" s="93">
        <v>1.26</v>
      </c>
      <c r="P216" s="93">
        <v>2</v>
      </c>
      <c r="Q216" s="93">
        <v>0.6</v>
      </c>
      <c r="R216" s="93">
        <v>0</v>
      </c>
      <c r="S216" s="93">
        <v>0.36</v>
      </c>
      <c r="T216" s="98">
        <f>AI215</f>
        <v>4.8112563807564106</v>
      </c>
      <c r="U216" s="93">
        <v>25.21</v>
      </c>
      <c r="V216" s="98">
        <f>$AI215</f>
        <v>4.8112563807564106</v>
      </c>
      <c r="W216" s="93">
        <v>21.42</v>
      </c>
      <c r="X216" s="98">
        <f>$AI215</f>
        <v>4.8112563807564106</v>
      </c>
      <c r="Y216" s="93">
        <v>0.11</v>
      </c>
      <c r="Z216" s="98">
        <f>$AI215</f>
        <v>4.8112563807564106</v>
      </c>
      <c r="AA216" s="93">
        <v>5.8</v>
      </c>
      <c r="AB216" s="98">
        <f>$AI215</f>
        <v>4.8112563807564106</v>
      </c>
      <c r="AC216" s="93">
        <v>1.7</v>
      </c>
      <c r="AD216" s="98">
        <f>$AI215</f>
        <v>4.8112563807564106</v>
      </c>
      <c r="AE216" s="93">
        <v>1.84</v>
      </c>
      <c r="AF216" s="96">
        <f t="shared" si="65"/>
        <v>5.4909698866777914</v>
      </c>
      <c r="AG216" s="10">
        <f t="shared" si="60"/>
        <v>7.97</v>
      </c>
      <c r="AH216" s="95">
        <f t="shared" si="61"/>
        <v>4.9505869333333337</v>
      </c>
      <c r="AI216" s="96">
        <f t="shared" si="69"/>
        <v>5.4909698866777914</v>
      </c>
      <c r="AJ216" s="96">
        <f t="shared" si="66"/>
        <v>27.546191281409421</v>
      </c>
      <c r="AK216" s="96">
        <f t="shared" si="67"/>
        <v>4.3280312611306408</v>
      </c>
    </row>
    <row r="217" spans="1:37" x14ac:dyDescent="0.15">
      <c r="A217" s="10">
        <f>A215+1</f>
        <v>2023</v>
      </c>
      <c r="B217" s="95">
        <v>0</v>
      </c>
      <c r="C217" s="10">
        <v>9.43</v>
      </c>
      <c r="D217" s="96">
        <f>5/12*5</f>
        <v>2.0833333333333335</v>
      </c>
      <c r="E217" s="96">
        <f t="shared" si="68"/>
        <v>19.645833333333336</v>
      </c>
      <c r="F217" s="96">
        <f t="shared" si="62"/>
        <v>1.666666666666667</v>
      </c>
      <c r="G217" s="96">
        <f t="shared" si="63"/>
        <v>157.85833333333335</v>
      </c>
      <c r="H217" s="96">
        <f t="shared" si="64"/>
        <v>14.495833333333335</v>
      </c>
      <c r="I217" s="94">
        <f>'Modell During mining'!$G211/1000000</f>
        <v>1.3255826666666668</v>
      </c>
      <c r="J217" s="94">
        <f>'Modell During mining'!$D211</f>
        <v>1.0634046713545836E-2</v>
      </c>
      <c r="K217" s="93">
        <v>0</v>
      </c>
      <c r="L217" s="93">
        <v>0.6</v>
      </c>
      <c r="M217" s="93">
        <v>0</v>
      </c>
      <c r="N217" s="93">
        <v>0.6</v>
      </c>
      <c r="O217" s="93">
        <v>1.26</v>
      </c>
      <c r="P217" s="93">
        <v>2</v>
      </c>
      <c r="Q217" s="93">
        <v>0</v>
      </c>
      <c r="R217" s="93">
        <v>0</v>
      </c>
      <c r="S217" s="93">
        <v>0.36</v>
      </c>
      <c r="T217" s="98">
        <f>AF217</f>
        <v>5.2130969340306583</v>
      </c>
      <c r="U217" s="93">
        <v>25.21</v>
      </c>
      <c r="V217" s="93">
        <v>2.5</v>
      </c>
      <c r="W217" s="93">
        <v>21.42</v>
      </c>
      <c r="X217" s="93">
        <v>2.5</v>
      </c>
      <c r="Y217" s="93">
        <v>0.11</v>
      </c>
      <c r="Z217" s="93">
        <v>2.5</v>
      </c>
      <c r="AA217" s="93">
        <v>5.8</v>
      </c>
      <c r="AB217" s="93">
        <v>2.5</v>
      </c>
      <c r="AC217" s="93">
        <v>1.7</v>
      </c>
      <c r="AD217" s="93">
        <v>2.5</v>
      </c>
      <c r="AE217" s="93">
        <v>1.84</v>
      </c>
      <c r="AF217" s="96">
        <f t="shared" si="65"/>
        <v>5.2130969340306583</v>
      </c>
      <c r="AG217" s="10">
        <f t="shared" si="60"/>
        <v>7.97</v>
      </c>
      <c r="AH217" s="95">
        <f t="shared" si="61"/>
        <v>2.5855826666666668</v>
      </c>
      <c r="AI217" s="96">
        <f t="shared" si="69"/>
        <v>5.2130969340306583</v>
      </c>
      <c r="AJ217" s="96">
        <f t="shared" si="66"/>
        <v>28.479966227385887</v>
      </c>
      <c r="AK217" s="96">
        <f t="shared" si="67"/>
        <v>4.1661841401234652</v>
      </c>
    </row>
    <row r="218" spans="1:37" x14ac:dyDescent="0.15">
      <c r="A218" s="10">
        <f>A217+0.5</f>
        <v>2023.5</v>
      </c>
      <c r="B218" s="95">
        <v>1</v>
      </c>
      <c r="C218" s="10">
        <v>9.43</v>
      </c>
      <c r="D218" s="96">
        <f>5.5/12*7</f>
        <v>3.208333333333333</v>
      </c>
      <c r="E218" s="96">
        <f t="shared" si="68"/>
        <v>30.254583333333329</v>
      </c>
      <c r="F218" s="96">
        <f t="shared" si="62"/>
        <v>2.5666666666666664</v>
      </c>
      <c r="G218" s="96">
        <f t="shared" si="63"/>
        <v>243.1018333333333</v>
      </c>
      <c r="H218" s="96">
        <f t="shared" si="64"/>
        <v>22.323583333333332</v>
      </c>
      <c r="I218" s="94">
        <f>'Modell During mining'!$G212/1000000</f>
        <v>1.9322808000000005</v>
      </c>
      <c r="J218" s="94">
        <f>'Modell During mining'!$D212</f>
        <v>6.5489932933143011E-3</v>
      </c>
      <c r="K218" s="93">
        <v>0.95</v>
      </c>
      <c r="L218" s="93">
        <v>0.6</v>
      </c>
      <c r="M218" s="93">
        <v>0.31</v>
      </c>
      <c r="N218" s="93">
        <v>0.6</v>
      </c>
      <c r="O218" s="93">
        <v>1.26</v>
      </c>
      <c r="P218" s="93">
        <v>2</v>
      </c>
      <c r="Q218" s="93">
        <v>1.6</v>
      </c>
      <c r="R218" s="93">
        <v>0</v>
      </c>
      <c r="S218" s="93">
        <v>0.36</v>
      </c>
      <c r="T218" s="98">
        <f>AI217</f>
        <v>5.2130969340306583</v>
      </c>
      <c r="U218" s="93">
        <v>25.21</v>
      </c>
      <c r="V218" s="98">
        <f>$AI217</f>
        <v>5.2130969340306583</v>
      </c>
      <c r="W218" s="93">
        <v>21.42</v>
      </c>
      <c r="X218" s="98">
        <f>$AI217</f>
        <v>5.2130969340306583</v>
      </c>
      <c r="Y218" s="93">
        <v>0.11</v>
      </c>
      <c r="Z218" s="98">
        <f>$AI217</f>
        <v>5.2130969340306583</v>
      </c>
      <c r="AA218" s="93">
        <v>5.8</v>
      </c>
      <c r="AB218" s="98">
        <f>$AI217</f>
        <v>5.2130969340306583</v>
      </c>
      <c r="AC218" s="93">
        <v>1.7</v>
      </c>
      <c r="AD218" s="98">
        <f>$AI217</f>
        <v>5.2130969340306583</v>
      </c>
      <c r="AE218" s="93">
        <v>1.84</v>
      </c>
      <c r="AF218" s="96">
        <f t="shared" si="65"/>
        <v>5.5076928526947997</v>
      </c>
      <c r="AG218" s="10">
        <f t="shared" si="60"/>
        <v>7.97</v>
      </c>
      <c r="AH218" s="95">
        <f t="shared" si="61"/>
        <v>6.0522808000000001</v>
      </c>
      <c r="AI218" s="96">
        <f t="shared" si="69"/>
        <v>5.5076928526947997</v>
      </c>
      <c r="AJ218" s="96">
        <f t="shared" si="66"/>
        <v>26.979054451233274</v>
      </c>
      <c r="AK218" s="96">
        <f t="shared" si="67"/>
        <v>4.4005950049453242</v>
      </c>
    </row>
    <row r="219" spans="1:37" x14ac:dyDescent="0.15">
      <c r="A219" s="10">
        <f>A217+1</f>
        <v>2024</v>
      </c>
      <c r="B219" s="95">
        <v>0</v>
      </c>
      <c r="C219" s="10">
        <v>9.43</v>
      </c>
      <c r="D219" s="96">
        <f>5/12*5</f>
        <v>2.0833333333333335</v>
      </c>
      <c r="E219" s="96">
        <f t="shared" si="68"/>
        <v>19.645833333333336</v>
      </c>
      <c r="F219" s="96">
        <f t="shared" si="62"/>
        <v>1.666666666666667</v>
      </c>
      <c r="G219" s="96">
        <f t="shared" si="63"/>
        <v>157.85833333333335</v>
      </c>
      <c r="H219" s="96">
        <f t="shared" si="64"/>
        <v>14.495833333333335</v>
      </c>
      <c r="I219" s="94">
        <f>'Modell During mining'!$G213/1000000</f>
        <v>1.393716</v>
      </c>
      <c r="J219" s="94">
        <f>'Modell During mining'!$D213</f>
        <v>1.0289609934879125E-2</v>
      </c>
      <c r="K219" s="93">
        <v>0</v>
      </c>
      <c r="L219" s="93">
        <v>0.6</v>
      </c>
      <c r="M219" s="93">
        <v>0</v>
      </c>
      <c r="N219" s="93">
        <v>0.6</v>
      </c>
      <c r="O219" s="93">
        <v>1.26</v>
      </c>
      <c r="P219" s="93">
        <v>2</v>
      </c>
      <c r="Q219" s="93">
        <v>0</v>
      </c>
      <c r="R219" s="93">
        <v>0</v>
      </c>
      <c r="S219" s="93">
        <v>0.36</v>
      </c>
      <c r="T219" s="98">
        <f>AF219</f>
        <v>4.5695825473511844</v>
      </c>
      <c r="U219" s="93">
        <v>25.21</v>
      </c>
      <c r="V219" s="93">
        <v>2.5</v>
      </c>
      <c r="W219" s="93">
        <v>21.42</v>
      </c>
      <c r="X219" s="93">
        <v>2.5</v>
      </c>
      <c r="Y219" s="93">
        <v>0.11</v>
      </c>
      <c r="Z219" s="93">
        <v>2.5</v>
      </c>
      <c r="AA219" s="93">
        <v>5.8</v>
      </c>
      <c r="AB219" s="93">
        <v>2.5</v>
      </c>
      <c r="AC219" s="93">
        <v>1.7</v>
      </c>
      <c r="AD219" s="93">
        <v>2.5</v>
      </c>
      <c r="AE219" s="93">
        <v>1.84</v>
      </c>
      <c r="AF219" s="96">
        <f t="shared" si="65"/>
        <v>4.5695825473511844</v>
      </c>
      <c r="AG219" s="10">
        <f t="shared" si="60"/>
        <v>7.97</v>
      </c>
      <c r="AH219" s="95">
        <f t="shared" si="61"/>
        <v>2.6537160000000002</v>
      </c>
      <c r="AI219" s="96">
        <f t="shared" si="69"/>
        <v>4.5695825473511844</v>
      </c>
      <c r="AJ219" s="96">
        <f t="shared" si="66"/>
        <v>25.195398224107461</v>
      </c>
      <c r="AK219" s="96">
        <f t="shared" si="67"/>
        <v>3.6567107446812273</v>
      </c>
    </row>
    <row r="220" spans="1:37" x14ac:dyDescent="0.15">
      <c r="A220" s="10">
        <f>A219+0.5</f>
        <v>2024.5</v>
      </c>
      <c r="B220" s="95">
        <v>1</v>
      </c>
      <c r="C220" s="10">
        <v>9.43</v>
      </c>
      <c r="D220" s="96">
        <f>5.5/12*7</f>
        <v>3.208333333333333</v>
      </c>
      <c r="E220" s="96">
        <f t="shared" si="68"/>
        <v>30.254583333333329</v>
      </c>
      <c r="F220" s="96">
        <f t="shared" si="62"/>
        <v>2.5666666666666664</v>
      </c>
      <c r="G220" s="96">
        <f t="shared" si="63"/>
        <v>243.1018333333333</v>
      </c>
      <c r="H220" s="96">
        <f t="shared" si="64"/>
        <v>22.323583333333332</v>
      </c>
      <c r="I220" s="94">
        <f>'Modell During mining'!$G214/1000000</f>
        <v>2.0339746666666674</v>
      </c>
      <c r="J220" s="94">
        <f>'Modell During mining'!$D214</f>
        <v>6.2948637183943895E-3</v>
      </c>
      <c r="K220" s="93">
        <v>0.95</v>
      </c>
      <c r="L220" s="93">
        <v>0.6</v>
      </c>
      <c r="M220" s="93">
        <v>0.31</v>
      </c>
      <c r="N220" s="93">
        <v>0.6</v>
      </c>
      <c r="O220" s="93">
        <v>1.26</v>
      </c>
      <c r="P220" s="93">
        <v>2</v>
      </c>
      <c r="Q220" s="93">
        <v>1.6</v>
      </c>
      <c r="R220" s="93">
        <v>0</v>
      </c>
      <c r="S220" s="93">
        <v>0.36</v>
      </c>
      <c r="T220" s="98">
        <f>AI219</f>
        <v>4.5695825473511844</v>
      </c>
      <c r="U220" s="93">
        <v>25.21</v>
      </c>
      <c r="V220" s="98">
        <f>$AI219</f>
        <v>4.5695825473511844</v>
      </c>
      <c r="W220" s="93">
        <v>21.42</v>
      </c>
      <c r="X220" s="98">
        <f>$AI219</f>
        <v>4.5695825473511844</v>
      </c>
      <c r="Y220" s="93">
        <v>0.11</v>
      </c>
      <c r="Z220" s="98">
        <f>$AI219</f>
        <v>4.5695825473511844</v>
      </c>
      <c r="AA220" s="93">
        <v>5.8</v>
      </c>
      <c r="AB220" s="98">
        <f>$AI219</f>
        <v>4.5695825473511844</v>
      </c>
      <c r="AC220" s="93">
        <v>1.7</v>
      </c>
      <c r="AD220" s="98">
        <f>$AI219</f>
        <v>4.5695825473511844</v>
      </c>
      <c r="AE220" s="93">
        <v>1.84</v>
      </c>
      <c r="AF220" s="96">
        <f t="shared" si="65"/>
        <v>5.1597483211074087</v>
      </c>
      <c r="AG220" s="10">
        <f t="shared" si="60"/>
        <v>7.97</v>
      </c>
      <c r="AH220" s="95">
        <f t="shared" si="61"/>
        <v>6.1539746666666684</v>
      </c>
      <c r="AI220" s="96">
        <f t="shared" si="69"/>
        <v>5.1597483211074087</v>
      </c>
      <c r="AJ220" s="96">
        <f t="shared" si="66"/>
        <v>26.023659059078383</v>
      </c>
      <c r="AK220" s="96">
        <f t="shared" si="67"/>
        <v>4.0449576318892317</v>
      </c>
    </row>
    <row r="221" spans="1:37" x14ac:dyDescent="0.15">
      <c r="A221" s="10">
        <f>A219+1</f>
        <v>2025</v>
      </c>
      <c r="B221" s="95">
        <v>0</v>
      </c>
      <c r="C221" s="10">
        <v>9.43</v>
      </c>
      <c r="D221" s="96">
        <f>5/12*5</f>
        <v>2.0833333333333335</v>
      </c>
      <c r="E221" s="96">
        <f t="shared" si="68"/>
        <v>19.645833333333336</v>
      </c>
      <c r="F221" s="96">
        <f t="shared" si="62"/>
        <v>1.666666666666667</v>
      </c>
      <c r="G221" s="96">
        <f t="shared" si="63"/>
        <v>157.85833333333335</v>
      </c>
      <c r="H221" s="96">
        <f t="shared" si="64"/>
        <v>14.495833333333335</v>
      </c>
      <c r="I221" s="94">
        <f>'Modell During mining'!$G215/1000000</f>
        <v>1.4618493333333333</v>
      </c>
      <c r="J221" s="94">
        <f>'Modell During mining'!$D215</f>
        <v>9.9772799203201017E-3</v>
      </c>
      <c r="K221" s="93">
        <v>0</v>
      </c>
      <c r="L221" s="93">
        <v>0.6</v>
      </c>
      <c r="M221" s="93">
        <v>0</v>
      </c>
      <c r="N221" s="93">
        <v>0.6</v>
      </c>
      <c r="O221" s="93">
        <v>1.26</v>
      </c>
      <c r="P221" s="93">
        <v>2</v>
      </c>
      <c r="Q221" s="93">
        <v>0</v>
      </c>
      <c r="R221" s="93">
        <v>0</v>
      </c>
      <c r="S221" s="93">
        <v>0.36</v>
      </c>
      <c r="T221" s="98">
        <f>AF221</f>
        <v>4.4229687885768518</v>
      </c>
      <c r="U221" s="93">
        <v>25.21</v>
      </c>
      <c r="V221" s="93">
        <v>2.5</v>
      </c>
      <c r="W221" s="93">
        <v>21.42</v>
      </c>
      <c r="X221" s="93">
        <v>2.5</v>
      </c>
      <c r="Y221" s="93">
        <v>0.11</v>
      </c>
      <c r="Z221" s="93">
        <v>2.5</v>
      </c>
      <c r="AA221" s="93">
        <v>5.8</v>
      </c>
      <c r="AB221" s="93">
        <v>2.5</v>
      </c>
      <c r="AC221" s="93">
        <v>1.7</v>
      </c>
      <c r="AD221" s="93">
        <v>2.5</v>
      </c>
      <c r="AE221" s="93">
        <v>1.84</v>
      </c>
      <c r="AF221" s="96">
        <f t="shared" si="65"/>
        <v>4.4229687885768518</v>
      </c>
      <c r="AG221" s="10">
        <f t="shared" si="60"/>
        <v>7.97</v>
      </c>
      <c r="AH221" s="95">
        <f t="shared" si="61"/>
        <v>2.7218493333333331</v>
      </c>
      <c r="AI221" s="96">
        <f t="shared" si="69"/>
        <v>4.4229687885768518</v>
      </c>
      <c r="AJ221" s="96">
        <f t="shared" si="66"/>
        <v>24.567794453359266</v>
      </c>
      <c r="AK221" s="96">
        <f t="shared" si="67"/>
        <v>3.5075939187721028</v>
      </c>
    </row>
    <row r="222" spans="1:37" x14ac:dyDescent="0.15">
      <c r="A222" s="10">
        <f>A221+0.5</f>
        <v>2025.5</v>
      </c>
      <c r="B222" s="95">
        <v>1</v>
      </c>
      <c r="C222" s="10">
        <v>9.43</v>
      </c>
      <c r="D222" s="96">
        <f>5.5/12*7</f>
        <v>3.208333333333333</v>
      </c>
      <c r="E222" s="96">
        <f t="shared" si="68"/>
        <v>30.254583333333329</v>
      </c>
      <c r="F222" s="96">
        <f t="shared" si="62"/>
        <v>2.5666666666666664</v>
      </c>
      <c r="G222" s="96">
        <f t="shared" si="63"/>
        <v>243.1018333333333</v>
      </c>
      <c r="H222" s="96">
        <f t="shared" si="64"/>
        <v>22.323583333333332</v>
      </c>
      <c r="I222" s="94">
        <f>'Modell During mining'!$G216/1000000</f>
        <v>2.1356685333333343</v>
      </c>
      <c r="J222" s="94">
        <f>'Modell During mining'!$D216</f>
        <v>6.064935857087431E-3</v>
      </c>
      <c r="K222" s="93">
        <v>0.95</v>
      </c>
      <c r="L222" s="93">
        <v>0.6</v>
      </c>
      <c r="M222" s="93">
        <v>0.31</v>
      </c>
      <c r="N222" s="93">
        <v>0.6</v>
      </c>
      <c r="O222" s="93">
        <v>1.26</v>
      </c>
      <c r="P222" s="93">
        <v>2</v>
      </c>
      <c r="Q222" s="93">
        <v>1.6</v>
      </c>
      <c r="R222" s="93">
        <v>0</v>
      </c>
      <c r="S222" s="93">
        <v>0.36</v>
      </c>
      <c r="T222" s="98">
        <f>AI221</f>
        <v>4.4229687885768518</v>
      </c>
      <c r="U222" s="93">
        <v>25.21</v>
      </c>
      <c r="V222" s="98">
        <f>$AI221</f>
        <v>4.4229687885768518</v>
      </c>
      <c r="W222" s="93">
        <v>21.42</v>
      </c>
      <c r="X222" s="98">
        <f>$AI221</f>
        <v>4.4229687885768518</v>
      </c>
      <c r="Y222" s="93">
        <v>0.11</v>
      </c>
      <c r="Z222" s="98">
        <f>$AI221</f>
        <v>4.4229687885768518</v>
      </c>
      <c r="AA222" s="93">
        <v>5.8</v>
      </c>
      <c r="AB222" s="98">
        <f>$AI221</f>
        <v>4.4229687885768518</v>
      </c>
      <c r="AC222" s="93">
        <v>1.7</v>
      </c>
      <c r="AD222" s="98">
        <f>$AI221</f>
        <v>4.4229687885768518</v>
      </c>
      <c r="AE222" s="93">
        <v>1.84</v>
      </c>
      <c r="AF222" s="96">
        <f t="shared" si="65"/>
        <v>4.9965843080662484</v>
      </c>
      <c r="AG222" s="10">
        <f t="shared" si="60"/>
        <v>7.97</v>
      </c>
      <c r="AH222" s="95">
        <f t="shared" si="61"/>
        <v>6.2556685333333348</v>
      </c>
      <c r="AI222" s="96">
        <f t="shared" si="69"/>
        <v>4.9965843080662484</v>
      </c>
      <c r="AJ222" s="96">
        <f t="shared" si="66"/>
        <v>25.31708539951531</v>
      </c>
      <c r="AK222" s="96">
        <f t="shared" si="67"/>
        <v>3.9021527585325346</v>
      </c>
    </row>
    <row r="223" spans="1:37" x14ac:dyDescent="0.15">
      <c r="A223" s="10">
        <f>A221+1</f>
        <v>2026</v>
      </c>
      <c r="B223" s="95">
        <v>0</v>
      </c>
      <c r="C223" s="10">
        <v>9.43</v>
      </c>
      <c r="D223" s="96">
        <f>5/12*5</f>
        <v>2.0833333333333335</v>
      </c>
      <c r="E223" s="96">
        <f t="shared" si="68"/>
        <v>19.645833333333336</v>
      </c>
      <c r="F223" s="96">
        <f t="shared" si="62"/>
        <v>1.666666666666667</v>
      </c>
      <c r="G223" s="96">
        <f t="shared" si="63"/>
        <v>157.85833333333335</v>
      </c>
      <c r="H223" s="96">
        <f t="shared" si="64"/>
        <v>14.495833333333335</v>
      </c>
      <c r="I223" s="94">
        <f>'Modell During mining'!$G217/1000000</f>
        <v>1.5299826666666665</v>
      </c>
      <c r="J223" s="94">
        <f>'Modell During mining'!$D217</f>
        <v>9.6927673254686066E-3</v>
      </c>
      <c r="K223" s="93">
        <v>0</v>
      </c>
      <c r="L223" s="93">
        <v>0.6</v>
      </c>
      <c r="M223" s="93">
        <v>0</v>
      </c>
      <c r="N223" s="93">
        <v>0.6</v>
      </c>
      <c r="O223" s="93">
        <v>1.26</v>
      </c>
      <c r="P223" s="93">
        <v>2</v>
      </c>
      <c r="Q223" s="93">
        <v>0</v>
      </c>
      <c r="R223" s="93">
        <v>0</v>
      </c>
      <c r="S223" s="93">
        <v>0.36</v>
      </c>
      <c r="T223" s="98">
        <f>AF223</f>
        <v>4.3059697419540317</v>
      </c>
      <c r="U223" s="93">
        <v>25.21</v>
      </c>
      <c r="V223" s="93">
        <v>2.5</v>
      </c>
      <c r="W223" s="93">
        <v>21.42</v>
      </c>
      <c r="X223" s="93">
        <v>2.5</v>
      </c>
      <c r="Y223" s="93">
        <v>0.11</v>
      </c>
      <c r="Z223" s="93">
        <v>2.5</v>
      </c>
      <c r="AA223" s="93">
        <v>5.8</v>
      </c>
      <c r="AB223" s="93">
        <v>2.5</v>
      </c>
      <c r="AC223" s="93">
        <v>1.7</v>
      </c>
      <c r="AD223" s="93">
        <v>2.5</v>
      </c>
      <c r="AE223" s="93">
        <v>1.84</v>
      </c>
      <c r="AF223" s="96">
        <f t="shared" si="65"/>
        <v>4.3059697419540317</v>
      </c>
      <c r="AG223" s="10">
        <f t="shared" si="60"/>
        <v>7.97</v>
      </c>
      <c r="AH223" s="95">
        <f t="shared" si="61"/>
        <v>2.7899826666666665</v>
      </c>
      <c r="AI223" s="96">
        <f t="shared" si="69"/>
        <v>4.3059697419540317</v>
      </c>
      <c r="AJ223" s="96">
        <f t="shared" si="66"/>
        <v>24.00930842630606</v>
      </c>
      <c r="AK223" s="96">
        <f t="shared" si="67"/>
        <v>3.405346949816126</v>
      </c>
    </row>
    <row r="224" spans="1:37" x14ac:dyDescent="0.15">
      <c r="A224" s="10">
        <f>A223+0.5</f>
        <v>2026.5</v>
      </c>
      <c r="B224" s="95">
        <v>1</v>
      </c>
      <c r="C224" s="10">
        <v>9.43</v>
      </c>
      <c r="D224" s="96">
        <f>5.5/12*7</f>
        <v>3.208333333333333</v>
      </c>
      <c r="E224" s="96">
        <f t="shared" si="68"/>
        <v>30.254583333333329</v>
      </c>
      <c r="F224" s="96">
        <f t="shared" si="62"/>
        <v>2.5666666666666664</v>
      </c>
      <c r="G224" s="96">
        <f t="shared" si="63"/>
        <v>243.1018333333333</v>
      </c>
      <c r="H224" s="96">
        <f t="shared" si="64"/>
        <v>22.323583333333332</v>
      </c>
      <c r="I224" s="94">
        <f>'Modell During mining'!$G218/1000000</f>
        <v>2.2373624000000008</v>
      </c>
      <c r="J224" s="94">
        <f>'Modell During mining'!$D218</f>
        <v>5.8559096192909964E-3</v>
      </c>
      <c r="K224" s="93">
        <v>0.95</v>
      </c>
      <c r="L224" s="93">
        <v>0.6</v>
      </c>
      <c r="M224" s="93">
        <v>0.31</v>
      </c>
      <c r="N224" s="93">
        <v>0.6</v>
      </c>
      <c r="O224" s="93">
        <v>1.26</v>
      </c>
      <c r="P224" s="93">
        <v>2</v>
      </c>
      <c r="Q224" s="93">
        <v>1.6</v>
      </c>
      <c r="R224" s="93">
        <v>0</v>
      </c>
      <c r="S224" s="93">
        <v>0.36</v>
      </c>
      <c r="T224" s="98">
        <f>AI223</f>
        <v>4.3059697419540317</v>
      </c>
      <c r="U224" s="93">
        <v>25.21</v>
      </c>
      <c r="V224" s="98">
        <f>$AI223</f>
        <v>4.3059697419540317</v>
      </c>
      <c r="W224" s="93">
        <v>21.42</v>
      </c>
      <c r="X224" s="98">
        <f>$AI223</f>
        <v>4.3059697419540317</v>
      </c>
      <c r="Y224" s="93">
        <v>0.11</v>
      </c>
      <c r="Z224" s="98">
        <f>$AI223</f>
        <v>4.3059697419540317</v>
      </c>
      <c r="AA224" s="93">
        <v>5.8</v>
      </c>
      <c r="AB224" s="98">
        <f>$AI223</f>
        <v>4.3059697419540317</v>
      </c>
      <c r="AC224" s="93">
        <v>1.7</v>
      </c>
      <c r="AD224" s="98">
        <f>$AI223</f>
        <v>4.3059697419540317</v>
      </c>
      <c r="AE224" s="93">
        <v>1.84</v>
      </c>
      <c r="AF224" s="96">
        <f t="shared" si="65"/>
        <v>4.8505918363493876</v>
      </c>
      <c r="AG224" s="10">
        <f t="shared" si="60"/>
        <v>7.97</v>
      </c>
      <c r="AH224" s="95">
        <f t="shared" si="61"/>
        <v>6.3573624000000013</v>
      </c>
      <c r="AI224" s="96">
        <f t="shared" si="69"/>
        <v>4.8505918363493876</v>
      </c>
      <c r="AJ224" s="96">
        <f t="shared" si="66"/>
        <v>24.660624664289667</v>
      </c>
      <c r="AK224" s="96">
        <f t="shared" si="67"/>
        <v>3.7768987651236849</v>
      </c>
    </row>
    <row r="225" spans="1:37" x14ac:dyDescent="0.15">
      <c r="A225" s="10">
        <f>A223+1</f>
        <v>2027</v>
      </c>
      <c r="B225" s="95">
        <v>0</v>
      </c>
      <c r="C225" s="10">
        <v>9.43</v>
      </c>
      <c r="D225" s="96">
        <f>5/12*5</f>
        <v>2.0833333333333335</v>
      </c>
      <c r="E225" s="96">
        <f t="shared" si="68"/>
        <v>19.645833333333336</v>
      </c>
      <c r="F225" s="96">
        <f t="shared" si="62"/>
        <v>1.666666666666667</v>
      </c>
      <c r="G225" s="96">
        <f t="shared" si="63"/>
        <v>157.85833333333335</v>
      </c>
      <c r="H225" s="96">
        <f t="shared" si="64"/>
        <v>14.495833333333335</v>
      </c>
      <c r="I225" s="94">
        <f>'Modell During mining'!$G219/1000000</f>
        <v>1.5981159999999999</v>
      </c>
      <c r="J225" s="94">
        <f>'Modell During mining'!$D219</f>
        <v>9.4325142855712571E-3</v>
      </c>
      <c r="K225" s="93">
        <v>0</v>
      </c>
      <c r="L225" s="93">
        <v>0.6</v>
      </c>
      <c r="M225" s="93">
        <v>0</v>
      </c>
      <c r="N225" s="93">
        <v>0.6</v>
      </c>
      <c r="O225" s="93">
        <v>1.26</v>
      </c>
      <c r="P225" s="93">
        <v>2</v>
      </c>
      <c r="Q225" s="93">
        <v>0</v>
      </c>
      <c r="R225" s="93">
        <v>0</v>
      </c>
      <c r="S225" s="93">
        <v>0.36</v>
      </c>
      <c r="T225" s="98">
        <f>AF225</f>
        <v>4.1960715595548583</v>
      </c>
      <c r="U225" s="93">
        <v>25.21</v>
      </c>
      <c r="V225" s="93">
        <v>2.5</v>
      </c>
      <c r="W225" s="93">
        <v>21.42</v>
      </c>
      <c r="X225" s="93">
        <v>2.5</v>
      </c>
      <c r="Y225" s="93">
        <v>0.11</v>
      </c>
      <c r="Z225" s="93">
        <v>2.5</v>
      </c>
      <c r="AA225" s="93">
        <v>5.8</v>
      </c>
      <c r="AB225" s="93">
        <v>2.5</v>
      </c>
      <c r="AC225" s="93">
        <v>1.7</v>
      </c>
      <c r="AD225" s="93">
        <v>2.5</v>
      </c>
      <c r="AE225" s="93">
        <v>1.84</v>
      </c>
      <c r="AF225" s="96">
        <f t="shared" si="65"/>
        <v>4.1960715595548583</v>
      </c>
      <c r="AG225" s="10">
        <f t="shared" si="60"/>
        <v>7.97</v>
      </c>
      <c r="AH225" s="95">
        <f t="shared" si="61"/>
        <v>2.8581159999999999</v>
      </c>
      <c r="AI225" s="96">
        <f t="shared" si="69"/>
        <v>4.1960715595548583</v>
      </c>
      <c r="AJ225" s="96">
        <f t="shared" si="66"/>
        <v>23.478915073472265</v>
      </c>
      <c r="AK225" s="96">
        <f t="shared" si="67"/>
        <v>3.3105211402658359</v>
      </c>
    </row>
    <row r="226" spans="1:37" x14ac:dyDescent="0.15">
      <c r="A226" s="10">
        <f>A225+0.5</f>
        <v>2027.5</v>
      </c>
      <c r="B226" s="95">
        <v>1</v>
      </c>
      <c r="C226" s="10">
        <v>9.43</v>
      </c>
      <c r="D226" s="96">
        <f>5.5/12*7</f>
        <v>3.208333333333333</v>
      </c>
      <c r="E226" s="96">
        <f t="shared" si="68"/>
        <v>30.254583333333329</v>
      </c>
      <c r="F226" s="96">
        <f t="shared" si="62"/>
        <v>2.5666666666666664</v>
      </c>
      <c r="G226" s="96">
        <f t="shared" si="63"/>
        <v>243.1018333333333</v>
      </c>
      <c r="H226" s="96">
        <f t="shared" si="64"/>
        <v>22.323583333333332</v>
      </c>
      <c r="I226" s="94">
        <f>'Modell During mining'!$G220/1000000</f>
        <v>2.3390562666666677</v>
      </c>
      <c r="J226" s="94">
        <f>'Modell During mining'!$D220</f>
        <v>5.6650588197336739E-3</v>
      </c>
      <c r="K226" s="93">
        <v>0.95</v>
      </c>
      <c r="L226" s="93">
        <v>0.6</v>
      </c>
      <c r="M226" s="93">
        <v>0.31</v>
      </c>
      <c r="N226" s="93">
        <v>0.6</v>
      </c>
      <c r="O226" s="93">
        <v>1.26</v>
      </c>
      <c r="P226" s="93">
        <v>2</v>
      </c>
      <c r="Q226" s="93">
        <v>1.6</v>
      </c>
      <c r="R226" s="93">
        <v>0</v>
      </c>
      <c r="S226" s="93">
        <v>0.36</v>
      </c>
      <c r="T226" s="98">
        <f>AI225</f>
        <v>4.1960715595548583</v>
      </c>
      <c r="U226" s="93">
        <v>25.21</v>
      </c>
      <c r="V226" s="98">
        <f>$AI225</f>
        <v>4.1960715595548583</v>
      </c>
      <c r="W226" s="93">
        <v>21.42</v>
      </c>
      <c r="X226" s="98">
        <f>$AI225</f>
        <v>4.1960715595548583</v>
      </c>
      <c r="Y226" s="93">
        <v>0.11</v>
      </c>
      <c r="Z226" s="98">
        <f>$AI225</f>
        <v>4.1960715595548583</v>
      </c>
      <c r="AA226" s="93">
        <v>5.8</v>
      </c>
      <c r="AB226" s="98">
        <f>$AI225</f>
        <v>4.1960715595548583</v>
      </c>
      <c r="AC226" s="93">
        <v>1.7</v>
      </c>
      <c r="AD226" s="98">
        <f>$AI225</f>
        <v>4.1960715595548583</v>
      </c>
      <c r="AE226" s="93">
        <v>1.84</v>
      </c>
      <c r="AF226" s="96">
        <f t="shared" si="65"/>
        <v>4.7132378069107865</v>
      </c>
      <c r="AG226" s="10">
        <f t="shared" si="60"/>
        <v>7.97</v>
      </c>
      <c r="AH226" s="95">
        <f t="shared" si="61"/>
        <v>6.4590562666666678</v>
      </c>
      <c r="AI226" s="96">
        <f t="shared" si="69"/>
        <v>4.7132378069107865</v>
      </c>
      <c r="AJ226" s="96">
        <f t="shared" si="66"/>
        <v>24.041553225431162</v>
      </c>
      <c r="AK226" s="96">
        <f t="shared" si="67"/>
        <v>3.6594593282910988</v>
      </c>
    </row>
    <row r="227" spans="1:37" x14ac:dyDescent="0.15">
      <c r="A227" s="10">
        <f>A225+1</f>
        <v>2028</v>
      </c>
      <c r="B227" s="95">
        <v>0</v>
      </c>
      <c r="C227" s="10">
        <v>9.43</v>
      </c>
      <c r="D227" s="96">
        <f>5/12*5</f>
        <v>2.0833333333333335</v>
      </c>
      <c r="E227" s="96">
        <f t="shared" si="68"/>
        <v>19.645833333333336</v>
      </c>
      <c r="F227" s="96">
        <f t="shared" si="62"/>
        <v>1.666666666666667</v>
      </c>
      <c r="G227" s="96">
        <f t="shared" si="63"/>
        <v>157.85833333333335</v>
      </c>
      <c r="H227" s="96">
        <f t="shared" si="64"/>
        <v>14.495833333333335</v>
      </c>
      <c r="I227" s="94">
        <f>'Modell During mining'!$G221/1000000</f>
        <v>1.666249333333333</v>
      </c>
      <c r="J227" s="94">
        <f>'Modell During mining'!$D221</f>
        <v>9.1935448636338499E-3</v>
      </c>
      <c r="K227" s="93">
        <v>0</v>
      </c>
      <c r="L227" s="93">
        <v>0.6</v>
      </c>
      <c r="M227" s="93">
        <v>0</v>
      </c>
      <c r="N227" s="93">
        <v>0.6</v>
      </c>
      <c r="O227" s="93">
        <v>1.26</v>
      </c>
      <c r="P227" s="93">
        <v>2</v>
      </c>
      <c r="Q227" s="93">
        <v>0</v>
      </c>
      <c r="R227" s="93">
        <v>0</v>
      </c>
      <c r="S227" s="93">
        <v>0.36</v>
      </c>
      <c r="T227" s="98">
        <f>AF227</f>
        <v>4.0917978912919963</v>
      </c>
      <c r="U227" s="93">
        <v>25.21</v>
      </c>
      <c r="V227" s="93">
        <v>2.5</v>
      </c>
      <c r="W227" s="93">
        <v>21.42</v>
      </c>
      <c r="X227" s="93">
        <v>2.5</v>
      </c>
      <c r="Y227" s="93">
        <v>0.11</v>
      </c>
      <c r="Z227" s="93">
        <v>2.5</v>
      </c>
      <c r="AA227" s="93">
        <v>5.8</v>
      </c>
      <c r="AB227" s="93">
        <v>2.5</v>
      </c>
      <c r="AC227" s="93">
        <v>1.7</v>
      </c>
      <c r="AD227" s="93">
        <v>2.5</v>
      </c>
      <c r="AE227" s="93">
        <v>1.84</v>
      </c>
      <c r="AF227" s="96">
        <f t="shared" si="65"/>
        <v>4.0917978912919963</v>
      </c>
      <c r="AG227" s="10">
        <f t="shared" si="60"/>
        <v>7.97</v>
      </c>
      <c r="AH227" s="95">
        <f t="shared" si="61"/>
        <v>2.9262493333333328</v>
      </c>
      <c r="AI227" s="96">
        <f t="shared" si="69"/>
        <v>4.0917978912919963</v>
      </c>
      <c r="AJ227" s="96">
        <f t="shared" si="66"/>
        <v>22.97294829779468</v>
      </c>
      <c r="AK227" s="96">
        <f t="shared" si="67"/>
        <v>3.2208782304229522</v>
      </c>
    </row>
    <row r="228" spans="1:37" x14ac:dyDescent="0.15">
      <c r="A228" s="10">
        <f>A227+0.5</f>
        <v>2028.5</v>
      </c>
      <c r="B228" s="95">
        <v>1</v>
      </c>
      <c r="C228" s="10">
        <v>9.43</v>
      </c>
      <c r="D228" s="96">
        <f>5.5/12*7</f>
        <v>3.208333333333333</v>
      </c>
      <c r="E228" s="96">
        <f t="shared" si="68"/>
        <v>30.254583333333329</v>
      </c>
      <c r="F228" s="96">
        <f t="shared" si="62"/>
        <v>2.5666666666666664</v>
      </c>
      <c r="G228" s="96">
        <f t="shared" si="63"/>
        <v>243.1018333333333</v>
      </c>
      <c r="H228" s="96">
        <f t="shared" si="64"/>
        <v>22.323583333333332</v>
      </c>
      <c r="I228" s="94">
        <f>'Modell During mining'!$G222/1000000</f>
        <v>2.4407501333333341</v>
      </c>
      <c r="J228" s="94">
        <f>'Modell During mining'!$D222</f>
        <v>5.4901116192366166E-3</v>
      </c>
      <c r="K228" s="93">
        <v>0.95</v>
      </c>
      <c r="L228" s="93">
        <v>0.6</v>
      </c>
      <c r="M228" s="93">
        <v>0.31</v>
      </c>
      <c r="N228" s="93">
        <v>0.6</v>
      </c>
      <c r="O228" s="93">
        <v>1.26</v>
      </c>
      <c r="P228" s="93">
        <v>2</v>
      </c>
      <c r="Q228" s="93">
        <v>1.6</v>
      </c>
      <c r="R228" s="93">
        <v>0</v>
      </c>
      <c r="S228" s="93">
        <v>0.36</v>
      </c>
      <c r="T228" s="98">
        <f>AI227</f>
        <v>4.0917978912919963</v>
      </c>
      <c r="U228" s="93">
        <v>25.21</v>
      </c>
      <c r="V228" s="98">
        <f>$AI227</f>
        <v>4.0917978912919963</v>
      </c>
      <c r="W228" s="93">
        <v>21.42</v>
      </c>
      <c r="X228" s="98">
        <f>$AI227</f>
        <v>4.0917978912919963</v>
      </c>
      <c r="Y228" s="93">
        <v>0.11</v>
      </c>
      <c r="Z228" s="98">
        <f>$AI227</f>
        <v>4.0917978912919963</v>
      </c>
      <c r="AA228" s="93">
        <v>5.8</v>
      </c>
      <c r="AB228" s="98">
        <f>$AI227</f>
        <v>4.0917978912919963</v>
      </c>
      <c r="AC228" s="93">
        <v>1.7</v>
      </c>
      <c r="AD228" s="98">
        <f>$AI227</f>
        <v>4.0917978912919963</v>
      </c>
      <c r="AE228" s="93">
        <v>1.84</v>
      </c>
      <c r="AF228" s="96">
        <f t="shared" si="65"/>
        <v>4.5834784984840766</v>
      </c>
      <c r="AG228" s="10">
        <f t="shared" si="60"/>
        <v>7.97</v>
      </c>
      <c r="AH228" s="95">
        <f t="shared" si="61"/>
        <v>6.5607501333333342</v>
      </c>
      <c r="AI228" s="96">
        <f t="shared" si="69"/>
        <v>4.5834784984840766</v>
      </c>
      <c r="AJ228" s="96">
        <f t="shared" si="66"/>
        <v>23.456215556790809</v>
      </c>
      <c r="AK228" s="96">
        <f t="shared" si="67"/>
        <v>3.5487960360194104</v>
      </c>
    </row>
    <row r="229" spans="1:37" x14ac:dyDescent="0.15">
      <c r="A229" s="10">
        <f>A227+1</f>
        <v>2029</v>
      </c>
      <c r="B229" s="95">
        <v>0</v>
      </c>
      <c r="C229" s="10">
        <v>9.43</v>
      </c>
      <c r="D229" s="96">
        <f>5/12*5</f>
        <v>2.0833333333333335</v>
      </c>
      <c r="E229" s="96">
        <f t="shared" si="68"/>
        <v>19.645833333333336</v>
      </c>
      <c r="F229" s="96">
        <f t="shared" si="62"/>
        <v>1.666666666666667</v>
      </c>
      <c r="G229" s="96">
        <f t="shared" si="63"/>
        <v>157.85833333333335</v>
      </c>
      <c r="H229" s="96">
        <f t="shared" si="64"/>
        <v>14.495833333333335</v>
      </c>
      <c r="I229" s="94">
        <f>'Modell During mining'!$G223/1000000</f>
        <v>1.7343826666666662</v>
      </c>
      <c r="J229" s="94">
        <f>'Modell During mining'!$D223</f>
        <v>8.9733507484315231E-3</v>
      </c>
      <c r="K229" s="93">
        <v>0</v>
      </c>
      <c r="L229" s="93">
        <v>0.6</v>
      </c>
      <c r="M229" s="93">
        <v>0</v>
      </c>
      <c r="N229" s="93">
        <v>0.6</v>
      </c>
      <c r="O229" s="93">
        <v>1.26</v>
      </c>
      <c r="P229" s="93">
        <v>2</v>
      </c>
      <c r="Q229" s="93">
        <v>0</v>
      </c>
      <c r="R229" s="93">
        <v>0</v>
      </c>
      <c r="S229" s="93">
        <v>0.36</v>
      </c>
      <c r="T229" s="98">
        <f>AF229</f>
        <v>3.9926822962032484</v>
      </c>
      <c r="U229" s="93">
        <v>25.21</v>
      </c>
      <c r="V229" s="93">
        <v>2.5</v>
      </c>
      <c r="W229" s="93">
        <v>21.42</v>
      </c>
      <c r="X229" s="93">
        <v>2.5</v>
      </c>
      <c r="Y229" s="93">
        <v>0.11</v>
      </c>
      <c r="Z229" s="93">
        <v>2.5</v>
      </c>
      <c r="AA229" s="93">
        <v>5.8</v>
      </c>
      <c r="AB229" s="93">
        <v>2.5</v>
      </c>
      <c r="AC229" s="93">
        <v>1.7</v>
      </c>
      <c r="AD229" s="93">
        <v>2.5</v>
      </c>
      <c r="AE229" s="93">
        <v>1.84</v>
      </c>
      <c r="AF229" s="96">
        <f t="shared" si="65"/>
        <v>3.9926822962032484</v>
      </c>
      <c r="AG229" s="10">
        <f t="shared" si="60"/>
        <v>7.97</v>
      </c>
      <c r="AH229" s="95">
        <f t="shared" si="61"/>
        <v>2.9943826666666662</v>
      </c>
      <c r="AI229" s="96">
        <f t="shared" si="69"/>
        <v>3.9926822962032484</v>
      </c>
      <c r="AJ229" s="96">
        <f t="shared" si="66"/>
        <v>22.489628865849632</v>
      </c>
      <c r="AK229" s="96">
        <f t="shared" si="67"/>
        <v>3.1359355654575816</v>
      </c>
    </row>
    <row r="230" spans="1:37" x14ac:dyDescent="0.15">
      <c r="A230" s="10">
        <f>A229+0.5</f>
        <v>2029.5</v>
      </c>
      <c r="B230" s="95">
        <v>1</v>
      </c>
      <c r="C230" s="10">
        <v>9.43</v>
      </c>
      <c r="D230" s="96">
        <f>5.5/12*7</f>
        <v>3.208333333333333</v>
      </c>
      <c r="E230" s="96">
        <f t="shared" si="68"/>
        <v>30.254583333333329</v>
      </c>
      <c r="F230" s="96">
        <f t="shared" si="62"/>
        <v>2.5666666666666664</v>
      </c>
      <c r="G230" s="96">
        <f t="shared" si="63"/>
        <v>243.1018333333333</v>
      </c>
      <c r="H230" s="96">
        <f t="shared" si="64"/>
        <v>22.323583333333332</v>
      </c>
      <c r="I230" s="94">
        <f>'Modell During mining'!$G224/1000000</f>
        <v>2.5424440000000001</v>
      </c>
      <c r="J230" s="94">
        <f>'Modell During mining'!$D224</f>
        <v>5.3291596589738026E-3</v>
      </c>
      <c r="K230" s="93">
        <v>0.95</v>
      </c>
      <c r="L230" s="93">
        <v>0.6</v>
      </c>
      <c r="M230" s="93">
        <v>0.31</v>
      </c>
      <c r="N230" s="93">
        <v>0.6</v>
      </c>
      <c r="O230" s="93">
        <v>1.26</v>
      </c>
      <c r="P230" s="93">
        <v>2</v>
      </c>
      <c r="Q230" s="93">
        <v>1.6</v>
      </c>
      <c r="R230" s="93">
        <v>0</v>
      </c>
      <c r="S230" s="93">
        <v>0.36</v>
      </c>
      <c r="T230" s="98">
        <f>AI229</f>
        <v>3.9926822962032484</v>
      </c>
      <c r="U230" s="93">
        <v>25.21</v>
      </c>
      <c r="V230" s="98">
        <f>$AI229</f>
        <v>3.9926822962032484</v>
      </c>
      <c r="W230" s="93">
        <v>21.42</v>
      </c>
      <c r="X230" s="98">
        <f>$AI229</f>
        <v>3.9926822962032484</v>
      </c>
      <c r="Y230" s="93">
        <v>0.11</v>
      </c>
      <c r="Z230" s="98">
        <f>$AI229</f>
        <v>3.9926822962032484</v>
      </c>
      <c r="AA230" s="93">
        <v>5.8</v>
      </c>
      <c r="AB230" s="98">
        <f>$AI229</f>
        <v>3.9926822962032484</v>
      </c>
      <c r="AC230" s="93">
        <v>1.7</v>
      </c>
      <c r="AD230" s="98">
        <f>$AI229</f>
        <v>3.9926822962032484</v>
      </c>
      <c r="AE230" s="93">
        <v>1.84</v>
      </c>
      <c r="AF230" s="96">
        <f t="shared" si="65"/>
        <v>4.4606814286769776</v>
      </c>
      <c r="AG230" s="10">
        <f t="shared" si="60"/>
        <v>7.97</v>
      </c>
      <c r="AH230" s="95">
        <f t="shared" si="61"/>
        <v>6.6624440000000007</v>
      </c>
      <c r="AI230" s="96">
        <f t="shared" si="69"/>
        <v>4.4606814286769776</v>
      </c>
      <c r="AJ230" s="96">
        <f t="shared" si="66"/>
        <v>22.901728900631493</v>
      </c>
      <c r="AK230" s="96">
        <f t="shared" si="67"/>
        <v>3.4443297963383874</v>
      </c>
    </row>
    <row r="231" spans="1:37" x14ac:dyDescent="0.15">
      <c r="A231" s="10">
        <f>A229+1</f>
        <v>2030</v>
      </c>
      <c r="B231" s="95">
        <v>0</v>
      </c>
      <c r="C231" s="10">
        <v>9.43</v>
      </c>
      <c r="D231" s="96">
        <f>5/12*5</f>
        <v>2.0833333333333335</v>
      </c>
      <c r="E231" s="96">
        <f t="shared" si="68"/>
        <v>19.645833333333336</v>
      </c>
      <c r="F231" s="96">
        <f t="shared" si="62"/>
        <v>1.666666666666667</v>
      </c>
      <c r="G231" s="96">
        <f t="shared" si="63"/>
        <v>157.85833333333335</v>
      </c>
      <c r="H231" s="96">
        <f t="shared" si="64"/>
        <v>14.495833333333335</v>
      </c>
      <c r="I231" s="94">
        <f>'Modell During mining'!$G225/1000000</f>
        <v>1.802516</v>
      </c>
      <c r="J231" s="94">
        <f>'Modell During mining'!$D225</f>
        <v>8.7698028755361888E-3</v>
      </c>
      <c r="K231" s="93">
        <v>0</v>
      </c>
      <c r="L231" s="93">
        <v>0.6</v>
      </c>
      <c r="M231" s="93">
        <v>0</v>
      </c>
      <c r="N231" s="93">
        <v>0.6</v>
      </c>
      <c r="O231" s="93">
        <v>1.26</v>
      </c>
      <c r="P231" s="93">
        <v>2</v>
      </c>
      <c r="Q231" s="93">
        <v>0</v>
      </c>
      <c r="R231" s="93">
        <v>0</v>
      </c>
      <c r="S231" s="93">
        <v>0.36</v>
      </c>
      <c r="T231" s="98">
        <f>AF231</f>
        <v>3.8983433613154643</v>
      </c>
      <c r="U231" s="93">
        <v>25.21</v>
      </c>
      <c r="V231" s="93">
        <v>2.5</v>
      </c>
      <c r="W231" s="93">
        <v>21.42</v>
      </c>
      <c r="X231" s="93">
        <v>2.5</v>
      </c>
      <c r="Y231" s="93">
        <v>0.11</v>
      </c>
      <c r="Z231" s="93">
        <v>2.5</v>
      </c>
      <c r="AA231" s="93">
        <v>5.8</v>
      </c>
      <c r="AB231" s="93">
        <v>2.5</v>
      </c>
      <c r="AC231" s="93">
        <v>1.7</v>
      </c>
      <c r="AD231" s="93">
        <v>2.5</v>
      </c>
      <c r="AE231" s="93">
        <v>1.84</v>
      </c>
      <c r="AF231" s="96">
        <f t="shared" si="65"/>
        <v>3.8983433613154643</v>
      </c>
      <c r="AG231" s="10">
        <f t="shared" si="60"/>
        <v>7.97</v>
      </c>
      <c r="AH231" s="95">
        <f t="shared" si="61"/>
        <v>3.062516</v>
      </c>
      <c r="AI231" s="96">
        <f t="shared" si="69"/>
        <v>3.8983433613154643</v>
      </c>
      <c r="AJ231" s="96">
        <f t="shared" si="66"/>
        <v>22.027411965690948</v>
      </c>
      <c r="AK231" s="96">
        <f t="shared" si="67"/>
        <v>3.0553285597968611</v>
      </c>
    </row>
    <row r="232" spans="1:37" x14ac:dyDescent="0.15">
      <c r="A232" s="10">
        <f>A231+0.5</f>
        <v>2030.5</v>
      </c>
      <c r="S232" s="10"/>
      <c r="T232" s="10"/>
      <c r="AI232" s="96">
        <f t="shared" si="69"/>
        <v>4.344294983894101</v>
      </c>
      <c r="AJ232" s="96">
        <f t="shared" si="66"/>
        <v>22.375555255760386</v>
      </c>
      <c r="AK232" s="96">
        <f t="shared" si="67"/>
        <v>3.3455593498099345</v>
      </c>
    </row>
    <row r="237" spans="1:37" x14ac:dyDescent="0.15">
      <c r="A237" s="10">
        <f>7/12</f>
        <v>0.58333333333333337</v>
      </c>
      <c r="B237" s="10" t="s">
        <v>1086</v>
      </c>
      <c r="C237" s="11" t="s">
        <v>1068</v>
      </c>
      <c r="D237" s="11" t="s">
        <v>1068</v>
      </c>
      <c r="E237" s="11" t="s">
        <v>1068</v>
      </c>
      <c r="F237" s="11"/>
      <c r="G237" s="11" t="s">
        <v>1068</v>
      </c>
      <c r="H237" s="11" t="s">
        <v>1068</v>
      </c>
      <c r="I237" s="11" t="s">
        <v>1068</v>
      </c>
      <c r="J237" s="11" t="s">
        <v>1068</v>
      </c>
      <c r="K237" s="11" t="s">
        <v>1068</v>
      </c>
      <c r="L237" s="11" t="s">
        <v>1068</v>
      </c>
      <c r="M237" s="11" t="s">
        <v>1068</v>
      </c>
      <c r="N237" s="11" t="s">
        <v>1068</v>
      </c>
      <c r="O237" s="11" t="s">
        <v>1068</v>
      </c>
      <c r="P237" s="11" t="s">
        <v>1068</v>
      </c>
      <c r="Q237" s="11" t="s">
        <v>1068</v>
      </c>
      <c r="R237" s="11" t="s">
        <v>1068</v>
      </c>
      <c r="S237" s="11" t="s">
        <v>1068</v>
      </c>
      <c r="T237" s="11" t="s">
        <v>1068</v>
      </c>
      <c r="U237" s="11" t="s">
        <v>1068</v>
      </c>
      <c r="V237" s="11" t="s">
        <v>1068</v>
      </c>
      <c r="W237" s="11" t="s">
        <v>1068</v>
      </c>
      <c r="X237" s="11" t="s">
        <v>1068</v>
      </c>
      <c r="Y237" s="11" t="s">
        <v>1068</v>
      </c>
      <c r="Z237" s="11" t="s">
        <v>1068</v>
      </c>
      <c r="AA237" s="11" t="s">
        <v>1068</v>
      </c>
      <c r="AB237" s="11" t="s">
        <v>1068</v>
      </c>
      <c r="AC237" s="11" t="s">
        <v>1068</v>
      </c>
      <c r="AD237" s="11" t="s">
        <v>1068</v>
      </c>
      <c r="AE237" s="11" t="s">
        <v>1068</v>
      </c>
      <c r="AF237" s="11" t="s">
        <v>1068</v>
      </c>
      <c r="AG237" s="11" t="s">
        <v>1068</v>
      </c>
      <c r="AH237" s="11" t="s">
        <v>1068</v>
      </c>
      <c r="AI237" s="11" t="s">
        <v>1068</v>
      </c>
      <c r="AJ237" s="11" t="s">
        <v>1068</v>
      </c>
      <c r="AK237" s="11" t="s">
        <v>1068</v>
      </c>
    </row>
    <row r="238" spans="1:37" x14ac:dyDescent="0.15">
      <c r="A238">
        <f>5/12</f>
        <v>0.41666666666666669</v>
      </c>
      <c r="B238" s="10" t="s">
        <v>1087</v>
      </c>
      <c r="C238" s="118" t="s">
        <v>1184</v>
      </c>
      <c r="E238" s="10">
        <v>7.0000000000000007E-2</v>
      </c>
      <c r="F238" s="10" t="s">
        <v>1456</v>
      </c>
      <c r="G238" s="10">
        <v>0.28000000000000003</v>
      </c>
      <c r="H238" s="10">
        <v>0.11</v>
      </c>
      <c r="S238" s="10"/>
      <c r="T238" s="10"/>
      <c r="AI238" t="s">
        <v>1443</v>
      </c>
      <c r="AJ238" t="s">
        <v>1444</v>
      </c>
      <c r="AK238" t="s">
        <v>1445</v>
      </c>
    </row>
    <row r="239" spans="1:37" ht="26" customHeight="1" x14ac:dyDescent="0.15">
      <c r="A239" s="85" t="s">
        <v>946</v>
      </c>
      <c r="B239" s="10" t="s">
        <v>1058</v>
      </c>
      <c r="D239" s="97" t="s">
        <v>1056</v>
      </c>
      <c r="E239" s="97" t="s">
        <v>1439</v>
      </c>
      <c r="F239" s="97" t="s">
        <v>1056</v>
      </c>
      <c r="G239" s="97" t="s">
        <v>1427</v>
      </c>
      <c r="H239" s="97" t="s">
        <v>1428</v>
      </c>
      <c r="I239" s="85" t="s">
        <v>1208</v>
      </c>
      <c r="J239" s="85" t="s">
        <v>1201</v>
      </c>
      <c r="K239" s="85" t="s">
        <v>919</v>
      </c>
      <c r="L239" s="85" t="s">
        <v>1201</v>
      </c>
      <c r="M239" s="85" t="s">
        <v>947</v>
      </c>
      <c r="N239" s="85" t="s">
        <v>1202</v>
      </c>
      <c r="O239" s="85" t="s">
        <v>779</v>
      </c>
      <c r="P239" s="85" t="s">
        <v>1203</v>
      </c>
      <c r="Q239" s="85" t="s">
        <v>780</v>
      </c>
      <c r="R239" s="85" t="s">
        <v>1201</v>
      </c>
      <c r="S239" s="85" t="s">
        <v>948</v>
      </c>
      <c r="T239" s="85" t="s">
        <v>1201</v>
      </c>
      <c r="U239" s="85" t="s">
        <v>949</v>
      </c>
      <c r="V239" s="85" t="s">
        <v>1204</v>
      </c>
      <c r="W239" s="85" t="s">
        <v>950</v>
      </c>
      <c r="X239" s="85" t="s">
        <v>1163</v>
      </c>
      <c r="Y239" s="85" t="s">
        <v>783</v>
      </c>
      <c r="Z239" s="85" t="s">
        <v>1164</v>
      </c>
      <c r="AA239" s="85" t="s">
        <v>784</v>
      </c>
      <c r="AB239" s="85" t="s">
        <v>1202</v>
      </c>
      <c r="AC239" s="85" t="s">
        <v>785</v>
      </c>
      <c r="AD239" s="85" t="s">
        <v>1202</v>
      </c>
      <c r="AE239" s="85" t="s">
        <v>1205</v>
      </c>
      <c r="AF239" s="85" t="s">
        <v>1165</v>
      </c>
      <c r="AG239" s="85" t="s">
        <v>1060</v>
      </c>
      <c r="AH239" s="85" t="s">
        <v>1061</v>
      </c>
      <c r="AI239" s="10" t="s">
        <v>748</v>
      </c>
      <c r="AJ239" s="10" t="s">
        <v>748</v>
      </c>
      <c r="AK239" s="10" t="s">
        <v>748</v>
      </c>
    </row>
    <row r="240" spans="1:37" x14ac:dyDescent="0.15">
      <c r="A240" s="10">
        <v>2014.5</v>
      </c>
      <c r="C240" s="10">
        <v>7.0000000000000007E-2</v>
      </c>
      <c r="D240" s="96">
        <f>5/12*7</f>
        <v>2.916666666666667</v>
      </c>
      <c r="E240" s="95">
        <f t="shared" ref="E240:E271" si="70">C240*D240</f>
        <v>0.20416666666666672</v>
      </c>
      <c r="F240" s="96">
        <f>D240*0.8</f>
        <v>2.3333333333333335</v>
      </c>
      <c r="G240" s="96">
        <f>(C240*0.4*D240+G$238*0.6*F240)</f>
        <v>0.47366666666666679</v>
      </c>
      <c r="H240" s="95">
        <f>(C240*0.4+H$238*0.6)*D240</f>
        <v>0.27416666666666667</v>
      </c>
      <c r="I240" s="94">
        <f>'Modell During mining'!$G234/1000000</f>
        <v>1.0170360000000001</v>
      </c>
      <c r="J240" s="94">
        <f>'Modell During mining'!$D234</f>
        <v>1.0414967218466209E-2</v>
      </c>
      <c r="K240" s="93">
        <v>0.95</v>
      </c>
      <c r="L240" s="93">
        <v>0.6</v>
      </c>
      <c r="M240" s="93">
        <v>0.31</v>
      </c>
      <c r="N240" s="93">
        <v>0.6</v>
      </c>
      <c r="O240" s="93">
        <v>1.26</v>
      </c>
      <c r="P240" s="93">
        <v>2</v>
      </c>
      <c r="Q240" s="93">
        <v>1.6</v>
      </c>
      <c r="R240" s="93">
        <v>0</v>
      </c>
      <c r="S240" s="93">
        <v>0.36</v>
      </c>
      <c r="T240" s="93">
        <f>AF240</f>
        <v>0.27</v>
      </c>
      <c r="U240" s="93">
        <v>25.21</v>
      </c>
      <c r="V240" s="10">
        <v>2.6</v>
      </c>
      <c r="W240" s="93">
        <v>21.42</v>
      </c>
      <c r="X240" s="10">
        <v>2.6</v>
      </c>
      <c r="Y240" s="93">
        <v>0.11</v>
      </c>
      <c r="Z240" s="10">
        <v>2.6</v>
      </c>
      <c r="AA240" s="93">
        <v>5.8</v>
      </c>
      <c r="AB240" s="10">
        <v>2.6</v>
      </c>
      <c r="AC240" s="93">
        <v>1.7</v>
      </c>
      <c r="AD240" s="10">
        <v>2.6</v>
      </c>
      <c r="AE240" s="93">
        <v>1.84</v>
      </c>
      <c r="AF240" s="10">
        <v>0.27</v>
      </c>
      <c r="AG240" s="10">
        <f t="shared" ref="AG240:AG271" si="71">S240+Y240+AA240+AC240</f>
        <v>7.97</v>
      </c>
      <c r="AH240" s="95">
        <f t="shared" ref="AH240:AH271" si="72">I240+K240+M240+O240+Q240</f>
        <v>5.1370360000000002</v>
      </c>
      <c r="AI240" s="10">
        <v>0.27</v>
      </c>
      <c r="AJ240" s="10">
        <v>0.27</v>
      </c>
      <c r="AK240" s="10">
        <v>0.27</v>
      </c>
    </row>
    <row r="241" spans="1:37" x14ac:dyDescent="0.15">
      <c r="A241" s="10">
        <v>2015</v>
      </c>
      <c r="C241" s="10">
        <v>7.0000000000000007E-2</v>
      </c>
      <c r="D241" s="96">
        <f>5/12*5</f>
        <v>2.0833333333333335</v>
      </c>
      <c r="E241" s="95">
        <f t="shared" si="70"/>
        <v>0.14583333333333337</v>
      </c>
      <c r="F241" s="96">
        <f t="shared" ref="F241:F271" si="73">D241*0.8</f>
        <v>1.666666666666667</v>
      </c>
      <c r="G241" s="96">
        <f t="shared" ref="G241:G271" si="74">(C241*0.4*D241+G$238*0.6*F241)</f>
        <v>0.33833333333333343</v>
      </c>
      <c r="H241" s="95">
        <f t="shared" ref="H241:H271" si="75">(C241*0.4+H$238*0.6)*D241</f>
        <v>0.19583333333333336</v>
      </c>
      <c r="I241" s="94">
        <f>'Modell During mining'!$G235/1000000</f>
        <v>0.78051599999999999</v>
      </c>
      <c r="J241" s="94">
        <f>'Modell During mining'!$D235</f>
        <v>9.848484848484849E-5</v>
      </c>
      <c r="K241" s="93">
        <v>0</v>
      </c>
      <c r="L241" s="93">
        <v>0.6</v>
      </c>
      <c r="M241" s="93">
        <v>0</v>
      </c>
      <c r="N241" s="93">
        <v>0.6</v>
      </c>
      <c r="O241" s="93">
        <v>1.26</v>
      </c>
      <c r="P241" s="93">
        <v>2</v>
      </c>
      <c r="Q241" s="93">
        <v>0</v>
      </c>
      <c r="R241" s="93">
        <v>0</v>
      </c>
      <c r="S241" s="93">
        <v>0.36</v>
      </c>
      <c r="T241" s="98">
        <f>AF241</f>
        <v>0.51133439733020269</v>
      </c>
      <c r="U241" s="93">
        <v>25.21</v>
      </c>
      <c r="V241" s="93">
        <v>2.5</v>
      </c>
      <c r="W241" s="93">
        <v>21.42</v>
      </c>
      <c r="X241" s="93">
        <v>2.5</v>
      </c>
      <c r="Y241" s="93">
        <v>0.11</v>
      </c>
      <c r="Z241" s="93">
        <v>2.5</v>
      </c>
      <c r="AA241" s="93">
        <v>5.8</v>
      </c>
      <c r="AB241" s="93">
        <v>2.5</v>
      </c>
      <c r="AC241" s="93">
        <v>1.7</v>
      </c>
      <c r="AD241" s="93">
        <v>2.5</v>
      </c>
      <c r="AE241" s="93">
        <v>1.84</v>
      </c>
      <c r="AF241" s="96">
        <f t="shared" ref="AF241:AF271" si="76">AI241</f>
        <v>0.51133439733020269</v>
      </c>
      <c r="AG241" s="10">
        <f t="shared" si="71"/>
        <v>7.97</v>
      </c>
      <c r="AH241" s="95">
        <f t="shared" si="72"/>
        <v>2.0405160000000002</v>
      </c>
      <c r="AI241" s="96">
        <f>(($C240+E240+$I240*$J240+$K240*$L240+$M240*$N240+$O240*$P240-$S240*$T240)/($I240+$K240+$M240+$O240+$Q240+$I240-$S240)*$AH240+$AE240*$AF240)/($AH240+$AE240)</f>
        <v>0.51133439733020269</v>
      </c>
      <c r="AJ241" s="95">
        <f t="shared" ref="AJ241:AJ272" si="77">(($C240+G240+$I240*$J240+$K240*$L240+$M240*$N240+$O240*$P240-$S240*$T240)/($I240+$K240+$M240+$O240+$Q240+$I240-$S240)*$AH240+$AE240*$AF240)/($AH240+$AE240)</f>
        <v>0.5455809236799033</v>
      </c>
      <c r="AK241" s="95">
        <f t="shared" ref="AK241:AK272" si="78">(($C240+H240+$I240*$J240+$K240*$L240+$M240*$N240+$O240*$P240-$S240*$T240)/($I240+$K240+$M240+$O240+$Q240+$I240-$S240)*$AH240+$AE240*$AF240)/($AH240+$AE240)</f>
        <v>0.52022959897947563</v>
      </c>
    </row>
    <row r="242" spans="1:37" x14ac:dyDescent="0.15">
      <c r="A242" s="10">
        <v>2015.5</v>
      </c>
      <c r="C242" s="10">
        <v>7.0000000000000007E-2</v>
      </c>
      <c r="D242" s="96">
        <f>5.5/12*7</f>
        <v>3.208333333333333</v>
      </c>
      <c r="E242" s="95">
        <f t="shared" si="70"/>
        <v>0.22458333333333333</v>
      </c>
      <c r="F242" s="96">
        <f t="shared" si="73"/>
        <v>2.5666666666666664</v>
      </c>
      <c r="G242" s="96">
        <f t="shared" si="74"/>
        <v>0.52103333333333335</v>
      </c>
      <c r="H242" s="95">
        <f t="shared" si="75"/>
        <v>0.30158333333333331</v>
      </c>
      <c r="I242" s="94">
        <f>'Modell During mining'!$G236/1000000</f>
        <v>1.1187298666666667</v>
      </c>
      <c r="J242" s="94">
        <f>'Modell During mining'!$D236</f>
        <v>9.5273308158752394E-3</v>
      </c>
      <c r="K242" s="93">
        <v>0.95</v>
      </c>
      <c r="L242" s="93">
        <v>0.6</v>
      </c>
      <c r="M242" s="93">
        <v>0.31</v>
      </c>
      <c r="N242" s="93">
        <v>0.6</v>
      </c>
      <c r="O242" s="93">
        <v>1.26</v>
      </c>
      <c r="P242" s="93">
        <v>2</v>
      </c>
      <c r="Q242" s="93">
        <v>1.6</v>
      </c>
      <c r="R242" s="93">
        <v>0</v>
      </c>
      <c r="S242" s="93">
        <v>0.36</v>
      </c>
      <c r="T242" s="98">
        <f>AI241</f>
        <v>0.51133439733020269</v>
      </c>
      <c r="U242" s="93">
        <v>25.21</v>
      </c>
      <c r="V242" s="98">
        <f>$AI241</f>
        <v>0.51133439733020269</v>
      </c>
      <c r="W242" s="93">
        <v>21.42</v>
      </c>
      <c r="X242" s="98">
        <f>$AI241</f>
        <v>0.51133439733020269</v>
      </c>
      <c r="Y242" s="93">
        <v>0.11</v>
      </c>
      <c r="Z242" s="98">
        <f>$AI241</f>
        <v>0.51133439733020269</v>
      </c>
      <c r="AA242" s="93">
        <v>5.8</v>
      </c>
      <c r="AB242" s="98">
        <f>$AI241</f>
        <v>0.51133439733020269</v>
      </c>
      <c r="AC242" s="93">
        <v>1.7</v>
      </c>
      <c r="AD242" s="98">
        <f>$AI241</f>
        <v>0.51133439733020269</v>
      </c>
      <c r="AE242" s="93">
        <v>1.84</v>
      </c>
      <c r="AF242" s="96">
        <f t="shared" si="76"/>
        <v>0.78769279828826066</v>
      </c>
      <c r="AG242" s="10">
        <f t="shared" si="71"/>
        <v>7.97</v>
      </c>
      <c r="AH242" s="95">
        <f t="shared" si="72"/>
        <v>5.2387298666666666</v>
      </c>
      <c r="AI242" s="96">
        <f t="shared" ref="AI242:AI272" si="79">(($C241+E241+$I241*$J241+$K241*$L241+$M241*$N241+$O241*$P241-$S241*$T241)/($I241+$K241+$M241+$O241+$Q241+$I241-$S241)*$AH241+$AE241*$AF241)/($AH241+$AE241)</f>
        <v>0.78769279828826066</v>
      </c>
      <c r="AJ242" s="95">
        <f t="shared" si="77"/>
        <v>0.82882329924984022</v>
      </c>
      <c r="AK242" s="95">
        <f t="shared" si="78"/>
        <v>0.79837604529126849</v>
      </c>
    </row>
    <row r="243" spans="1:37" x14ac:dyDescent="0.15">
      <c r="A243" s="10">
        <f>A241+1</f>
        <v>2016</v>
      </c>
      <c r="C243" s="10">
        <v>7.0000000000000007E-2</v>
      </c>
      <c r="D243" s="96">
        <f>5/12*5</f>
        <v>2.0833333333333335</v>
      </c>
      <c r="E243" s="95">
        <f t="shared" si="70"/>
        <v>0.14583333333333337</v>
      </c>
      <c r="F243" s="96">
        <f t="shared" si="73"/>
        <v>1.666666666666667</v>
      </c>
      <c r="G243" s="96">
        <f t="shared" si="74"/>
        <v>0.33833333333333343</v>
      </c>
      <c r="H243" s="95">
        <f t="shared" si="75"/>
        <v>0.19583333333333336</v>
      </c>
      <c r="I243" s="94">
        <f>'Modell During mining'!$G237/1000000</f>
        <v>0.84864933333333337</v>
      </c>
      <c r="J243" s="94">
        <f>'Modell During mining'!$D237</f>
        <v>1.0101502465879116E-4</v>
      </c>
      <c r="K243" s="93">
        <v>0</v>
      </c>
      <c r="L243" s="93">
        <v>0.6</v>
      </c>
      <c r="M243" s="93">
        <v>0</v>
      </c>
      <c r="N243" s="93">
        <v>0.6</v>
      </c>
      <c r="O243" s="93">
        <v>1.26</v>
      </c>
      <c r="P243" s="93">
        <v>2</v>
      </c>
      <c r="Q243" s="93">
        <v>0</v>
      </c>
      <c r="R243" s="93">
        <v>0</v>
      </c>
      <c r="S243" s="93">
        <v>0.36</v>
      </c>
      <c r="T243" s="98">
        <f>AF243</f>
        <v>0.62394615417203703</v>
      </c>
      <c r="U243" s="93">
        <v>25.21</v>
      </c>
      <c r="V243" s="93">
        <v>2.5</v>
      </c>
      <c r="W243" s="93">
        <v>21.42</v>
      </c>
      <c r="X243" s="93">
        <v>2.5</v>
      </c>
      <c r="Y243" s="93">
        <v>0.11</v>
      </c>
      <c r="Z243" s="93">
        <v>2.5</v>
      </c>
      <c r="AA243" s="93">
        <v>5.8</v>
      </c>
      <c r="AB243" s="93">
        <v>2.5</v>
      </c>
      <c r="AC243" s="93">
        <v>1.7</v>
      </c>
      <c r="AD243" s="93">
        <v>2.5</v>
      </c>
      <c r="AE243" s="93">
        <v>1.84</v>
      </c>
      <c r="AF243" s="96">
        <f t="shared" si="76"/>
        <v>0.62394615417203703</v>
      </c>
      <c r="AG243" s="10">
        <f t="shared" si="71"/>
        <v>7.97</v>
      </c>
      <c r="AH243" s="95">
        <f t="shared" si="72"/>
        <v>2.1086493333333332</v>
      </c>
      <c r="AI243" s="96">
        <f t="shared" si="79"/>
        <v>0.62394615417203703</v>
      </c>
      <c r="AJ243" s="95">
        <f t="shared" si="77"/>
        <v>0.66052708727518572</v>
      </c>
      <c r="AK243" s="95">
        <f t="shared" si="78"/>
        <v>0.63344769523778988</v>
      </c>
    </row>
    <row r="244" spans="1:37" x14ac:dyDescent="0.15">
      <c r="A244" s="10">
        <v>2016.5</v>
      </c>
      <c r="C244" s="10">
        <v>7.0000000000000007E-2</v>
      </c>
      <c r="D244" s="96">
        <f>5.5/12*7</f>
        <v>3.208333333333333</v>
      </c>
      <c r="E244" s="95">
        <f t="shared" si="70"/>
        <v>0.22458333333333333</v>
      </c>
      <c r="F244" s="96">
        <f t="shared" si="73"/>
        <v>2.5666666666666664</v>
      </c>
      <c r="G244" s="96">
        <f t="shared" si="74"/>
        <v>0.52103333333333335</v>
      </c>
      <c r="H244" s="95">
        <f t="shared" si="75"/>
        <v>0.30158333333333331</v>
      </c>
      <c r="I244" s="94">
        <f>'Modell During mining'!$G238/1000000</f>
        <v>1.2204237333333334</v>
      </c>
      <c r="J244" s="94">
        <f>'Modell During mining'!$D238</f>
        <v>8.7876220149985061E-3</v>
      </c>
      <c r="K244" s="93">
        <v>0.95</v>
      </c>
      <c r="L244" s="93">
        <v>0.6</v>
      </c>
      <c r="M244" s="93">
        <v>0.31</v>
      </c>
      <c r="N244" s="93">
        <v>0.6</v>
      </c>
      <c r="O244" s="93">
        <v>1.26</v>
      </c>
      <c r="P244" s="93">
        <v>2</v>
      </c>
      <c r="Q244" s="93">
        <v>1.6</v>
      </c>
      <c r="R244" s="93">
        <v>0</v>
      </c>
      <c r="S244" s="93">
        <v>0.36</v>
      </c>
      <c r="T244" s="98">
        <f>AI243</f>
        <v>0.62394615417203703</v>
      </c>
      <c r="U244" s="93">
        <v>25.21</v>
      </c>
      <c r="V244" s="98">
        <f>$AI243</f>
        <v>0.62394615417203703</v>
      </c>
      <c r="W244" s="93">
        <v>21.42</v>
      </c>
      <c r="X244" s="98">
        <f>$AI243</f>
        <v>0.62394615417203703</v>
      </c>
      <c r="Y244" s="93">
        <v>0.11</v>
      </c>
      <c r="Z244" s="98">
        <f>$AI243</f>
        <v>0.62394615417203703</v>
      </c>
      <c r="AA244" s="93">
        <v>5.8</v>
      </c>
      <c r="AB244" s="98">
        <f>$AI243</f>
        <v>0.62394615417203703</v>
      </c>
      <c r="AC244" s="93">
        <v>1.7</v>
      </c>
      <c r="AD244" s="98">
        <f>$AI243</f>
        <v>0.62394615417203703</v>
      </c>
      <c r="AE244" s="93">
        <v>1.84</v>
      </c>
      <c r="AF244" s="96">
        <f t="shared" si="76"/>
        <v>0.80708354532817006</v>
      </c>
      <c r="AG244" s="10">
        <f t="shared" si="71"/>
        <v>7.97</v>
      </c>
      <c r="AH244" s="95">
        <f t="shared" si="72"/>
        <v>5.3404237333333331</v>
      </c>
      <c r="AI244" s="96">
        <f t="shared" si="79"/>
        <v>0.80708354532817006</v>
      </c>
      <c r="AJ244" s="95">
        <f t="shared" si="77"/>
        <v>0.84666252891180538</v>
      </c>
      <c r="AK244" s="95">
        <f t="shared" si="78"/>
        <v>0.81736380080443893</v>
      </c>
    </row>
    <row r="245" spans="1:37" x14ac:dyDescent="0.15">
      <c r="A245" s="10">
        <f>A243+1</f>
        <v>2017</v>
      </c>
      <c r="C245" s="10">
        <v>7.0000000000000007E-2</v>
      </c>
      <c r="D245" s="96">
        <f>5/12*5</f>
        <v>2.0833333333333335</v>
      </c>
      <c r="E245" s="95">
        <f t="shared" si="70"/>
        <v>0.14583333333333337</v>
      </c>
      <c r="F245" s="96">
        <f t="shared" si="73"/>
        <v>1.666666666666667</v>
      </c>
      <c r="G245" s="96">
        <f t="shared" si="74"/>
        <v>0.33833333333333343</v>
      </c>
      <c r="H245" s="95">
        <f t="shared" si="75"/>
        <v>0.19583333333333336</v>
      </c>
      <c r="I245" s="94">
        <f>'Modell During mining'!$G239/1000000</f>
        <v>0.91678266666666675</v>
      </c>
      <c r="J245" s="94">
        <f>'Modell During mining'!$D239</f>
        <v>1.0316912623420747E-4</v>
      </c>
      <c r="K245" s="93">
        <v>0</v>
      </c>
      <c r="L245" s="93">
        <v>0.6</v>
      </c>
      <c r="M245" s="93">
        <v>0</v>
      </c>
      <c r="N245" s="93">
        <v>0.6</v>
      </c>
      <c r="O245" s="93">
        <v>1.26</v>
      </c>
      <c r="P245" s="93">
        <v>2</v>
      </c>
      <c r="Q245" s="93">
        <v>0</v>
      </c>
      <c r="R245" s="93">
        <v>0</v>
      </c>
      <c r="S245" s="93">
        <v>0.36</v>
      </c>
      <c r="T245" s="98">
        <f>AF245</f>
        <v>0.60942786438118557</v>
      </c>
      <c r="U245" s="93">
        <v>25.21</v>
      </c>
      <c r="V245" s="93">
        <v>2.5</v>
      </c>
      <c r="W245" s="93">
        <v>21.42</v>
      </c>
      <c r="X245" s="93">
        <v>2.5</v>
      </c>
      <c r="Y245" s="93">
        <v>0.11</v>
      </c>
      <c r="Z245" s="93">
        <v>2.5</v>
      </c>
      <c r="AA245" s="93">
        <v>5.8</v>
      </c>
      <c r="AB245" s="93">
        <v>2.5</v>
      </c>
      <c r="AC245" s="93">
        <v>1.7</v>
      </c>
      <c r="AD245" s="93">
        <v>2.5</v>
      </c>
      <c r="AE245" s="93">
        <v>1.84</v>
      </c>
      <c r="AF245" s="96">
        <f t="shared" si="76"/>
        <v>0.60942786438118557</v>
      </c>
      <c r="AG245" s="10">
        <f t="shared" si="71"/>
        <v>7.97</v>
      </c>
      <c r="AH245" s="95">
        <f t="shared" si="72"/>
        <v>2.176782666666667</v>
      </c>
      <c r="AI245" s="96">
        <f t="shared" si="79"/>
        <v>0.60942786438118557</v>
      </c>
      <c r="AJ245" s="95">
        <f t="shared" si="77"/>
        <v>0.64498494119046912</v>
      </c>
      <c r="AK245" s="95">
        <f t="shared" si="78"/>
        <v>0.61866346874723344</v>
      </c>
    </row>
    <row r="246" spans="1:37" x14ac:dyDescent="0.15">
      <c r="A246" s="10">
        <f>A245+0.5</f>
        <v>2017.5</v>
      </c>
      <c r="C246" s="10">
        <v>7.0000000000000007E-2</v>
      </c>
      <c r="D246" s="96">
        <f>5.5/12*7</f>
        <v>3.208333333333333</v>
      </c>
      <c r="E246" s="95">
        <f t="shared" si="70"/>
        <v>0.22458333333333333</v>
      </c>
      <c r="F246" s="96">
        <f t="shared" si="73"/>
        <v>2.5666666666666664</v>
      </c>
      <c r="G246" s="96">
        <f t="shared" si="74"/>
        <v>0.52103333333333335</v>
      </c>
      <c r="H246" s="95">
        <f t="shared" si="75"/>
        <v>0.30158333333333331</v>
      </c>
      <c r="I246" s="94">
        <f>'Modell During mining'!$G240/1000000</f>
        <v>1.3221176000000001</v>
      </c>
      <c r="J246" s="94">
        <f>'Modell During mining'!$D240</f>
        <v>8.1617061901301333E-3</v>
      </c>
      <c r="K246" s="93">
        <v>0.95</v>
      </c>
      <c r="L246" s="93">
        <v>0.6</v>
      </c>
      <c r="M246" s="93">
        <v>0.31</v>
      </c>
      <c r="N246" s="93">
        <v>0.6</v>
      </c>
      <c r="O246" s="93">
        <v>1.26</v>
      </c>
      <c r="P246" s="93">
        <v>2</v>
      </c>
      <c r="Q246" s="93">
        <v>1.6</v>
      </c>
      <c r="R246" s="93">
        <v>0</v>
      </c>
      <c r="S246" s="93">
        <v>0.36</v>
      </c>
      <c r="T246" s="98">
        <f>AI245</f>
        <v>0.60942786438118557</v>
      </c>
      <c r="U246" s="93">
        <v>25.21</v>
      </c>
      <c r="V246" s="98">
        <f>$AI245</f>
        <v>0.60942786438118557</v>
      </c>
      <c r="W246" s="93">
        <v>21.42</v>
      </c>
      <c r="X246" s="98">
        <f>$AI245</f>
        <v>0.60942786438118557</v>
      </c>
      <c r="Y246" s="93">
        <v>0.11</v>
      </c>
      <c r="Z246" s="98">
        <f>$AI245</f>
        <v>0.60942786438118557</v>
      </c>
      <c r="AA246" s="93">
        <v>5.8</v>
      </c>
      <c r="AB246" s="98">
        <f>$AI245</f>
        <v>0.60942786438118557</v>
      </c>
      <c r="AC246" s="93">
        <v>1.7</v>
      </c>
      <c r="AD246" s="98">
        <f>$AI245</f>
        <v>0.60942786438118557</v>
      </c>
      <c r="AE246" s="93">
        <v>1.84</v>
      </c>
      <c r="AF246" s="96">
        <f t="shared" si="76"/>
        <v>0.77806157675635579</v>
      </c>
      <c r="AG246" s="10">
        <f t="shared" si="71"/>
        <v>7.97</v>
      </c>
      <c r="AH246" s="95">
        <f t="shared" si="72"/>
        <v>5.4421175999999996</v>
      </c>
      <c r="AI246" s="96">
        <f t="shared" si="79"/>
        <v>0.77806157675635579</v>
      </c>
      <c r="AJ246" s="95">
        <f t="shared" si="77"/>
        <v>0.81622418173370348</v>
      </c>
      <c r="AK246" s="95">
        <f t="shared" si="78"/>
        <v>0.78797394168553692</v>
      </c>
    </row>
    <row r="247" spans="1:37" x14ac:dyDescent="0.15">
      <c r="A247" s="10">
        <f>A245+1</f>
        <v>2018</v>
      </c>
      <c r="C247" s="10">
        <v>7.0000000000000007E-2</v>
      </c>
      <c r="D247" s="96">
        <f>5/12*5</f>
        <v>2.0833333333333335</v>
      </c>
      <c r="E247" s="95">
        <f t="shared" si="70"/>
        <v>0.14583333333333337</v>
      </c>
      <c r="F247" s="96">
        <f t="shared" si="73"/>
        <v>1.666666666666667</v>
      </c>
      <c r="G247" s="96">
        <f t="shared" si="74"/>
        <v>0.33833333333333343</v>
      </c>
      <c r="H247" s="95">
        <f t="shared" si="75"/>
        <v>0.19583333333333336</v>
      </c>
      <c r="I247" s="94">
        <f>'Modell During mining'!$G241/1000000</f>
        <v>0.98491600000000012</v>
      </c>
      <c r="J247" s="94">
        <f>'Modell During mining'!$D241</f>
        <v>1.0502520011858879E-4</v>
      </c>
      <c r="K247" s="93">
        <v>0</v>
      </c>
      <c r="L247" s="93">
        <v>0.6</v>
      </c>
      <c r="M247" s="93">
        <v>0</v>
      </c>
      <c r="N247" s="93">
        <v>0.6</v>
      </c>
      <c r="O247" s="93">
        <v>1.26</v>
      </c>
      <c r="P247" s="93">
        <v>2</v>
      </c>
      <c r="Q247" s="93">
        <v>0</v>
      </c>
      <c r="R247" s="93">
        <v>0</v>
      </c>
      <c r="S247" s="93">
        <v>0.36</v>
      </c>
      <c r="T247" s="98">
        <f>AF247</f>
        <v>0.58891361099433637</v>
      </c>
      <c r="U247" s="93">
        <v>25.21</v>
      </c>
      <c r="V247" s="93">
        <v>2.5</v>
      </c>
      <c r="W247" s="93">
        <v>21.42</v>
      </c>
      <c r="X247" s="93">
        <v>2.5</v>
      </c>
      <c r="Y247" s="93">
        <v>0.11</v>
      </c>
      <c r="Z247" s="93">
        <v>2.5</v>
      </c>
      <c r="AA247" s="93">
        <v>5.8</v>
      </c>
      <c r="AB247" s="93">
        <v>2.5</v>
      </c>
      <c r="AC247" s="93">
        <v>1.7</v>
      </c>
      <c r="AD247" s="93">
        <v>2.5</v>
      </c>
      <c r="AE247" s="93">
        <v>1.84</v>
      </c>
      <c r="AF247" s="96">
        <f t="shared" si="76"/>
        <v>0.58891361099433637</v>
      </c>
      <c r="AG247" s="10">
        <f t="shared" si="71"/>
        <v>7.97</v>
      </c>
      <c r="AH247" s="95">
        <f t="shared" si="72"/>
        <v>2.2449159999999999</v>
      </c>
      <c r="AI247" s="96">
        <f t="shared" si="79"/>
        <v>0.58891361099433637</v>
      </c>
      <c r="AJ247" s="95">
        <f t="shared" si="77"/>
        <v>0.62350710394768993</v>
      </c>
      <c r="AK247" s="95">
        <f t="shared" si="78"/>
        <v>0.59789893383936332</v>
      </c>
    </row>
    <row r="248" spans="1:37" x14ac:dyDescent="0.15">
      <c r="A248" s="10">
        <f>A247+0.5</f>
        <v>2018.5</v>
      </c>
      <c r="C248" s="10">
        <v>7.0000000000000007E-2</v>
      </c>
      <c r="D248" s="96">
        <f>5.5/12*7</f>
        <v>3.208333333333333</v>
      </c>
      <c r="E248" s="95">
        <f t="shared" si="70"/>
        <v>0.22458333333333333</v>
      </c>
      <c r="F248" s="96">
        <f t="shared" si="73"/>
        <v>2.5666666666666664</v>
      </c>
      <c r="G248" s="96">
        <f t="shared" si="74"/>
        <v>0.52103333333333335</v>
      </c>
      <c r="H248" s="95">
        <f t="shared" si="75"/>
        <v>0.30158333333333331</v>
      </c>
      <c r="I248" s="94">
        <f>'Modell During mining'!$G242/1000000</f>
        <v>1.4238114666666668</v>
      </c>
      <c r="J248" s="94">
        <f>'Modell During mining'!$D242</f>
        <v>7.6252007990571012E-3</v>
      </c>
      <c r="K248" s="93">
        <v>0.95</v>
      </c>
      <c r="L248" s="93">
        <v>0.6</v>
      </c>
      <c r="M248" s="93">
        <v>0.31</v>
      </c>
      <c r="N248" s="93">
        <v>0.6</v>
      </c>
      <c r="O248" s="93">
        <v>1.26</v>
      </c>
      <c r="P248" s="93">
        <v>2</v>
      </c>
      <c r="Q248" s="93">
        <v>3.6</v>
      </c>
      <c r="R248" s="93">
        <v>0</v>
      </c>
      <c r="S248" s="93">
        <v>0.36</v>
      </c>
      <c r="T248" s="98">
        <f>AI247</f>
        <v>0.58891361099433637</v>
      </c>
      <c r="U248" s="93">
        <v>25.21</v>
      </c>
      <c r="V248" s="98">
        <f>$AI247</f>
        <v>0.58891361099433637</v>
      </c>
      <c r="W248" s="93">
        <v>21.42</v>
      </c>
      <c r="X248" s="98">
        <f>$AI247</f>
        <v>0.58891361099433637</v>
      </c>
      <c r="Y248" s="93">
        <v>0.11</v>
      </c>
      <c r="Z248" s="98">
        <f>$AI247</f>
        <v>0.58891361099433637</v>
      </c>
      <c r="AA248" s="93">
        <v>5.8</v>
      </c>
      <c r="AB248" s="98">
        <f>$AI247</f>
        <v>0.58891361099433637</v>
      </c>
      <c r="AC248" s="93">
        <v>1.7</v>
      </c>
      <c r="AD248" s="98">
        <f>$AI247</f>
        <v>0.58891361099433637</v>
      </c>
      <c r="AE248" s="93">
        <v>1.84</v>
      </c>
      <c r="AF248" s="96">
        <f t="shared" si="76"/>
        <v>0.74859183326038481</v>
      </c>
      <c r="AG248" s="10">
        <f t="shared" si="71"/>
        <v>7.97</v>
      </c>
      <c r="AH248" s="95">
        <f t="shared" si="72"/>
        <v>7.5438114666666678</v>
      </c>
      <c r="AI248" s="96">
        <f t="shared" si="79"/>
        <v>0.74859183326038481</v>
      </c>
      <c r="AJ248" s="95">
        <f t="shared" si="77"/>
        <v>0.78545487982699869</v>
      </c>
      <c r="AK248" s="95">
        <f t="shared" si="78"/>
        <v>0.75816665055041443</v>
      </c>
    </row>
    <row r="249" spans="1:37" x14ac:dyDescent="0.15">
      <c r="A249" s="10">
        <f>A247+1</f>
        <v>2019</v>
      </c>
      <c r="C249" s="10">
        <v>7.0000000000000007E-2</v>
      </c>
      <c r="D249" s="96">
        <f>5/12*5</f>
        <v>2.0833333333333335</v>
      </c>
      <c r="E249" s="95">
        <f t="shared" si="70"/>
        <v>0.14583333333333337</v>
      </c>
      <c r="F249" s="96">
        <f t="shared" si="73"/>
        <v>1.666666666666667</v>
      </c>
      <c r="G249" s="96">
        <f t="shared" si="74"/>
        <v>0.33833333333333343</v>
      </c>
      <c r="H249" s="95">
        <f t="shared" si="75"/>
        <v>0.19583333333333336</v>
      </c>
      <c r="I249" s="94">
        <f>'Modell During mining'!$G243/1000000</f>
        <v>1.0530493333333335</v>
      </c>
      <c r="J249" s="94">
        <f>'Modell During mining'!$D243</f>
        <v>1.0664109437101396E-4</v>
      </c>
      <c r="K249" s="93">
        <v>0</v>
      </c>
      <c r="L249" s="93">
        <v>0.6</v>
      </c>
      <c r="M249" s="93">
        <v>0</v>
      </c>
      <c r="N249" s="93">
        <v>0.6</v>
      </c>
      <c r="O249" s="93">
        <v>1.26</v>
      </c>
      <c r="P249" s="93">
        <v>2</v>
      </c>
      <c r="Q249" s="93">
        <v>0</v>
      </c>
      <c r="R249" s="93">
        <v>0</v>
      </c>
      <c r="S249" s="93">
        <v>0.36</v>
      </c>
      <c r="T249" s="98">
        <f>AF249</f>
        <v>0.46147709585445112</v>
      </c>
      <c r="U249" s="93">
        <v>25.21</v>
      </c>
      <c r="V249" s="93">
        <v>2.5</v>
      </c>
      <c r="W249" s="93">
        <v>21.42</v>
      </c>
      <c r="X249" s="93">
        <v>2.5</v>
      </c>
      <c r="Y249" s="93">
        <v>0.11</v>
      </c>
      <c r="Z249" s="93">
        <v>2.5</v>
      </c>
      <c r="AA249" s="93">
        <v>5.8</v>
      </c>
      <c r="AB249" s="93">
        <v>2.5</v>
      </c>
      <c r="AC249" s="93">
        <v>1.7</v>
      </c>
      <c r="AD249" s="93">
        <v>2.5</v>
      </c>
      <c r="AE249" s="93">
        <v>1.84</v>
      </c>
      <c r="AF249" s="96">
        <f t="shared" si="76"/>
        <v>0.46147709585445112</v>
      </c>
      <c r="AG249" s="10">
        <f t="shared" si="71"/>
        <v>7.97</v>
      </c>
      <c r="AH249" s="95">
        <f t="shared" si="72"/>
        <v>2.3130493333333337</v>
      </c>
      <c r="AI249" s="96">
        <f t="shared" si="79"/>
        <v>0.46147709585445112</v>
      </c>
      <c r="AJ249" s="95">
        <f t="shared" si="77"/>
        <v>0.48916434272935788</v>
      </c>
      <c r="AK249" s="95">
        <f t="shared" si="78"/>
        <v>0.46866858854923216</v>
      </c>
    </row>
    <row r="250" spans="1:37" x14ac:dyDescent="0.15">
      <c r="A250" s="10">
        <f>A249+0.5</f>
        <v>2019.5</v>
      </c>
      <c r="C250" s="10">
        <v>7.0000000000000007E-2</v>
      </c>
      <c r="D250" s="96">
        <f>5.5/12*7</f>
        <v>3.208333333333333</v>
      </c>
      <c r="E250" s="95">
        <f t="shared" si="70"/>
        <v>0.22458333333333333</v>
      </c>
      <c r="F250" s="96">
        <f t="shared" si="73"/>
        <v>2.5666666666666664</v>
      </c>
      <c r="G250" s="96">
        <f t="shared" si="74"/>
        <v>0.52103333333333335</v>
      </c>
      <c r="H250" s="95">
        <f t="shared" si="75"/>
        <v>0.30158333333333331</v>
      </c>
      <c r="I250" s="94">
        <f>'Modell During mining'!$G244/1000000</f>
        <v>1.5255053333333335</v>
      </c>
      <c r="J250" s="94">
        <f>'Modell During mining'!$D244</f>
        <v>7.1602248959688961E-3</v>
      </c>
      <c r="K250" s="93">
        <v>0.95</v>
      </c>
      <c r="L250" s="93">
        <v>0.6</v>
      </c>
      <c r="M250" s="93">
        <v>0.31</v>
      </c>
      <c r="N250" s="93">
        <v>0.6</v>
      </c>
      <c r="O250" s="93">
        <v>1.26</v>
      </c>
      <c r="P250" s="93">
        <v>2</v>
      </c>
      <c r="Q250" s="93">
        <v>1.6</v>
      </c>
      <c r="R250" s="93">
        <v>0</v>
      </c>
      <c r="S250" s="93">
        <v>0.36</v>
      </c>
      <c r="T250" s="98">
        <f>AI249</f>
        <v>0.46147709585445112</v>
      </c>
      <c r="U250" s="93">
        <v>25.21</v>
      </c>
      <c r="V250" s="98">
        <f>$AI249</f>
        <v>0.46147709585445112</v>
      </c>
      <c r="W250" s="93">
        <v>21.42</v>
      </c>
      <c r="X250" s="98">
        <f>$AI249</f>
        <v>0.46147709585445112</v>
      </c>
      <c r="Y250" s="93">
        <v>0.11</v>
      </c>
      <c r="Z250" s="98">
        <f>$AI249</f>
        <v>0.46147709585445112</v>
      </c>
      <c r="AA250" s="93">
        <v>5.8</v>
      </c>
      <c r="AB250" s="98">
        <f>$AI249</f>
        <v>0.46147709585445112</v>
      </c>
      <c r="AC250" s="93">
        <v>1.7</v>
      </c>
      <c r="AD250" s="98">
        <f>$AI249</f>
        <v>0.46147709585445112</v>
      </c>
      <c r="AE250" s="93">
        <v>1.84</v>
      </c>
      <c r="AF250" s="96">
        <f t="shared" si="76"/>
        <v>0.68057628433880091</v>
      </c>
      <c r="AG250" s="10">
        <f t="shared" si="71"/>
        <v>7.97</v>
      </c>
      <c r="AH250" s="95">
        <f t="shared" si="72"/>
        <v>5.6455053333333343</v>
      </c>
      <c r="AI250" s="96">
        <f t="shared" si="79"/>
        <v>0.68057628433880091</v>
      </c>
      <c r="AJ250" s="95">
        <f t="shared" si="77"/>
        <v>0.71624153728179218</v>
      </c>
      <c r="AK250" s="95">
        <f t="shared" si="78"/>
        <v>0.68983998640191546</v>
      </c>
    </row>
    <row r="251" spans="1:37" x14ac:dyDescent="0.15">
      <c r="A251" s="10">
        <f>A249+1</f>
        <v>2020</v>
      </c>
      <c r="C251" s="10">
        <v>7.0000000000000007E-2</v>
      </c>
      <c r="D251" s="96">
        <f>5/12*5</f>
        <v>2.0833333333333335</v>
      </c>
      <c r="E251" s="95">
        <f t="shared" si="70"/>
        <v>0.14583333333333337</v>
      </c>
      <c r="F251" s="96">
        <f t="shared" si="73"/>
        <v>1.666666666666667</v>
      </c>
      <c r="G251" s="96">
        <f t="shared" si="74"/>
        <v>0.33833333333333343</v>
      </c>
      <c r="H251" s="95">
        <f t="shared" si="75"/>
        <v>0.19583333333333336</v>
      </c>
      <c r="I251" s="94">
        <f>'Modell During mining'!$G245/1000000</f>
        <v>1.1211826666666669</v>
      </c>
      <c r="J251" s="94">
        <f>'Modell During mining'!$D245</f>
        <v>1.080605955378071E-4</v>
      </c>
      <c r="K251" s="93">
        <v>0</v>
      </c>
      <c r="L251" s="93">
        <v>0.6</v>
      </c>
      <c r="M251" s="93">
        <v>0</v>
      </c>
      <c r="N251" s="93">
        <v>0.6</v>
      </c>
      <c r="O251" s="93">
        <v>1.26</v>
      </c>
      <c r="P251" s="93">
        <v>2</v>
      </c>
      <c r="Q251" s="93">
        <v>0</v>
      </c>
      <c r="R251" s="93">
        <v>0</v>
      </c>
      <c r="S251" s="93">
        <v>0.36</v>
      </c>
      <c r="T251" s="98">
        <f>AF251</f>
        <v>0.54547999481722598</v>
      </c>
      <c r="U251" s="93">
        <v>25.21</v>
      </c>
      <c r="V251" s="93">
        <v>2.5</v>
      </c>
      <c r="W251" s="93">
        <v>21.42</v>
      </c>
      <c r="X251" s="93">
        <v>2.5</v>
      </c>
      <c r="Y251" s="93">
        <v>0.11</v>
      </c>
      <c r="Z251" s="93">
        <v>2.5</v>
      </c>
      <c r="AA251" s="93">
        <v>5.8</v>
      </c>
      <c r="AB251" s="93">
        <v>2.5</v>
      </c>
      <c r="AC251" s="93">
        <v>1.7</v>
      </c>
      <c r="AD251" s="93">
        <v>2.5</v>
      </c>
      <c r="AE251" s="93">
        <v>1.84</v>
      </c>
      <c r="AF251" s="96">
        <f t="shared" si="76"/>
        <v>0.54547999481722598</v>
      </c>
      <c r="AG251" s="10">
        <f t="shared" si="71"/>
        <v>7.97</v>
      </c>
      <c r="AH251" s="95">
        <f t="shared" si="72"/>
        <v>2.3811826666666667</v>
      </c>
      <c r="AI251" s="96">
        <f t="shared" si="79"/>
        <v>0.54547999481722598</v>
      </c>
      <c r="AJ251" s="95">
        <f t="shared" si="77"/>
        <v>0.57830626896269877</v>
      </c>
      <c r="AK251" s="95">
        <f t="shared" si="78"/>
        <v>0.55400629979007621</v>
      </c>
    </row>
    <row r="252" spans="1:37" x14ac:dyDescent="0.15">
      <c r="A252" s="10">
        <f>A251+0.5</f>
        <v>2020.5</v>
      </c>
      <c r="C252" s="10">
        <v>7.0000000000000007E-2</v>
      </c>
      <c r="D252" s="96">
        <f>5.5/12*7</f>
        <v>3.208333333333333</v>
      </c>
      <c r="E252" s="95">
        <f t="shared" si="70"/>
        <v>0.22458333333333333</v>
      </c>
      <c r="F252" s="96">
        <f t="shared" si="73"/>
        <v>2.5666666666666664</v>
      </c>
      <c r="G252" s="96">
        <f t="shared" si="74"/>
        <v>0.52103333333333335</v>
      </c>
      <c r="H252" s="95">
        <f t="shared" si="75"/>
        <v>0.30158333333333331</v>
      </c>
      <c r="I252" s="94">
        <f>'Modell During mining'!$G246/1000000</f>
        <v>1.6271992000000002</v>
      </c>
      <c r="J252" s="94">
        <f>'Modell During mining'!$D246</f>
        <v>6.7533675041138138E-3</v>
      </c>
      <c r="K252" s="93">
        <v>0.95</v>
      </c>
      <c r="L252" s="93">
        <v>0.6</v>
      </c>
      <c r="M252" s="93">
        <v>0.31</v>
      </c>
      <c r="N252" s="93">
        <v>0.6</v>
      </c>
      <c r="O252" s="93">
        <v>1.26</v>
      </c>
      <c r="P252" s="93">
        <v>2</v>
      </c>
      <c r="Q252" s="93">
        <v>1.6</v>
      </c>
      <c r="R252" s="93">
        <v>0</v>
      </c>
      <c r="S252" s="93">
        <v>0.36</v>
      </c>
      <c r="T252" s="98">
        <f>AI251</f>
        <v>0.54547999481722598</v>
      </c>
      <c r="U252" s="93">
        <v>25.21</v>
      </c>
      <c r="V252" s="98">
        <f>$AI251</f>
        <v>0.54547999481722598</v>
      </c>
      <c r="W252" s="93">
        <v>21.42</v>
      </c>
      <c r="X252" s="98">
        <f>$AI251</f>
        <v>0.54547999481722598</v>
      </c>
      <c r="Y252" s="93">
        <v>0.11</v>
      </c>
      <c r="Z252" s="98">
        <f>$AI251</f>
        <v>0.54547999481722598</v>
      </c>
      <c r="AA252" s="93">
        <v>5.8</v>
      </c>
      <c r="AB252" s="98">
        <f>$AI251</f>
        <v>0.54547999481722598</v>
      </c>
      <c r="AC252" s="93">
        <v>1.7</v>
      </c>
      <c r="AD252" s="98">
        <f>$AI251</f>
        <v>0.54547999481722598</v>
      </c>
      <c r="AE252" s="93">
        <v>1.84</v>
      </c>
      <c r="AF252" s="96">
        <f t="shared" si="76"/>
        <v>0.69366719438200553</v>
      </c>
      <c r="AG252" s="10">
        <f t="shared" si="71"/>
        <v>7.97</v>
      </c>
      <c r="AH252" s="95">
        <f t="shared" si="72"/>
        <v>5.7471992000000007</v>
      </c>
      <c r="AI252" s="96">
        <f t="shared" si="79"/>
        <v>0.69366719438200553</v>
      </c>
      <c r="AJ252" s="95">
        <f t="shared" si="77"/>
        <v>0.72822392322757579</v>
      </c>
      <c r="AK252" s="95">
        <f t="shared" si="78"/>
        <v>0.70264296810812754</v>
      </c>
    </row>
    <row r="253" spans="1:37" x14ac:dyDescent="0.15">
      <c r="A253" s="10">
        <f>A251+1</f>
        <v>2021</v>
      </c>
      <c r="C253" s="10">
        <v>7.0000000000000007E-2</v>
      </c>
      <c r="D253" s="96">
        <f>5/12*5</f>
        <v>2.0833333333333335</v>
      </c>
      <c r="E253" s="95">
        <f t="shared" si="70"/>
        <v>0.14583333333333337</v>
      </c>
      <c r="F253" s="96">
        <f t="shared" si="73"/>
        <v>1.666666666666667</v>
      </c>
      <c r="G253" s="96">
        <f t="shared" si="74"/>
        <v>0.33833333333333343</v>
      </c>
      <c r="H253" s="95">
        <f t="shared" si="75"/>
        <v>0.19583333333333336</v>
      </c>
      <c r="I253" s="94">
        <f>'Modell During mining'!$G247/1000000</f>
        <v>1.1893160000000003</v>
      </c>
      <c r="J253" s="94">
        <f>'Modell During mining'!$D247</f>
        <v>1.0931745642032899E-4</v>
      </c>
      <c r="K253" s="93">
        <v>0</v>
      </c>
      <c r="L253" s="93">
        <v>0.6</v>
      </c>
      <c r="M253" s="93">
        <v>0</v>
      </c>
      <c r="N253" s="93">
        <v>0.6</v>
      </c>
      <c r="O253" s="93">
        <v>1.26</v>
      </c>
      <c r="P253" s="93">
        <v>2</v>
      </c>
      <c r="Q253" s="93">
        <v>0</v>
      </c>
      <c r="R253" s="93">
        <v>0</v>
      </c>
      <c r="S253" s="93">
        <v>0.36</v>
      </c>
      <c r="T253" s="98">
        <f>AF253</f>
        <v>0.53379219438443526</v>
      </c>
      <c r="U253" s="93">
        <v>25.21</v>
      </c>
      <c r="V253" s="93">
        <v>2.5</v>
      </c>
      <c r="W253" s="93">
        <v>21.42</v>
      </c>
      <c r="X253" s="93">
        <v>2.5</v>
      </c>
      <c r="Y253" s="93">
        <v>0.11</v>
      </c>
      <c r="Z253" s="93">
        <v>2.5</v>
      </c>
      <c r="AA253" s="93">
        <v>5.8</v>
      </c>
      <c r="AB253" s="93">
        <v>2.5</v>
      </c>
      <c r="AC253" s="93">
        <v>1.7</v>
      </c>
      <c r="AD253" s="93">
        <v>2.5</v>
      </c>
      <c r="AE253" s="93">
        <v>1.84</v>
      </c>
      <c r="AF253" s="96">
        <f t="shared" si="76"/>
        <v>0.53379219438443526</v>
      </c>
      <c r="AG253" s="10">
        <f t="shared" si="71"/>
        <v>7.97</v>
      </c>
      <c r="AH253" s="95">
        <f t="shared" si="72"/>
        <v>2.4493160000000005</v>
      </c>
      <c r="AI253" s="96">
        <f t="shared" si="79"/>
        <v>0.53379219438443526</v>
      </c>
      <c r="AJ253" s="95">
        <f t="shared" si="77"/>
        <v>0.56580588837300028</v>
      </c>
      <c r="AK253" s="95">
        <f t="shared" si="78"/>
        <v>0.54210743957627028</v>
      </c>
    </row>
    <row r="254" spans="1:37" x14ac:dyDescent="0.15">
      <c r="A254" s="10">
        <f>A253+0.5</f>
        <v>2021.5</v>
      </c>
      <c r="C254" s="10">
        <v>7.0000000000000007E-2</v>
      </c>
      <c r="D254" s="96">
        <f>5.5/12*7</f>
        <v>3.208333333333333</v>
      </c>
      <c r="E254" s="95">
        <f t="shared" si="70"/>
        <v>0.22458333333333333</v>
      </c>
      <c r="F254" s="96">
        <f t="shared" si="73"/>
        <v>2.5666666666666664</v>
      </c>
      <c r="G254" s="96">
        <f t="shared" si="74"/>
        <v>0.52103333333333335</v>
      </c>
      <c r="H254" s="95">
        <f t="shared" si="75"/>
        <v>0.30158333333333331</v>
      </c>
      <c r="I254" s="94">
        <f>'Modell During mining'!$G248/1000000</f>
        <v>1.7288930666666671</v>
      </c>
      <c r="J254" s="94">
        <f>'Modell During mining'!$D248</f>
        <v>6.3943729930318388E-3</v>
      </c>
      <c r="K254" s="93">
        <v>0.95</v>
      </c>
      <c r="L254" s="93">
        <v>0.6</v>
      </c>
      <c r="M254" s="93">
        <v>0.31</v>
      </c>
      <c r="N254" s="93">
        <v>0.6</v>
      </c>
      <c r="O254" s="93">
        <v>1.26</v>
      </c>
      <c r="P254" s="93">
        <v>2</v>
      </c>
      <c r="Q254" s="93">
        <v>1.6</v>
      </c>
      <c r="R254" s="93">
        <v>0</v>
      </c>
      <c r="S254" s="93">
        <v>0.36</v>
      </c>
      <c r="T254" s="98">
        <f>AI253</f>
        <v>0.53379219438443526</v>
      </c>
      <c r="U254" s="93">
        <v>25.21</v>
      </c>
      <c r="V254" s="98">
        <f>$AI253</f>
        <v>0.53379219438443526</v>
      </c>
      <c r="W254" s="93">
        <v>21.42</v>
      </c>
      <c r="X254" s="98">
        <f>$AI253</f>
        <v>0.53379219438443526</v>
      </c>
      <c r="Y254" s="93">
        <v>0.11</v>
      </c>
      <c r="Z254" s="98">
        <f>$AI253</f>
        <v>0.53379219438443526</v>
      </c>
      <c r="AA254" s="93">
        <v>5.8</v>
      </c>
      <c r="AB254" s="98">
        <f>$AI253</f>
        <v>0.53379219438443526</v>
      </c>
      <c r="AC254" s="93">
        <v>1.7</v>
      </c>
      <c r="AD254" s="98">
        <f>$AI253</f>
        <v>0.53379219438443526</v>
      </c>
      <c r="AE254" s="93">
        <v>1.84</v>
      </c>
      <c r="AF254" s="96">
        <f t="shared" si="76"/>
        <v>0.67202623564145691</v>
      </c>
      <c r="AG254" s="10">
        <f t="shared" si="71"/>
        <v>7.97</v>
      </c>
      <c r="AH254" s="95">
        <f t="shared" si="72"/>
        <v>5.8488930666666672</v>
      </c>
      <c r="AI254" s="96">
        <f t="shared" si="79"/>
        <v>0.67202623564145691</v>
      </c>
      <c r="AJ254" s="95">
        <f t="shared" si="77"/>
        <v>0.70555324668446939</v>
      </c>
      <c r="AK254" s="95">
        <f t="shared" si="78"/>
        <v>0.68073455019808349</v>
      </c>
    </row>
    <row r="255" spans="1:37" x14ac:dyDescent="0.15">
      <c r="A255" s="10">
        <f>A253+1</f>
        <v>2022</v>
      </c>
      <c r="C255" s="10">
        <v>7.0000000000000007E-2</v>
      </c>
      <c r="D255" s="96">
        <f>5/12*5</f>
        <v>2.0833333333333335</v>
      </c>
      <c r="E255" s="95">
        <f t="shared" si="70"/>
        <v>0.14583333333333337</v>
      </c>
      <c r="F255" s="96">
        <f t="shared" si="73"/>
        <v>1.666666666666667</v>
      </c>
      <c r="G255" s="96">
        <f t="shared" si="74"/>
        <v>0.33833333333333343</v>
      </c>
      <c r="H255" s="95">
        <f t="shared" si="75"/>
        <v>0.19583333333333336</v>
      </c>
      <c r="I255" s="94">
        <f>'Modell During mining'!$G249/1000000</f>
        <v>1.2574493333333334</v>
      </c>
      <c r="J255" s="94">
        <f>'Modell During mining'!$D249</f>
        <v>1.1043811440513974E-4</v>
      </c>
      <c r="K255" s="93">
        <v>0</v>
      </c>
      <c r="L255" s="93">
        <v>0.6</v>
      </c>
      <c r="M255" s="93">
        <v>0</v>
      </c>
      <c r="N255" s="93">
        <v>0.6</v>
      </c>
      <c r="O255" s="93">
        <v>1.26</v>
      </c>
      <c r="P255" s="93">
        <v>2</v>
      </c>
      <c r="Q255" s="93">
        <v>0</v>
      </c>
      <c r="R255" s="93">
        <v>0</v>
      </c>
      <c r="S255" s="93">
        <v>0.36</v>
      </c>
      <c r="T255" s="98">
        <f>AF255</f>
        <v>0.51804196038688388</v>
      </c>
      <c r="U255" s="93">
        <v>25.21</v>
      </c>
      <c r="V255" s="93">
        <v>2.5</v>
      </c>
      <c r="W255" s="93">
        <v>21.42</v>
      </c>
      <c r="X255" s="93">
        <v>2.5</v>
      </c>
      <c r="Y255" s="93">
        <v>0.11</v>
      </c>
      <c r="Z255" s="93">
        <v>2.5</v>
      </c>
      <c r="AA255" s="93">
        <v>5.8</v>
      </c>
      <c r="AB255" s="93">
        <v>2.5</v>
      </c>
      <c r="AC255" s="93">
        <v>1.7</v>
      </c>
      <c r="AD255" s="93">
        <v>2.5</v>
      </c>
      <c r="AE255" s="93">
        <v>1.84</v>
      </c>
      <c r="AF255" s="96">
        <f t="shared" si="76"/>
        <v>0.51804196038688388</v>
      </c>
      <c r="AG255" s="10">
        <f t="shared" si="71"/>
        <v>7.97</v>
      </c>
      <c r="AH255" s="95">
        <f t="shared" si="72"/>
        <v>2.5174493333333334</v>
      </c>
      <c r="AI255" s="96">
        <f t="shared" si="79"/>
        <v>0.51804196038688388</v>
      </c>
      <c r="AJ255" s="95">
        <f t="shared" si="77"/>
        <v>0.5492852896347622</v>
      </c>
      <c r="AK255" s="95">
        <f t="shared" si="78"/>
        <v>0.52615711084087813</v>
      </c>
    </row>
    <row r="256" spans="1:37" x14ac:dyDescent="0.15">
      <c r="A256" s="10">
        <f>A255+0.5</f>
        <v>2022.5</v>
      </c>
      <c r="C256" s="10">
        <v>7.0000000000000007E-2</v>
      </c>
      <c r="D256" s="96">
        <f>5.5/12*7</f>
        <v>3.208333333333333</v>
      </c>
      <c r="E256" s="95">
        <f t="shared" si="70"/>
        <v>0.22458333333333333</v>
      </c>
      <c r="F256" s="96">
        <f t="shared" si="73"/>
        <v>2.5666666666666664</v>
      </c>
      <c r="G256" s="96">
        <f t="shared" si="74"/>
        <v>0.52103333333333335</v>
      </c>
      <c r="H256" s="95">
        <f t="shared" si="75"/>
        <v>0.30158333333333331</v>
      </c>
      <c r="I256" s="94">
        <f>'Modell During mining'!$G250/1000000</f>
        <v>1.8305869333333338</v>
      </c>
      <c r="J256" s="94">
        <f>'Modell During mining'!$D250</f>
        <v>6.0752646400768174E-3</v>
      </c>
      <c r="K256" s="93">
        <v>0.95</v>
      </c>
      <c r="L256" s="93">
        <v>0.6</v>
      </c>
      <c r="M256" s="93">
        <v>0.31</v>
      </c>
      <c r="N256" s="93">
        <v>0.6</v>
      </c>
      <c r="O256" s="93">
        <v>1.26</v>
      </c>
      <c r="P256" s="93">
        <v>2</v>
      </c>
      <c r="Q256" s="93">
        <v>0.6</v>
      </c>
      <c r="R256" s="93">
        <v>0</v>
      </c>
      <c r="S256" s="93">
        <v>0.36</v>
      </c>
      <c r="T256" s="98">
        <f>AI255</f>
        <v>0.51804196038688388</v>
      </c>
      <c r="U256" s="93">
        <v>25.21</v>
      </c>
      <c r="V256" s="98">
        <f>$AI255</f>
        <v>0.51804196038688388</v>
      </c>
      <c r="W256" s="93">
        <v>21.42</v>
      </c>
      <c r="X256" s="98">
        <f>$AI255</f>
        <v>0.51804196038688388</v>
      </c>
      <c r="Y256" s="93">
        <v>0.11</v>
      </c>
      <c r="Z256" s="98">
        <f>$AI255</f>
        <v>0.51804196038688388</v>
      </c>
      <c r="AA256" s="93">
        <v>5.8</v>
      </c>
      <c r="AB256" s="98">
        <f>$AI255</f>
        <v>0.51804196038688388</v>
      </c>
      <c r="AC256" s="93">
        <v>1.7</v>
      </c>
      <c r="AD256" s="98">
        <f>$AI255</f>
        <v>0.51804196038688388</v>
      </c>
      <c r="AE256" s="93">
        <v>1.84</v>
      </c>
      <c r="AF256" s="96">
        <f t="shared" si="76"/>
        <v>0.65007326122284192</v>
      </c>
      <c r="AG256" s="10">
        <f t="shared" si="71"/>
        <v>7.97</v>
      </c>
      <c r="AH256" s="95">
        <f t="shared" si="72"/>
        <v>4.9505869333333337</v>
      </c>
      <c r="AI256" s="96">
        <f t="shared" si="79"/>
        <v>0.65007326122284192</v>
      </c>
      <c r="AJ256" s="95">
        <f t="shared" si="77"/>
        <v>0.6826405275292875</v>
      </c>
      <c r="AK256" s="95">
        <f t="shared" si="78"/>
        <v>0.65853229143230829</v>
      </c>
    </row>
    <row r="257" spans="1:37" x14ac:dyDescent="0.15">
      <c r="A257" s="10">
        <f>A255+1</f>
        <v>2023</v>
      </c>
      <c r="C257" s="10">
        <v>7.0000000000000007E-2</v>
      </c>
      <c r="D257" s="96">
        <f>5/12*5</f>
        <v>2.0833333333333335</v>
      </c>
      <c r="E257" s="95">
        <f t="shared" si="70"/>
        <v>0.14583333333333337</v>
      </c>
      <c r="F257" s="96">
        <f t="shared" si="73"/>
        <v>1.666666666666667</v>
      </c>
      <c r="G257" s="96">
        <f t="shared" si="74"/>
        <v>0.33833333333333343</v>
      </c>
      <c r="H257" s="95">
        <f t="shared" si="75"/>
        <v>0.19583333333333336</v>
      </c>
      <c r="I257" s="94">
        <f>'Modell During mining'!$G251/1000000</f>
        <v>1.3255826666666668</v>
      </c>
      <c r="J257" s="94">
        <f>'Modell During mining'!$D251</f>
        <v>1.1144357148101916E-4</v>
      </c>
      <c r="K257" s="93">
        <v>0</v>
      </c>
      <c r="L257" s="93">
        <v>0.6</v>
      </c>
      <c r="M257" s="93">
        <v>0</v>
      </c>
      <c r="N257" s="93">
        <v>0.6</v>
      </c>
      <c r="O257" s="93">
        <v>1.26</v>
      </c>
      <c r="P257" s="93">
        <v>2</v>
      </c>
      <c r="Q257" s="93">
        <v>0</v>
      </c>
      <c r="R257" s="93">
        <v>0</v>
      </c>
      <c r="S257" s="93">
        <v>0.36</v>
      </c>
      <c r="T257" s="98">
        <f>AF257</f>
        <v>0.56162572599369454</v>
      </c>
      <c r="U257" s="93">
        <v>25.21</v>
      </c>
      <c r="V257" s="93">
        <v>2.5</v>
      </c>
      <c r="W257" s="93">
        <v>21.42</v>
      </c>
      <c r="X257" s="93">
        <v>2.5</v>
      </c>
      <c r="Y257" s="93">
        <v>0.11</v>
      </c>
      <c r="Z257" s="93">
        <v>2.5</v>
      </c>
      <c r="AA257" s="93">
        <v>5.8</v>
      </c>
      <c r="AB257" s="93">
        <v>2.5</v>
      </c>
      <c r="AC257" s="93">
        <v>1.7</v>
      </c>
      <c r="AD257" s="93">
        <v>2.5</v>
      </c>
      <c r="AE257" s="93">
        <v>1.84</v>
      </c>
      <c r="AF257" s="96">
        <f t="shared" si="76"/>
        <v>0.56162572599369454</v>
      </c>
      <c r="AG257" s="10">
        <f t="shared" si="71"/>
        <v>7.97</v>
      </c>
      <c r="AH257" s="95">
        <f t="shared" si="72"/>
        <v>2.5855826666666668</v>
      </c>
      <c r="AI257" s="96">
        <f t="shared" si="79"/>
        <v>0.56162572599369454</v>
      </c>
      <c r="AJ257" s="95">
        <f t="shared" si="77"/>
        <v>0.59528357850003166</v>
      </c>
      <c r="AK257" s="95">
        <f t="shared" si="78"/>
        <v>0.57036802534598996</v>
      </c>
    </row>
    <row r="258" spans="1:37" x14ac:dyDescent="0.15">
      <c r="A258" s="10">
        <f>A257+0.5</f>
        <v>2023.5</v>
      </c>
      <c r="C258" s="10">
        <v>7.0000000000000007E-2</v>
      </c>
      <c r="D258" s="96">
        <f>5.5/12*7</f>
        <v>3.208333333333333</v>
      </c>
      <c r="E258" s="95">
        <f t="shared" si="70"/>
        <v>0.22458333333333333</v>
      </c>
      <c r="F258" s="96">
        <f t="shared" si="73"/>
        <v>2.5666666666666664</v>
      </c>
      <c r="G258" s="96">
        <f t="shared" si="74"/>
        <v>0.52103333333333335</v>
      </c>
      <c r="H258" s="95">
        <f t="shared" si="75"/>
        <v>0.30158333333333331</v>
      </c>
      <c r="I258" s="94">
        <f>'Modell During mining'!$G252/1000000</f>
        <v>1.9322808000000005</v>
      </c>
      <c r="J258" s="94">
        <f>'Modell During mining'!$D252</f>
        <v>5.7897449480427436E-3</v>
      </c>
      <c r="K258" s="93">
        <v>0.95</v>
      </c>
      <c r="L258" s="93">
        <v>0.6</v>
      </c>
      <c r="M258" s="93">
        <v>0.31</v>
      </c>
      <c r="N258" s="93">
        <v>0.6</v>
      </c>
      <c r="O258" s="93">
        <v>1.26</v>
      </c>
      <c r="P258" s="93">
        <v>2</v>
      </c>
      <c r="Q258" s="93">
        <v>1.6</v>
      </c>
      <c r="R258" s="93">
        <v>0</v>
      </c>
      <c r="S258" s="93">
        <v>0.36</v>
      </c>
      <c r="T258" s="98">
        <f>AI257</f>
        <v>0.56162572599369454</v>
      </c>
      <c r="U258" s="93">
        <v>25.21</v>
      </c>
      <c r="V258" s="98">
        <f>$AI257</f>
        <v>0.56162572599369454</v>
      </c>
      <c r="W258" s="93">
        <v>21.42</v>
      </c>
      <c r="X258" s="98">
        <f>$AI257</f>
        <v>0.56162572599369454</v>
      </c>
      <c r="Y258" s="93">
        <v>0.11</v>
      </c>
      <c r="Z258" s="98">
        <f>$AI257</f>
        <v>0.56162572599369454</v>
      </c>
      <c r="AA258" s="93">
        <v>5.8</v>
      </c>
      <c r="AB258" s="98">
        <f>$AI257</f>
        <v>0.56162572599369454</v>
      </c>
      <c r="AC258" s="93">
        <v>1.7</v>
      </c>
      <c r="AD258" s="98">
        <f>$AI257</f>
        <v>0.56162572599369454</v>
      </c>
      <c r="AE258" s="93">
        <v>1.84</v>
      </c>
      <c r="AF258" s="96">
        <f t="shared" si="76"/>
        <v>0.65036254531038884</v>
      </c>
      <c r="AG258" s="10">
        <f t="shared" si="71"/>
        <v>7.97</v>
      </c>
      <c r="AH258" s="95">
        <f t="shared" si="72"/>
        <v>6.0522808000000001</v>
      </c>
      <c r="AI258" s="96">
        <f t="shared" si="79"/>
        <v>0.65036254531038884</v>
      </c>
      <c r="AJ258" s="95">
        <f t="shared" si="77"/>
        <v>0.68203252695123884</v>
      </c>
      <c r="AK258" s="95">
        <f t="shared" si="78"/>
        <v>0.65858851456775247</v>
      </c>
    </row>
    <row r="259" spans="1:37" x14ac:dyDescent="0.15">
      <c r="A259" s="10">
        <f>A257+1</f>
        <v>2024</v>
      </c>
      <c r="C259" s="10">
        <v>7.0000000000000007E-2</v>
      </c>
      <c r="D259" s="96">
        <f>5/12*5</f>
        <v>2.0833333333333335</v>
      </c>
      <c r="E259" s="95">
        <f t="shared" si="70"/>
        <v>0.14583333333333337</v>
      </c>
      <c r="F259" s="96">
        <f t="shared" si="73"/>
        <v>1.666666666666667</v>
      </c>
      <c r="G259" s="96">
        <f t="shared" si="74"/>
        <v>0.33833333333333343</v>
      </c>
      <c r="H259" s="95">
        <f t="shared" si="75"/>
        <v>0.19583333333333336</v>
      </c>
      <c r="I259" s="94">
        <f>'Modell During mining'!$G253/1000000</f>
        <v>1.393716</v>
      </c>
      <c r="J259" s="94">
        <f>'Modell During mining'!$D253</f>
        <v>1.123507228158391E-4</v>
      </c>
      <c r="K259" s="93">
        <v>0</v>
      </c>
      <c r="L259" s="93">
        <v>0.6</v>
      </c>
      <c r="M259" s="93">
        <v>0</v>
      </c>
      <c r="N259" s="93">
        <v>0.6</v>
      </c>
      <c r="O259" s="93">
        <v>1.26</v>
      </c>
      <c r="P259" s="93">
        <v>2</v>
      </c>
      <c r="Q259" s="93">
        <v>0</v>
      </c>
      <c r="R259" s="93">
        <v>0</v>
      </c>
      <c r="S259" s="93">
        <v>0.36</v>
      </c>
      <c r="T259" s="98">
        <f>AF259</f>
        <v>0.49153590703007055</v>
      </c>
      <c r="U259" s="93">
        <v>25.21</v>
      </c>
      <c r="V259" s="93">
        <v>2.5</v>
      </c>
      <c r="W259" s="93">
        <v>21.42</v>
      </c>
      <c r="X259" s="93">
        <v>2.5</v>
      </c>
      <c r="Y259" s="93">
        <v>0.11</v>
      </c>
      <c r="Z259" s="93">
        <v>2.5</v>
      </c>
      <c r="AA259" s="93">
        <v>5.8</v>
      </c>
      <c r="AB259" s="93">
        <v>2.5</v>
      </c>
      <c r="AC259" s="93">
        <v>1.7</v>
      </c>
      <c r="AD259" s="93">
        <v>2.5</v>
      </c>
      <c r="AE259" s="93">
        <v>1.84</v>
      </c>
      <c r="AF259" s="96">
        <f t="shared" si="76"/>
        <v>0.49153590703007055</v>
      </c>
      <c r="AG259" s="10">
        <f t="shared" si="71"/>
        <v>7.97</v>
      </c>
      <c r="AH259" s="95">
        <f t="shared" si="72"/>
        <v>2.6537160000000002</v>
      </c>
      <c r="AI259" s="96">
        <f t="shared" si="79"/>
        <v>0.49153590703007055</v>
      </c>
      <c r="AJ259" s="95">
        <f t="shared" si="77"/>
        <v>0.52135216366018977</v>
      </c>
      <c r="AK259" s="95">
        <f t="shared" si="78"/>
        <v>0.49928038927165996</v>
      </c>
    </row>
    <row r="260" spans="1:37" x14ac:dyDescent="0.15">
      <c r="A260" s="10">
        <f>A259+0.5</f>
        <v>2024.5</v>
      </c>
      <c r="C260" s="10">
        <v>7.0000000000000007E-2</v>
      </c>
      <c r="D260" s="96">
        <f>5.5/12*7</f>
        <v>3.208333333333333</v>
      </c>
      <c r="E260" s="95">
        <f t="shared" si="70"/>
        <v>0.22458333333333333</v>
      </c>
      <c r="F260" s="96">
        <f t="shared" si="73"/>
        <v>2.5666666666666664</v>
      </c>
      <c r="G260" s="96">
        <f t="shared" si="74"/>
        <v>0.52103333333333335</v>
      </c>
      <c r="H260" s="95">
        <f t="shared" si="75"/>
        <v>0.30158333333333331</v>
      </c>
      <c r="I260" s="94">
        <f>'Modell During mining'!$G254/1000000</f>
        <v>2.0339746666666674</v>
      </c>
      <c r="J260" s="94">
        <f>'Modell During mining'!$D254</f>
        <v>5.5327758588930255E-3</v>
      </c>
      <c r="K260" s="93">
        <v>0.95</v>
      </c>
      <c r="L260" s="93">
        <v>0.6</v>
      </c>
      <c r="M260" s="93">
        <v>0.31</v>
      </c>
      <c r="N260" s="93">
        <v>0.6</v>
      </c>
      <c r="O260" s="93">
        <v>1.26</v>
      </c>
      <c r="P260" s="93">
        <v>2</v>
      </c>
      <c r="Q260" s="93">
        <v>1.6</v>
      </c>
      <c r="R260" s="93">
        <v>0</v>
      </c>
      <c r="S260" s="93">
        <v>0.36</v>
      </c>
      <c r="T260" s="98">
        <f>AI259</f>
        <v>0.49153590703007055</v>
      </c>
      <c r="U260" s="93">
        <v>25.21</v>
      </c>
      <c r="V260" s="98">
        <f>$AI259</f>
        <v>0.49153590703007055</v>
      </c>
      <c r="W260" s="93">
        <v>21.42</v>
      </c>
      <c r="X260" s="98">
        <f>$AI259</f>
        <v>0.49153590703007055</v>
      </c>
      <c r="Y260" s="93">
        <v>0.11</v>
      </c>
      <c r="Z260" s="98">
        <f>$AI259</f>
        <v>0.49153590703007055</v>
      </c>
      <c r="AA260" s="93">
        <v>5.8</v>
      </c>
      <c r="AB260" s="98">
        <f>$AI259</f>
        <v>0.49153590703007055</v>
      </c>
      <c r="AC260" s="93">
        <v>1.7</v>
      </c>
      <c r="AD260" s="98">
        <f>$AI259</f>
        <v>0.49153590703007055</v>
      </c>
      <c r="AE260" s="93">
        <v>1.84</v>
      </c>
      <c r="AF260" s="96">
        <f t="shared" si="76"/>
        <v>0.61109237854457144</v>
      </c>
      <c r="AG260" s="10">
        <f t="shared" si="71"/>
        <v>7.97</v>
      </c>
      <c r="AH260" s="95">
        <f t="shared" si="72"/>
        <v>6.1539746666666684</v>
      </c>
      <c r="AI260" s="96">
        <f t="shared" si="79"/>
        <v>0.61109237854457144</v>
      </c>
      <c r="AJ260" s="95">
        <f t="shared" si="77"/>
        <v>0.64192110148488879</v>
      </c>
      <c r="AK260" s="95">
        <f t="shared" si="78"/>
        <v>0.61909983904854993</v>
      </c>
    </row>
    <row r="261" spans="1:37" x14ac:dyDescent="0.15">
      <c r="A261" s="10">
        <f>A259+1</f>
        <v>2025</v>
      </c>
      <c r="C261" s="10">
        <v>7.0000000000000007E-2</v>
      </c>
      <c r="D261" s="96">
        <f>5/12*5</f>
        <v>2.0833333333333335</v>
      </c>
      <c r="E261" s="95">
        <f t="shared" si="70"/>
        <v>0.14583333333333337</v>
      </c>
      <c r="F261" s="96">
        <f t="shared" si="73"/>
        <v>1.666666666666667</v>
      </c>
      <c r="G261" s="96">
        <f t="shared" si="74"/>
        <v>0.33833333333333343</v>
      </c>
      <c r="H261" s="95">
        <f t="shared" si="75"/>
        <v>0.19583333333333336</v>
      </c>
      <c r="I261" s="94">
        <f>'Modell During mining'!$G255/1000000</f>
        <v>1.4618493333333333</v>
      </c>
      <c r="J261" s="94">
        <f>'Modell During mining'!$D255</f>
        <v>1.1317331380251682E-4</v>
      </c>
      <c r="K261" s="93">
        <v>0</v>
      </c>
      <c r="L261" s="93">
        <v>0.6</v>
      </c>
      <c r="M261" s="93">
        <v>0</v>
      </c>
      <c r="N261" s="93">
        <v>0.6</v>
      </c>
      <c r="O261" s="93">
        <v>1.26</v>
      </c>
      <c r="P261" s="93">
        <v>2</v>
      </c>
      <c r="Q261" s="93">
        <v>0</v>
      </c>
      <c r="R261" s="93">
        <v>0</v>
      </c>
      <c r="S261" s="93">
        <v>0.36</v>
      </c>
      <c r="T261" s="98">
        <f>AF261</f>
        <v>0.47550482549160578</v>
      </c>
      <c r="U261" s="93">
        <v>25.21</v>
      </c>
      <c r="V261" s="93">
        <v>2.5</v>
      </c>
      <c r="W261" s="93">
        <v>21.42</v>
      </c>
      <c r="X261" s="93">
        <v>2.5</v>
      </c>
      <c r="Y261" s="93">
        <v>0.11</v>
      </c>
      <c r="Z261" s="93">
        <v>2.5</v>
      </c>
      <c r="AA261" s="93">
        <v>5.8</v>
      </c>
      <c r="AB261" s="93">
        <v>2.5</v>
      </c>
      <c r="AC261" s="93">
        <v>1.7</v>
      </c>
      <c r="AD261" s="93">
        <v>2.5</v>
      </c>
      <c r="AE261" s="93">
        <v>1.84</v>
      </c>
      <c r="AF261" s="96">
        <f t="shared" si="76"/>
        <v>0.47550482549160578</v>
      </c>
      <c r="AG261" s="10">
        <f t="shared" si="71"/>
        <v>7.97</v>
      </c>
      <c r="AH261" s="95">
        <f t="shared" si="72"/>
        <v>2.7218493333333331</v>
      </c>
      <c r="AI261" s="96">
        <f t="shared" si="79"/>
        <v>0.47550482549160578</v>
      </c>
      <c r="AJ261" s="95">
        <f t="shared" si="77"/>
        <v>0.5046587070556906</v>
      </c>
      <c r="AK261" s="95">
        <f t="shared" si="78"/>
        <v>0.48307726226149794</v>
      </c>
    </row>
    <row r="262" spans="1:37" x14ac:dyDescent="0.15">
      <c r="A262" s="10">
        <f>A261+0.5</f>
        <v>2025.5</v>
      </c>
      <c r="C262" s="10">
        <v>7.0000000000000007E-2</v>
      </c>
      <c r="D262" s="96">
        <f>5.5/12*7</f>
        <v>3.208333333333333</v>
      </c>
      <c r="E262" s="95">
        <f t="shared" si="70"/>
        <v>0.22458333333333333</v>
      </c>
      <c r="F262" s="96">
        <f t="shared" si="73"/>
        <v>2.5666666666666664</v>
      </c>
      <c r="G262" s="96">
        <f t="shared" si="74"/>
        <v>0.52103333333333335</v>
      </c>
      <c r="H262" s="95">
        <f t="shared" si="75"/>
        <v>0.30158333333333331</v>
      </c>
      <c r="I262" s="94">
        <f>'Modell During mining'!$G256/1000000</f>
        <v>2.1356685333333343</v>
      </c>
      <c r="J262" s="94">
        <f>'Modell During mining'!$D256</f>
        <v>5.3002789009580342E-3</v>
      </c>
      <c r="K262" s="93">
        <v>0.95</v>
      </c>
      <c r="L262" s="93">
        <v>0.6</v>
      </c>
      <c r="M262" s="93">
        <v>0.31</v>
      </c>
      <c r="N262" s="93">
        <v>0.6</v>
      </c>
      <c r="O262" s="93">
        <v>1.26</v>
      </c>
      <c r="P262" s="93">
        <v>2</v>
      </c>
      <c r="Q262" s="93">
        <v>1.6</v>
      </c>
      <c r="R262" s="93">
        <v>0</v>
      </c>
      <c r="S262" s="93">
        <v>0.36</v>
      </c>
      <c r="T262" s="98">
        <f>AI261</f>
        <v>0.47550482549160578</v>
      </c>
      <c r="U262" s="93">
        <v>25.21</v>
      </c>
      <c r="V262" s="98">
        <f>$AI261</f>
        <v>0.47550482549160578</v>
      </c>
      <c r="W262" s="93">
        <v>21.42</v>
      </c>
      <c r="X262" s="98">
        <f>$AI261</f>
        <v>0.47550482549160578</v>
      </c>
      <c r="Y262" s="93">
        <v>0.11</v>
      </c>
      <c r="Z262" s="98">
        <f>$AI261</f>
        <v>0.47550482549160578</v>
      </c>
      <c r="AA262" s="93">
        <v>5.8</v>
      </c>
      <c r="AB262" s="98">
        <f>$AI261</f>
        <v>0.47550482549160578</v>
      </c>
      <c r="AC262" s="93">
        <v>1.7</v>
      </c>
      <c r="AD262" s="98">
        <f>$AI261</f>
        <v>0.47550482549160578</v>
      </c>
      <c r="AE262" s="93">
        <v>1.84</v>
      </c>
      <c r="AF262" s="96">
        <f t="shared" si="76"/>
        <v>0.59200990095389394</v>
      </c>
      <c r="AG262" s="10">
        <f t="shared" si="71"/>
        <v>7.97</v>
      </c>
      <c r="AH262" s="95">
        <f t="shared" si="72"/>
        <v>6.2556685333333348</v>
      </c>
      <c r="AI262" s="96">
        <f t="shared" si="79"/>
        <v>0.59200990095389394</v>
      </c>
      <c r="AJ262" s="95">
        <f t="shared" si="77"/>
        <v>0.62204784597814866</v>
      </c>
      <c r="AK262" s="95">
        <f t="shared" si="78"/>
        <v>0.5998119645965575</v>
      </c>
    </row>
    <row r="263" spans="1:37" x14ac:dyDescent="0.15">
      <c r="A263" s="10">
        <f>A261+1</f>
        <v>2026</v>
      </c>
      <c r="C263" s="10">
        <v>7.0000000000000007E-2</v>
      </c>
      <c r="D263" s="96">
        <f>5/12*5</f>
        <v>2.0833333333333335</v>
      </c>
      <c r="E263" s="95">
        <f t="shared" si="70"/>
        <v>0.14583333333333337</v>
      </c>
      <c r="F263" s="96">
        <f t="shared" si="73"/>
        <v>1.666666666666667</v>
      </c>
      <c r="G263" s="96">
        <f t="shared" si="74"/>
        <v>0.33833333333333343</v>
      </c>
      <c r="H263" s="95">
        <f t="shared" si="75"/>
        <v>0.19583333333333336</v>
      </c>
      <c r="I263" s="94">
        <f>'Modell During mining'!$G257/1000000</f>
        <v>1.5299826666666665</v>
      </c>
      <c r="J263" s="94">
        <f>'Modell During mining'!$D257</f>
        <v>1.1392264138940136E-4</v>
      </c>
      <c r="K263" s="93">
        <v>0</v>
      </c>
      <c r="L263" s="93">
        <v>0.6</v>
      </c>
      <c r="M263" s="93">
        <v>0</v>
      </c>
      <c r="N263" s="93">
        <v>0.6</v>
      </c>
      <c r="O263" s="93">
        <v>1.26</v>
      </c>
      <c r="P263" s="93">
        <v>2</v>
      </c>
      <c r="Q263" s="93">
        <v>0</v>
      </c>
      <c r="R263" s="93">
        <v>0</v>
      </c>
      <c r="S263" s="93">
        <v>0.36</v>
      </c>
      <c r="T263" s="98">
        <f>AF263</f>
        <v>0.46270848318516145</v>
      </c>
      <c r="U263" s="93">
        <v>25.21</v>
      </c>
      <c r="V263" s="93">
        <v>2.5</v>
      </c>
      <c r="W263" s="93">
        <v>21.42</v>
      </c>
      <c r="X263" s="93">
        <v>2.5</v>
      </c>
      <c r="Y263" s="93">
        <v>0.11</v>
      </c>
      <c r="Z263" s="93">
        <v>2.5</v>
      </c>
      <c r="AA263" s="93">
        <v>5.8</v>
      </c>
      <c r="AB263" s="93">
        <v>2.5</v>
      </c>
      <c r="AC263" s="93">
        <v>1.7</v>
      </c>
      <c r="AD263" s="93">
        <v>2.5</v>
      </c>
      <c r="AE263" s="93">
        <v>1.84</v>
      </c>
      <c r="AF263" s="96">
        <f t="shared" si="76"/>
        <v>0.46270848318516145</v>
      </c>
      <c r="AG263" s="10">
        <f t="shared" si="71"/>
        <v>7.97</v>
      </c>
      <c r="AH263" s="95">
        <f t="shared" si="72"/>
        <v>2.7899826666666665</v>
      </c>
      <c r="AI263" s="96">
        <f t="shared" si="79"/>
        <v>0.46270848318516145</v>
      </c>
      <c r="AJ263" s="95">
        <f t="shared" si="77"/>
        <v>0.49123078769266348</v>
      </c>
      <c r="AK263" s="95">
        <f t="shared" si="78"/>
        <v>0.47011687396633073</v>
      </c>
    </row>
    <row r="264" spans="1:37" x14ac:dyDescent="0.15">
      <c r="A264" s="10">
        <f>A263+0.5</f>
        <v>2026.5</v>
      </c>
      <c r="C264" s="10">
        <v>7.0000000000000007E-2</v>
      </c>
      <c r="D264" s="96">
        <f>5.5/12*7</f>
        <v>3.208333333333333</v>
      </c>
      <c r="E264" s="95">
        <f t="shared" si="70"/>
        <v>0.22458333333333333</v>
      </c>
      <c r="F264" s="96">
        <f t="shared" si="73"/>
        <v>2.5666666666666664</v>
      </c>
      <c r="G264" s="96">
        <f t="shared" si="74"/>
        <v>0.52103333333333335</v>
      </c>
      <c r="H264" s="95">
        <f t="shared" si="75"/>
        <v>0.30158333333333331</v>
      </c>
      <c r="I264" s="94">
        <f>'Modell During mining'!$G258/1000000</f>
        <v>2.2373624000000008</v>
      </c>
      <c r="J264" s="94">
        <f>'Modell During mining'!$D258</f>
        <v>5.0889171106120266E-3</v>
      </c>
      <c r="K264" s="93">
        <v>0.95</v>
      </c>
      <c r="L264" s="93">
        <v>0.6</v>
      </c>
      <c r="M264" s="93">
        <v>0.31</v>
      </c>
      <c r="N264" s="93">
        <v>0.6</v>
      </c>
      <c r="O264" s="93">
        <v>1.26</v>
      </c>
      <c r="P264" s="93">
        <v>2</v>
      </c>
      <c r="Q264" s="93">
        <v>1.6</v>
      </c>
      <c r="R264" s="93">
        <v>0</v>
      </c>
      <c r="S264" s="93">
        <v>0.36</v>
      </c>
      <c r="T264" s="98">
        <f>AI263</f>
        <v>0.46270848318516145</v>
      </c>
      <c r="U264" s="93">
        <v>25.21</v>
      </c>
      <c r="V264" s="98">
        <f>$AI263</f>
        <v>0.46270848318516145</v>
      </c>
      <c r="W264" s="93">
        <v>21.42</v>
      </c>
      <c r="X264" s="98">
        <f>$AI263</f>
        <v>0.46270848318516145</v>
      </c>
      <c r="Y264" s="93">
        <v>0.11</v>
      </c>
      <c r="Z264" s="98">
        <f>$AI263</f>
        <v>0.46270848318516145</v>
      </c>
      <c r="AA264" s="93">
        <v>5.8</v>
      </c>
      <c r="AB264" s="98">
        <f>$AI263</f>
        <v>0.46270848318516145</v>
      </c>
      <c r="AC264" s="93">
        <v>1.7</v>
      </c>
      <c r="AD264" s="98">
        <f>$AI263</f>
        <v>0.46270848318516145</v>
      </c>
      <c r="AE264" s="93">
        <v>1.84</v>
      </c>
      <c r="AF264" s="96">
        <f t="shared" si="76"/>
        <v>0.57487693712309273</v>
      </c>
      <c r="AG264" s="10">
        <f t="shared" si="71"/>
        <v>7.97</v>
      </c>
      <c r="AH264" s="95">
        <f t="shared" si="72"/>
        <v>6.3573624000000013</v>
      </c>
      <c r="AI264" s="96">
        <f t="shared" si="79"/>
        <v>0.57487693712309273</v>
      </c>
      <c r="AJ264" s="95">
        <f t="shared" si="77"/>
        <v>0.60416977782342951</v>
      </c>
      <c r="AK264" s="95">
        <f t="shared" si="78"/>
        <v>0.58248546717512828</v>
      </c>
    </row>
    <row r="265" spans="1:37" x14ac:dyDescent="0.15">
      <c r="A265" s="10">
        <f>A263+1</f>
        <v>2027</v>
      </c>
      <c r="C265" s="10">
        <v>7.0000000000000007E-2</v>
      </c>
      <c r="D265" s="96">
        <f>5/12*5</f>
        <v>2.0833333333333335</v>
      </c>
      <c r="E265" s="95">
        <f t="shared" si="70"/>
        <v>0.14583333333333337</v>
      </c>
      <c r="F265" s="96">
        <f t="shared" si="73"/>
        <v>1.666666666666667</v>
      </c>
      <c r="G265" s="96">
        <f t="shared" si="74"/>
        <v>0.33833333333333343</v>
      </c>
      <c r="H265" s="95">
        <f t="shared" si="75"/>
        <v>0.19583333333333336</v>
      </c>
      <c r="I265" s="94">
        <f>'Modell During mining'!$G259/1000000</f>
        <v>1.5981159999999999</v>
      </c>
      <c r="J265" s="94">
        <f>'Modell During mining'!$D259</f>
        <v>1.1460807600950118E-4</v>
      </c>
      <c r="K265" s="93">
        <v>0</v>
      </c>
      <c r="L265" s="93">
        <v>0.6</v>
      </c>
      <c r="M265" s="93">
        <v>0</v>
      </c>
      <c r="N265" s="93">
        <v>0.6</v>
      </c>
      <c r="O265" s="93">
        <v>1.26</v>
      </c>
      <c r="P265" s="93">
        <v>2</v>
      </c>
      <c r="Q265" s="93">
        <v>0</v>
      </c>
      <c r="R265" s="93">
        <v>0</v>
      </c>
      <c r="S265" s="93">
        <v>0.36</v>
      </c>
      <c r="T265" s="98">
        <f>AF265</f>
        <v>0.45069643170019152</v>
      </c>
      <c r="U265" s="93">
        <v>25.21</v>
      </c>
      <c r="V265" s="93">
        <v>2.5</v>
      </c>
      <c r="W265" s="93">
        <v>21.42</v>
      </c>
      <c r="X265" s="93">
        <v>2.5</v>
      </c>
      <c r="Y265" s="93">
        <v>0.11</v>
      </c>
      <c r="Z265" s="93">
        <v>2.5</v>
      </c>
      <c r="AA265" s="93">
        <v>5.8</v>
      </c>
      <c r="AB265" s="93">
        <v>2.5</v>
      </c>
      <c r="AC265" s="93">
        <v>1.7</v>
      </c>
      <c r="AD265" s="93">
        <v>2.5</v>
      </c>
      <c r="AE265" s="93">
        <v>1.84</v>
      </c>
      <c r="AF265" s="96">
        <f t="shared" si="76"/>
        <v>0.45069643170019152</v>
      </c>
      <c r="AG265" s="10">
        <f t="shared" si="71"/>
        <v>7.97</v>
      </c>
      <c r="AH265" s="95">
        <f t="shared" si="72"/>
        <v>2.8581159999999999</v>
      </c>
      <c r="AI265" s="96">
        <f t="shared" si="79"/>
        <v>0.45069643170019152</v>
      </c>
      <c r="AJ265" s="95">
        <f t="shared" si="77"/>
        <v>0.47861577497049207</v>
      </c>
      <c r="AK265" s="95">
        <f t="shared" si="78"/>
        <v>0.45794820917299683</v>
      </c>
    </row>
    <row r="266" spans="1:37" x14ac:dyDescent="0.15">
      <c r="A266" s="10">
        <f>A265+0.5</f>
        <v>2027.5</v>
      </c>
      <c r="C266" s="10">
        <v>7.0000000000000007E-2</v>
      </c>
      <c r="D266" s="96">
        <f>5.5/12*7</f>
        <v>3.208333333333333</v>
      </c>
      <c r="E266" s="95">
        <f t="shared" si="70"/>
        <v>0.22458333333333333</v>
      </c>
      <c r="F266" s="96">
        <f t="shared" si="73"/>
        <v>2.5666666666666664</v>
      </c>
      <c r="G266" s="96">
        <f t="shared" si="74"/>
        <v>0.52103333333333335</v>
      </c>
      <c r="H266" s="95">
        <f t="shared" si="75"/>
        <v>0.30158333333333331</v>
      </c>
      <c r="I266" s="94">
        <f>'Modell During mining'!$G260/1000000</f>
        <v>2.3390562666666677</v>
      </c>
      <c r="J266" s="94">
        <f>'Modell During mining'!$D260</f>
        <v>4.8959338415800911E-3</v>
      </c>
      <c r="K266" s="93">
        <v>0.95</v>
      </c>
      <c r="L266" s="93">
        <v>0.6</v>
      </c>
      <c r="M266" s="93">
        <v>0.31</v>
      </c>
      <c r="N266" s="93">
        <v>0.6</v>
      </c>
      <c r="O266" s="93">
        <v>1.26</v>
      </c>
      <c r="P266" s="93">
        <v>2</v>
      </c>
      <c r="Q266" s="93">
        <v>1.6</v>
      </c>
      <c r="R266" s="93">
        <v>0</v>
      </c>
      <c r="S266" s="93">
        <v>0.36</v>
      </c>
      <c r="T266" s="98">
        <f>AI265</f>
        <v>0.45069643170019152</v>
      </c>
      <c r="U266" s="93">
        <v>25.21</v>
      </c>
      <c r="V266" s="98">
        <f>$AI265</f>
        <v>0.45069643170019152</v>
      </c>
      <c r="W266" s="93">
        <v>21.42</v>
      </c>
      <c r="X266" s="98">
        <f>$AI265</f>
        <v>0.45069643170019152</v>
      </c>
      <c r="Y266" s="93">
        <v>0.11</v>
      </c>
      <c r="Z266" s="98">
        <f>$AI265</f>
        <v>0.45069643170019152</v>
      </c>
      <c r="AA266" s="93">
        <v>5.8</v>
      </c>
      <c r="AB266" s="98">
        <f>$AI265</f>
        <v>0.45069643170019152</v>
      </c>
      <c r="AC266" s="93">
        <v>1.7</v>
      </c>
      <c r="AD266" s="98">
        <f>$AI265</f>
        <v>0.45069643170019152</v>
      </c>
      <c r="AE266" s="93">
        <v>1.84</v>
      </c>
      <c r="AF266" s="96">
        <f t="shared" si="76"/>
        <v>0.55875753827267227</v>
      </c>
      <c r="AG266" s="10">
        <f t="shared" si="71"/>
        <v>7.97</v>
      </c>
      <c r="AH266" s="95">
        <f t="shared" si="72"/>
        <v>6.4590562666666678</v>
      </c>
      <c r="AI266" s="96">
        <f t="shared" si="79"/>
        <v>0.55875753827267227</v>
      </c>
      <c r="AJ266" s="95">
        <f t="shared" si="77"/>
        <v>0.58734675805802083</v>
      </c>
      <c r="AK266" s="95">
        <f t="shared" si="78"/>
        <v>0.56618330964549013</v>
      </c>
    </row>
    <row r="267" spans="1:37" x14ac:dyDescent="0.15">
      <c r="A267" s="10">
        <f>A265+1</f>
        <v>2028</v>
      </c>
      <c r="C267" s="10">
        <v>7.0000000000000007E-2</v>
      </c>
      <c r="D267" s="96">
        <f>5/12*5</f>
        <v>2.0833333333333335</v>
      </c>
      <c r="E267" s="95">
        <f t="shared" si="70"/>
        <v>0.14583333333333337</v>
      </c>
      <c r="F267" s="96">
        <f t="shared" si="73"/>
        <v>1.666666666666667</v>
      </c>
      <c r="G267" s="96">
        <f t="shared" si="74"/>
        <v>0.33833333333333343</v>
      </c>
      <c r="H267" s="95">
        <f t="shared" si="75"/>
        <v>0.19583333333333336</v>
      </c>
      <c r="I267" s="94">
        <f>'Modell During mining'!$G261/1000000</f>
        <v>1.666249333333333</v>
      </c>
      <c r="J267" s="94">
        <f>'Modell During mining'!$D261</f>
        <v>1.152374554588469E-4</v>
      </c>
      <c r="K267" s="93">
        <v>0</v>
      </c>
      <c r="L267" s="93">
        <v>0.6</v>
      </c>
      <c r="M267" s="93">
        <v>0</v>
      </c>
      <c r="N267" s="93">
        <v>0.6</v>
      </c>
      <c r="O267" s="93">
        <v>1.26</v>
      </c>
      <c r="P267" s="93">
        <v>2</v>
      </c>
      <c r="Q267" s="93">
        <v>0</v>
      </c>
      <c r="R267" s="93">
        <v>0</v>
      </c>
      <c r="S267" s="93">
        <v>0.36</v>
      </c>
      <c r="T267" s="98">
        <f>AF267</f>
        <v>0.43930653565319355</v>
      </c>
      <c r="U267" s="93">
        <v>25.21</v>
      </c>
      <c r="V267" s="93">
        <v>2.5</v>
      </c>
      <c r="W267" s="93">
        <v>21.42</v>
      </c>
      <c r="X267" s="93">
        <v>2.5</v>
      </c>
      <c r="Y267" s="93">
        <v>0.11</v>
      </c>
      <c r="Z267" s="93">
        <v>2.5</v>
      </c>
      <c r="AA267" s="93">
        <v>5.8</v>
      </c>
      <c r="AB267" s="93">
        <v>2.5</v>
      </c>
      <c r="AC267" s="93">
        <v>1.7</v>
      </c>
      <c r="AD267" s="93">
        <v>2.5</v>
      </c>
      <c r="AE267" s="93">
        <v>1.84</v>
      </c>
      <c r="AF267" s="96">
        <f t="shared" si="76"/>
        <v>0.43930653565319355</v>
      </c>
      <c r="AG267" s="10">
        <f t="shared" si="71"/>
        <v>7.97</v>
      </c>
      <c r="AH267" s="95">
        <f t="shared" si="72"/>
        <v>2.9262493333333328</v>
      </c>
      <c r="AI267" s="96">
        <f t="shared" si="79"/>
        <v>0.43930653565319355</v>
      </c>
      <c r="AJ267" s="95">
        <f t="shared" si="77"/>
        <v>0.46664955693373367</v>
      </c>
      <c r="AK267" s="95">
        <f t="shared" si="78"/>
        <v>0.44640861910268437</v>
      </c>
    </row>
    <row r="268" spans="1:37" x14ac:dyDescent="0.15">
      <c r="A268" s="10">
        <f>A267+0.5</f>
        <v>2028.5</v>
      </c>
      <c r="C268" s="10">
        <v>7.0000000000000007E-2</v>
      </c>
      <c r="D268" s="96">
        <f>5.5/12*7</f>
        <v>3.208333333333333</v>
      </c>
      <c r="E268" s="95">
        <f t="shared" si="70"/>
        <v>0.22458333333333333</v>
      </c>
      <c r="F268" s="96">
        <f t="shared" si="73"/>
        <v>2.5666666666666664</v>
      </c>
      <c r="G268" s="96">
        <f t="shared" si="74"/>
        <v>0.52103333333333335</v>
      </c>
      <c r="H268" s="95">
        <f t="shared" si="75"/>
        <v>0.30158333333333331</v>
      </c>
      <c r="I268" s="94">
        <f>'Modell During mining'!$G262/1000000</f>
        <v>2.4407501333333341</v>
      </c>
      <c r="J268" s="94">
        <f>'Modell During mining'!$D262</f>
        <v>4.7190318703113415E-3</v>
      </c>
      <c r="K268" s="93">
        <v>0.95</v>
      </c>
      <c r="L268" s="93">
        <v>0.6</v>
      </c>
      <c r="M268" s="93">
        <v>0.31</v>
      </c>
      <c r="N268" s="93">
        <v>0.6</v>
      </c>
      <c r="O268" s="93">
        <v>1.26</v>
      </c>
      <c r="P268" s="93">
        <v>2</v>
      </c>
      <c r="Q268" s="93">
        <v>1.6</v>
      </c>
      <c r="R268" s="93">
        <v>0</v>
      </c>
      <c r="S268" s="93">
        <v>0.36</v>
      </c>
      <c r="T268" s="98">
        <f>AI267</f>
        <v>0.43930653565319355</v>
      </c>
      <c r="U268" s="93">
        <v>25.21</v>
      </c>
      <c r="V268" s="98">
        <f>$AI267</f>
        <v>0.43930653565319355</v>
      </c>
      <c r="W268" s="93">
        <v>21.42</v>
      </c>
      <c r="X268" s="98">
        <f>$AI267</f>
        <v>0.43930653565319355</v>
      </c>
      <c r="Y268" s="93">
        <v>0.11</v>
      </c>
      <c r="Z268" s="98">
        <f>$AI267</f>
        <v>0.43930653565319355</v>
      </c>
      <c r="AA268" s="93">
        <v>5.8</v>
      </c>
      <c r="AB268" s="98">
        <f>$AI267</f>
        <v>0.43930653565319355</v>
      </c>
      <c r="AC268" s="93">
        <v>1.7</v>
      </c>
      <c r="AD268" s="98">
        <f>$AI267</f>
        <v>0.43930653565319355</v>
      </c>
      <c r="AE268" s="93">
        <v>1.84</v>
      </c>
      <c r="AF268" s="96">
        <f t="shared" si="76"/>
        <v>0.5435313094339157</v>
      </c>
      <c r="AG268" s="10">
        <f t="shared" si="71"/>
        <v>7.97</v>
      </c>
      <c r="AH268" s="95">
        <f t="shared" si="72"/>
        <v>6.5607501333333342</v>
      </c>
      <c r="AI268" s="96">
        <f t="shared" si="79"/>
        <v>0.5435313094339157</v>
      </c>
      <c r="AJ268" s="95">
        <f t="shared" si="77"/>
        <v>0.57145472078265491</v>
      </c>
      <c r="AK268" s="95">
        <f t="shared" si="78"/>
        <v>0.55078414355047134</v>
      </c>
    </row>
    <row r="269" spans="1:37" x14ac:dyDescent="0.15">
      <c r="A269" s="10">
        <f>A267+1</f>
        <v>2029</v>
      </c>
      <c r="C269" s="10">
        <v>7.0000000000000007E-2</v>
      </c>
      <c r="D269" s="96">
        <f>5/12*5</f>
        <v>2.0833333333333335</v>
      </c>
      <c r="E269" s="95">
        <f t="shared" si="70"/>
        <v>0.14583333333333337</v>
      </c>
      <c r="F269" s="96">
        <f t="shared" si="73"/>
        <v>1.666666666666667</v>
      </c>
      <c r="G269" s="96">
        <f t="shared" si="74"/>
        <v>0.33833333333333343</v>
      </c>
      <c r="H269" s="95">
        <f t="shared" si="75"/>
        <v>0.19583333333333336</v>
      </c>
      <c r="I269" s="94">
        <f>'Modell During mining'!$G263/1000000</f>
        <v>1.7343826666666662</v>
      </c>
      <c r="J269" s="94">
        <f>'Modell During mining'!$D263</f>
        <v>1.1581738593636007E-4</v>
      </c>
      <c r="K269" s="93">
        <v>0</v>
      </c>
      <c r="L269" s="93">
        <v>0.6</v>
      </c>
      <c r="M269" s="93">
        <v>0</v>
      </c>
      <c r="N269" s="93">
        <v>0.6</v>
      </c>
      <c r="O269" s="93">
        <v>1.26</v>
      </c>
      <c r="P269" s="93">
        <v>2</v>
      </c>
      <c r="Q269" s="93">
        <v>0</v>
      </c>
      <c r="R269" s="93">
        <v>0</v>
      </c>
      <c r="S269" s="93">
        <v>0.36</v>
      </c>
      <c r="T269" s="98">
        <f>AF269</f>
        <v>0.42848673116172897</v>
      </c>
      <c r="U269" s="93">
        <v>25.21</v>
      </c>
      <c r="V269" s="93">
        <v>2.5</v>
      </c>
      <c r="W269" s="93">
        <v>21.42</v>
      </c>
      <c r="X269" s="93">
        <v>2.5</v>
      </c>
      <c r="Y269" s="93">
        <v>0.11</v>
      </c>
      <c r="Z269" s="93">
        <v>2.5</v>
      </c>
      <c r="AA269" s="93">
        <v>5.8</v>
      </c>
      <c r="AB269" s="93">
        <v>2.5</v>
      </c>
      <c r="AC269" s="93">
        <v>1.7</v>
      </c>
      <c r="AD269" s="93">
        <v>2.5</v>
      </c>
      <c r="AE269" s="93">
        <v>1.84</v>
      </c>
      <c r="AF269" s="96">
        <f t="shared" si="76"/>
        <v>0.42848673116172897</v>
      </c>
      <c r="AG269" s="10">
        <f t="shared" si="71"/>
        <v>7.97</v>
      </c>
      <c r="AH269" s="95">
        <f t="shared" si="72"/>
        <v>2.9943826666666662</v>
      </c>
      <c r="AI269" s="96">
        <f t="shared" si="79"/>
        <v>0.42848673116172897</v>
      </c>
      <c r="AJ269" s="95">
        <f t="shared" si="77"/>
        <v>0.45527827483105954</v>
      </c>
      <c r="AK269" s="95">
        <f t="shared" si="78"/>
        <v>0.43544557367324338</v>
      </c>
    </row>
    <row r="270" spans="1:37" x14ac:dyDescent="0.15">
      <c r="A270" s="10">
        <f>A269+0.5</f>
        <v>2029.5</v>
      </c>
      <c r="C270" s="10">
        <v>7.0000000000000007E-2</v>
      </c>
      <c r="D270" s="96">
        <f>5.5/12*7</f>
        <v>3.208333333333333</v>
      </c>
      <c r="E270" s="95">
        <f t="shared" si="70"/>
        <v>0.22458333333333333</v>
      </c>
      <c r="F270" s="96">
        <f t="shared" si="73"/>
        <v>2.5666666666666664</v>
      </c>
      <c r="G270" s="96">
        <f t="shared" si="74"/>
        <v>0.52103333333333335</v>
      </c>
      <c r="H270" s="95">
        <f t="shared" si="75"/>
        <v>0.30158333333333331</v>
      </c>
      <c r="I270" s="94">
        <f>'Modell During mining'!$G264/1000000</f>
        <v>2.5424440000000001</v>
      </c>
      <c r="J270" s="94">
        <f>'Modell During mining'!$D264</f>
        <v>4.5562815149517511E-3</v>
      </c>
      <c r="K270" s="93">
        <v>0.95</v>
      </c>
      <c r="L270" s="93">
        <v>0.6</v>
      </c>
      <c r="M270" s="93">
        <v>0.31</v>
      </c>
      <c r="N270" s="93">
        <v>0.6</v>
      </c>
      <c r="O270" s="93">
        <v>1.26</v>
      </c>
      <c r="P270" s="93">
        <v>2</v>
      </c>
      <c r="Q270" s="93">
        <v>1.6</v>
      </c>
      <c r="R270" s="93">
        <v>0</v>
      </c>
      <c r="S270" s="93">
        <v>0.36</v>
      </c>
      <c r="T270" s="98">
        <f>AI269</f>
        <v>0.42848673116172897</v>
      </c>
      <c r="U270" s="93">
        <v>25.21</v>
      </c>
      <c r="V270" s="98">
        <f>$AI269</f>
        <v>0.42848673116172897</v>
      </c>
      <c r="W270" s="93">
        <v>21.42</v>
      </c>
      <c r="X270" s="98">
        <f>$AI269</f>
        <v>0.42848673116172897</v>
      </c>
      <c r="Y270" s="93">
        <v>0.11</v>
      </c>
      <c r="Z270" s="98">
        <f>$AI269</f>
        <v>0.42848673116172897</v>
      </c>
      <c r="AA270" s="93">
        <v>5.8</v>
      </c>
      <c r="AB270" s="98">
        <f>$AI269</f>
        <v>0.42848673116172897</v>
      </c>
      <c r="AC270" s="93">
        <v>1.7</v>
      </c>
      <c r="AD270" s="98">
        <f>$AI269</f>
        <v>0.42848673116172897</v>
      </c>
      <c r="AE270" s="93">
        <v>1.84</v>
      </c>
      <c r="AF270" s="96">
        <f t="shared" si="76"/>
        <v>0.5291234353668598</v>
      </c>
      <c r="AG270" s="10">
        <f t="shared" si="71"/>
        <v>7.97</v>
      </c>
      <c r="AH270" s="95">
        <f t="shared" si="72"/>
        <v>6.6624440000000007</v>
      </c>
      <c r="AI270" s="96">
        <f t="shared" si="79"/>
        <v>0.5291234353668598</v>
      </c>
      <c r="AJ270" s="95">
        <f t="shared" si="77"/>
        <v>0.55641561948941121</v>
      </c>
      <c r="AK270" s="95">
        <f t="shared" si="78"/>
        <v>0.53621231435973038</v>
      </c>
    </row>
    <row r="271" spans="1:37" x14ac:dyDescent="0.15">
      <c r="A271" s="10">
        <f>A269+1</f>
        <v>2030</v>
      </c>
      <c r="C271" s="10">
        <v>7.0000000000000007E-2</v>
      </c>
      <c r="D271" s="96">
        <f>5/12*5</f>
        <v>2.0833333333333335</v>
      </c>
      <c r="E271" s="95">
        <f t="shared" si="70"/>
        <v>0.14583333333333337</v>
      </c>
      <c r="F271" s="96">
        <f t="shared" si="73"/>
        <v>1.666666666666667</v>
      </c>
      <c r="G271" s="96">
        <f t="shared" si="74"/>
        <v>0.33833333333333343</v>
      </c>
      <c r="H271" s="95">
        <f t="shared" si="75"/>
        <v>0.19583333333333336</v>
      </c>
      <c r="I271" s="94">
        <f>'Modell During mining'!$G265/1000000</f>
        <v>1.802516</v>
      </c>
      <c r="J271" s="94">
        <f>'Modell During mining'!$D265</f>
        <v>1.1635347480965495E-4</v>
      </c>
      <c r="K271" s="93">
        <v>0</v>
      </c>
      <c r="L271" s="93">
        <v>0.6</v>
      </c>
      <c r="M271" s="93">
        <v>0</v>
      </c>
      <c r="N271" s="93">
        <v>0.6</v>
      </c>
      <c r="O271" s="93">
        <v>1.26</v>
      </c>
      <c r="P271" s="93">
        <v>2</v>
      </c>
      <c r="Q271" s="93">
        <v>0</v>
      </c>
      <c r="R271" s="93">
        <v>0</v>
      </c>
      <c r="S271" s="93">
        <v>0.36</v>
      </c>
      <c r="T271" s="98">
        <f>AF271</f>
        <v>0.41819439590778812</v>
      </c>
      <c r="U271" s="93">
        <v>25.21</v>
      </c>
      <c r="V271" s="93">
        <v>2.5</v>
      </c>
      <c r="W271" s="93">
        <v>21.42</v>
      </c>
      <c r="X271" s="93">
        <v>2.5</v>
      </c>
      <c r="Y271" s="93">
        <v>0.11</v>
      </c>
      <c r="Z271" s="93">
        <v>2.5</v>
      </c>
      <c r="AA271" s="93">
        <v>5.8</v>
      </c>
      <c r="AB271" s="93">
        <v>2.5</v>
      </c>
      <c r="AC271" s="93">
        <v>1.7</v>
      </c>
      <c r="AD271" s="93">
        <v>2.5</v>
      </c>
      <c r="AE271" s="93">
        <v>1.84</v>
      </c>
      <c r="AF271" s="96">
        <f t="shared" si="76"/>
        <v>0.41819439590778812</v>
      </c>
      <c r="AG271" s="10">
        <f t="shared" si="71"/>
        <v>7.97</v>
      </c>
      <c r="AH271" s="95">
        <f t="shared" si="72"/>
        <v>3.062516</v>
      </c>
      <c r="AI271" s="96">
        <f t="shared" si="79"/>
        <v>0.41819439590778812</v>
      </c>
      <c r="AJ271" s="95">
        <f t="shared" si="77"/>
        <v>0.44445767254330748</v>
      </c>
      <c r="AK271" s="95">
        <f t="shared" si="78"/>
        <v>0.42501602620272821</v>
      </c>
    </row>
    <row r="272" spans="1:37" x14ac:dyDescent="0.15">
      <c r="A272" s="10">
        <f>A271+0.5</f>
        <v>2030.5</v>
      </c>
      <c r="AI272" s="96">
        <f t="shared" si="79"/>
        <v>0.51546861978084468</v>
      </c>
      <c r="AJ272" s="95">
        <f t="shared" si="77"/>
        <v>0.54216130102424909</v>
      </c>
      <c r="AK272" s="95">
        <f t="shared" si="78"/>
        <v>0.52240178374017043</v>
      </c>
    </row>
    <row r="276" spans="1:37" x14ac:dyDescent="0.15">
      <c r="A276" s="10">
        <f>7/12</f>
        <v>0.58333333333333337</v>
      </c>
      <c r="B276" s="10" t="s">
        <v>1086</v>
      </c>
      <c r="C276" s="11" t="s">
        <v>1125</v>
      </c>
      <c r="D276" s="11" t="s">
        <v>1125</v>
      </c>
      <c r="E276" s="11" t="s">
        <v>1125</v>
      </c>
      <c r="F276" s="11"/>
      <c r="G276" s="11" t="s">
        <v>1125</v>
      </c>
      <c r="H276" s="11" t="s">
        <v>1125</v>
      </c>
      <c r="I276" s="11" t="s">
        <v>1125</v>
      </c>
      <c r="J276" s="11" t="s">
        <v>1125</v>
      </c>
      <c r="K276" s="11" t="s">
        <v>1125</v>
      </c>
      <c r="L276" s="11" t="s">
        <v>1125</v>
      </c>
      <c r="M276" s="11" t="s">
        <v>1125</v>
      </c>
      <c r="N276" s="11" t="s">
        <v>1125</v>
      </c>
      <c r="O276" s="11" t="s">
        <v>1125</v>
      </c>
      <c r="P276" s="11" t="s">
        <v>1125</v>
      </c>
      <c r="Q276" s="11" t="s">
        <v>1125</v>
      </c>
      <c r="R276" s="11" t="s">
        <v>1125</v>
      </c>
      <c r="S276" s="11" t="s">
        <v>1125</v>
      </c>
      <c r="T276" s="11" t="s">
        <v>1125</v>
      </c>
      <c r="U276" s="11" t="s">
        <v>1125</v>
      </c>
      <c r="V276" s="11" t="s">
        <v>1125</v>
      </c>
      <c r="W276" s="11" t="s">
        <v>1125</v>
      </c>
      <c r="X276" s="11" t="s">
        <v>1125</v>
      </c>
      <c r="Y276" s="11" t="s">
        <v>1125</v>
      </c>
      <c r="Z276" s="11" t="s">
        <v>1125</v>
      </c>
      <c r="AA276" s="11" t="s">
        <v>1125</v>
      </c>
      <c r="AB276" s="11" t="s">
        <v>1125</v>
      </c>
      <c r="AC276" s="11" t="s">
        <v>1125</v>
      </c>
      <c r="AD276" s="11" t="s">
        <v>1125</v>
      </c>
      <c r="AE276" s="11" t="s">
        <v>1125</v>
      </c>
      <c r="AF276" s="11" t="s">
        <v>1125</v>
      </c>
      <c r="AG276" s="11" t="s">
        <v>1125</v>
      </c>
      <c r="AH276" s="11" t="s">
        <v>1125</v>
      </c>
      <c r="AI276" s="11" t="s">
        <v>1125</v>
      </c>
      <c r="AJ276" s="11" t="s">
        <v>1125</v>
      </c>
      <c r="AK276" s="11" t="s">
        <v>1125</v>
      </c>
    </row>
    <row r="277" spans="1:37" x14ac:dyDescent="0.15">
      <c r="A277">
        <f>5/12</f>
        <v>0.41666666666666669</v>
      </c>
      <c r="B277" s="10" t="s">
        <v>1087</v>
      </c>
      <c r="C277" s="118" t="s">
        <v>1184</v>
      </c>
      <c r="E277" s="10">
        <v>20.2</v>
      </c>
      <c r="F277" s="10" t="s">
        <v>1456</v>
      </c>
      <c r="G277" s="10">
        <v>134</v>
      </c>
      <c r="H277" s="10">
        <v>23</v>
      </c>
      <c r="S277" s="10"/>
      <c r="T277" s="10"/>
      <c r="AI277" t="s">
        <v>1443</v>
      </c>
      <c r="AJ277" t="s">
        <v>1444</v>
      </c>
      <c r="AK277" t="s">
        <v>1445</v>
      </c>
    </row>
    <row r="278" spans="1:37" ht="28" customHeight="1" x14ac:dyDescent="0.15">
      <c r="A278" s="85" t="s">
        <v>946</v>
      </c>
      <c r="B278" s="10" t="s">
        <v>1058</v>
      </c>
      <c r="D278" s="97" t="s">
        <v>1056</v>
      </c>
      <c r="E278" s="97" t="s">
        <v>1439</v>
      </c>
      <c r="F278" s="97" t="s">
        <v>1056</v>
      </c>
      <c r="G278" s="97" t="s">
        <v>1427</v>
      </c>
      <c r="H278" s="97" t="s">
        <v>1428</v>
      </c>
      <c r="I278" s="85" t="s">
        <v>1208</v>
      </c>
      <c r="J278" s="85" t="s">
        <v>1201</v>
      </c>
      <c r="K278" s="85" t="s">
        <v>919</v>
      </c>
      <c r="L278" s="85" t="s">
        <v>1201</v>
      </c>
      <c r="M278" s="85" t="s">
        <v>947</v>
      </c>
      <c r="N278" s="85" t="s">
        <v>1202</v>
      </c>
      <c r="O278" s="85" t="s">
        <v>779</v>
      </c>
      <c r="P278" s="85" t="s">
        <v>1203</v>
      </c>
      <c r="Q278" s="85" t="s">
        <v>780</v>
      </c>
      <c r="R278" s="85" t="s">
        <v>1201</v>
      </c>
      <c r="S278" s="85" t="s">
        <v>948</v>
      </c>
      <c r="T278" s="85" t="s">
        <v>1201</v>
      </c>
      <c r="U278" s="85" t="s">
        <v>949</v>
      </c>
      <c r="V278" s="85" t="s">
        <v>1204</v>
      </c>
      <c r="W278" s="85" t="s">
        <v>950</v>
      </c>
      <c r="X278" s="85" t="s">
        <v>1163</v>
      </c>
      <c r="Y278" s="85" t="s">
        <v>783</v>
      </c>
      <c r="Z278" s="85" t="s">
        <v>1164</v>
      </c>
      <c r="AA278" s="85" t="s">
        <v>784</v>
      </c>
      <c r="AB278" s="85" t="s">
        <v>1202</v>
      </c>
      <c r="AC278" s="85" t="s">
        <v>785</v>
      </c>
      <c r="AD278" s="85" t="s">
        <v>1202</v>
      </c>
      <c r="AE278" s="85" t="s">
        <v>1205</v>
      </c>
      <c r="AF278" s="85" t="s">
        <v>1165</v>
      </c>
      <c r="AG278" s="85" t="s">
        <v>1060</v>
      </c>
      <c r="AH278" s="85" t="s">
        <v>1061</v>
      </c>
      <c r="AI278" s="10" t="s">
        <v>748</v>
      </c>
      <c r="AJ278" s="10" t="s">
        <v>748</v>
      </c>
      <c r="AK278" s="10" t="s">
        <v>748</v>
      </c>
    </row>
    <row r="279" spans="1:37" x14ac:dyDescent="0.15">
      <c r="A279" s="10">
        <v>2014.5</v>
      </c>
      <c r="C279" s="10">
        <v>20.2</v>
      </c>
      <c r="D279" s="96">
        <f>5/12*7</f>
        <v>2.916666666666667</v>
      </c>
      <c r="E279" s="122">
        <f t="shared" ref="E279:E310" si="80">C279*D279</f>
        <v>58.916666666666671</v>
      </c>
      <c r="F279" s="96">
        <f>D279*0.8</f>
        <v>2.3333333333333335</v>
      </c>
      <c r="G279" s="96">
        <f>(C279*0.4*D279+G$277*0.6*F279)</f>
        <v>211.16666666666666</v>
      </c>
      <c r="H279" s="122">
        <f>(C279*0.4+H$277*0.6)*D279</f>
        <v>63.81666666666667</v>
      </c>
      <c r="I279" s="94">
        <f>'Modell During mining'!$G273/1000000</f>
        <v>1.0170360000000001</v>
      </c>
      <c r="J279" s="94">
        <f>'Modell During mining'!$D273</f>
        <v>7.7326300650124473</v>
      </c>
      <c r="K279" s="93">
        <v>0.95</v>
      </c>
      <c r="L279" s="93">
        <v>0.05</v>
      </c>
      <c r="M279" s="93">
        <v>0.31</v>
      </c>
      <c r="N279" s="93">
        <v>0.05</v>
      </c>
      <c r="O279" s="93">
        <v>1.26</v>
      </c>
      <c r="P279" s="93">
        <v>4.5999999999999996</v>
      </c>
      <c r="Q279" s="93">
        <v>1.6</v>
      </c>
      <c r="R279" s="93">
        <v>0</v>
      </c>
      <c r="S279" s="93">
        <v>0.36</v>
      </c>
      <c r="T279" s="93">
        <f>$AF279</f>
        <v>19.2</v>
      </c>
      <c r="U279" s="93">
        <v>25.21</v>
      </c>
      <c r="V279" s="93">
        <f>$AF279</f>
        <v>19.2</v>
      </c>
      <c r="W279" s="93">
        <v>21.42</v>
      </c>
      <c r="X279" s="93">
        <f>$AF279</f>
        <v>19.2</v>
      </c>
      <c r="Y279" s="93">
        <v>0.11</v>
      </c>
      <c r="Z279" s="93">
        <f>$AF279</f>
        <v>19.2</v>
      </c>
      <c r="AA279" s="93">
        <v>5.8</v>
      </c>
      <c r="AB279" s="93">
        <f>$AF279</f>
        <v>19.2</v>
      </c>
      <c r="AC279" s="93">
        <v>1.7</v>
      </c>
      <c r="AD279" s="10">
        <v>19.2</v>
      </c>
      <c r="AE279" s="93">
        <v>1.84</v>
      </c>
      <c r="AF279" s="10">
        <v>19.2</v>
      </c>
      <c r="AG279" s="10">
        <f t="shared" ref="AG279:AG310" si="81">S279+Y279+AA279+AC279</f>
        <v>7.97</v>
      </c>
      <c r="AH279" s="95">
        <f t="shared" ref="AH279:AH310" si="82">I279+K279+M279+O279+Q279</f>
        <v>5.1370360000000002</v>
      </c>
      <c r="AI279" s="10">
        <v>19.2</v>
      </c>
      <c r="AJ279" s="10">
        <v>19.2</v>
      </c>
      <c r="AK279" s="10">
        <v>19.2</v>
      </c>
    </row>
    <row r="280" spans="1:37" x14ac:dyDescent="0.15">
      <c r="A280" s="10">
        <v>2015</v>
      </c>
      <c r="C280" s="10">
        <v>20.2</v>
      </c>
      <c r="D280" s="96">
        <f>5/12*5</f>
        <v>2.0833333333333335</v>
      </c>
      <c r="E280" s="122">
        <f t="shared" si="80"/>
        <v>42.083333333333336</v>
      </c>
      <c r="F280" s="96">
        <f t="shared" ref="F280:F310" si="83">D280*0.8</f>
        <v>1.666666666666667</v>
      </c>
      <c r="G280" s="96">
        <f t="shared" ref="G280:G310" si="84">(C280*0.4*D280+G$277*0.6*F280)</f>
        <v>150.83333333333334</v>
      </c>
      <c r="H280" s="122">
        <f t="shared" ref="H280:H310" si="85">(C280*0.4+H$277*0.6)*D280</f>
        <v>45.583333333333336</v>
      </c>
      <c r="I280" s="94">
        <f>'Modell During mining'!$G274/1000000</f>
        <v>0.78051599999999999</v>
      </c>
      <c r="J280" s="94">
        <f>'Modell During mining'!$D274</f>
        <v>7.1212121212121222E-4</v>
      </c>
      <c r="K280" s="93">
        <v>0</v>
      </c>
      <c r="L280" s="93">
        <v>0.05</v>
      </c>
      <c r="M280" s="93">
        <v>0</v>
      </c>
      <c r="N280" s="93">
        <v>0.05</v>
      </c>
      <c r="O280" s="93">
        <v>1.26</v>
      </c>
      <c r="P280" s="93">
        <v>4.5999999999999996</v>
      </c>
      <c r="Q280" s="93">
        <v>0</v>
      </c>
      <c r="R280" s="93">
        <v>0</v>
      </c>
      <c r="S280" s="93">
        <v>0.36</v>
      </c>
      <c r="T280" s="98">
        <f>$AF280</f>
        <v>13.415812201085618</v>
      </c>
      <c r="U280" s="93">
        <v>25.21</v>
      </c>
      <c r="V280" s="98">
        <f>$AF280</f>
        <v>13.415812201085618</v>
      </c>
      <c r="W280" s="93">
        <v>21.42</v>
      </c>
      <c r="X280" s="98">
        <f>$AF280</f>
        <v>13.415812201085618</v>
      </c>
      <c r="Y280" s="93">
        <v>0.11</v>
      </c>
      <c r="Z280" s="98">
        <f>$AF280</f>
        <v>13.415812201085618</v>
      </c>
      <c r="AA280" s="93">
        <v>5.8</v>
      </c>
      <c r="AB280" s="98">
        <f>$AF280</f>
        <v>13.415812201085618</v>
      </c>
      <c r="AC280" s="93">
        <v>1.7</v>
      </c>
      <c r="AD280" s="93">
        <v>2.5</v>
      </c>
      <c r="AE280" s="93">
        <v>1.84</v>
      </c>
      <c r="AF280" s="96">
        <f t="shared" ref="AF280:AF310" si="86">AI280</f>
        <v>13.415812201085618</v>
      </c>
      <c r="AG280" s="10">
        <f t="shared" si="81"/>
        <v>7.97</v>
      </c>
      <c r="AH280" s="95">
        <f t="shared" si="82"/>
        <v>2.0405160000000002</v>
      </c>
      <c r="AI280" s="96">
        <f>((E279+$I279*$J279+$K279*$L279+$M279*$N279+$O279*$P279-$S279*$T279)/($I279+$K279+$M279+$O279+$Q279+$I279-$S279)*$AH279+$AE279*$AF279)/($AH279+$AE279)</f>
        <v>13.415812201085618</v>
      </c>
      <c r="AJ280" s="96">
        <f>((G279+$I279*$J279+$K279*$L279+$M279*$N279+$O279*$P279-$S279*$T279)/($I279+$K279+$M279+$O279+$Q279+$I279-$S279)*$AH279+$AE279*$AF279)/($AH279+$AE279)</f>
        <v>32.762875788254213</v>
      </c>
      <c r="AK280" s="96">
        <f t="shared" ref="AK280:AK311" si="87">((H279+$I279*$J279+$K279*$L279+$M279*$N279+$O279*$P279-$S279*$T279)/($I279+$K279+$M279+$O279+$Q279+$I279-$S279)*$AH279+$AE279*$AF279)/($AH279+$AE279)</f>
        <v>14.038476316534721</v>
      </c>
    </row>
    <row r="281" spans="1:37" x14ac:dyDescent="0.15">
      <c r="A281" s="10">
        <v>2015.5</v>
      </c>
      <c r="C281" s="10">
        <v>20.2</v>
      </c>
      <c r="D281" s="96">
        <f>5.5/12*7</f>
        <v>3.208333333333333</v>
      </c>
      <c r="E281" s="122">
        <f t="shared" si="80"/>
        <v>64.808333333333323</v>
      </c>
      <c r="F281" s="96">
        <f t="shared" si="83"/>
        <v>2.5666666666666664</v>
      </c>
      <c r="G281" s="96">
        <f t="shared" si="84"/>
        <v>232.2833333333333</v>
      </c>
      <c r="H281" s="122">
        <f t="shared" si="85"/>
        <v>70.198333333333323</v>
      </c>
      <c r="I281" s="94">
        <f>'Modell During mining'!$G275/1000000</f>
        <v>1.1187298666666667</v>
      </c>
      <c r="J281" s="94">
        <f>'Modell During mining'!$D275</f>
        <v>7.0658141431580619</v>
      </c>
      <c r="K281" s="93">
        <v>0.95</v>
      </c>
      <c r="L281" s="93">
        <v>0.05</v>
      </c>
      <c r="M281" s="93">
        <v>0.31</v>
      </c>
      <c r="N281" s="93">
        <v>0.05</v>
      </c>
      <c r="O281" s="93">
        <v>1.26</v>
      </c>
      <c r="P281" s="93">
        <v>4.5999999999999996</v>
      </c>
      <c r="Q281" s="93">
        <v>1.6</v>
      </c>
      <c r="R281" s="93">
        <v>0</v>
      </c>
      <c r="S281" s="93">
        <v>0.36</v>
      </c>
      <c r="T281" s="98">
        <f t="shared" ref="T281:AB310" si="88">$AF281</f>
        <v>15.559609469553068</v>
      </c>
      <c r="U281" s="93">
        <v>25.21</v>
      </c>
      <c r="V281" s="98">
        <f t="shared" si="88"/>
        <v>15.559609469553068</v>
      </c>
      <c r="W281" s="93">
        <v>21.42</v>
      </c>
      <c r="X281" s="98">
        <f t="shared" si="88"/>
        <v>15.559609469553068</v>
      </c>
      <c r="Y281" s="93">
        <v>0.11</v>
      </c>
      <c r="Z281" s="98">
        <f t="shared" si="88"/>
        <v>15.559609469553068</v>
      </c>
      <c r="AA281" s="93">
        <v>5.8</v>
      </c>
      <c r="AB281" s="98">
        <f t="shared" si="88"/>
        <v>15.559609469553068</v>
      </c>
      <c r="AC281" s="93">
        <v>1.7</v>
      </c>
      <c r="AD281" s="98">
        <f>$AI280</f>
        <v>13.415812201085618</v>
      </c>
      <c r="AE281" s="93">
        <v>1.84</v>
      </c>
      <c r="AF281" s="96">
        <f t="shared" si="86"/>
        <v>15.559609469553068</v>
      </c>
      <c r="AG281" s="10">
        <f t="shared" si="81"/>
        <v>7.97</v>
      </c>
      <c r="AH281" s="95">
        <f t="shared" si="82"/>
        <v>5.2387298666666666</v>
      </c>
      <c r="AI281" s="96">
        <f>((E280+I280*J280+K280*L280+M280*N280+O280*P280-S280*T280)/(I280+K280+M280+O280+Q280+I280-S280)*AH280+AE280*AF280)/(AH280+AE280)</f>
        <v>15.559609469553068</v>
      </c>
      <c r="AJ281" s="96">
        <f t="shared" ref="AJ281:AJ311" si="89">((G280+$I280*$J280+$K280*$L280+$M280*$N280+$O280*$P280-$S280*$T280)/($I280+$K280+$M280+$O280+$Q280+$I280-$S280)*$AH280+$AE280*$AF280)/($AH280+$AE280)</f>
        <v>38.795671701094712</v>
      </c>
      <c r="AK281" s="96">
        <f t="shared" si="87"/>
        <v>16.307436759763601</v>
      </c>
    </row>
    <row r="282" spans="1:37" x14ac:dyDescent="0.15">
      <c r="A282" s="10">
        <f>A280+1</f>
        <v>2016</v>
      </c>
      <c r="C282" s="10">
        <v>20.2</v>
      </c>
      <c r="D282" s="96">
        <f>5/12*5</f>
        <v>2.0833333333333335</v>
      </c>
      <c r="E282" s="122">
        <f t="shared" si="80"/>
        <v>42.083333333333336</v>
      </c>
      <c r="F282" s="96">
        <f t="shared" si="83"/>
        <v>1.666666666666667</v>
      </c>
      <c r="G282" s="96">
        <f t="shared" si="84"/>
        <v>150.83333333333334</v>
      </c>
      <c r="H282" s="122">
        <f t="shared" si="85"/>
        <v>45.583333333333336</v>
      </c>
      <c r="I282" s="94">
        <f>'Modell During mining'!$G276/1000000</f>
        <v>0.84864933333333337</v>
      </c>
      <c r="J282" s="94">
        <f>'Modell During mining'!$D276</f>
        <v>7.3041633214818201E-4</v>
      </c>
      <c r="K282" s="93">
        <v>0</v>
      </c>
      <c r="L282" s="93">
        <v>0.05</v>
      </c>
      <c r="M282" s="93">
        <v>0</v>
      </c>
      <c r="N282" s="93">
        <v>0.05</v>
      </c>
      <c r="O282" s="93">
        <v>1.26</v>
      </c>
      <c r="P282" s="93">
        <v>4.5999999999999996</v>
      </c>
      <c r="Q282" s="93">
        <v>0</v>
      </c>
      <c r="R282" s="93">
        <v>0</v>
      </c>
      <c r="S282" s="93">
        <v>0.36</v>
      </c>
      <c r="T282" s="98">
        <f t="shared" si="88"/>
        <v>13.048793923185791</v>
      </c>
      <c r="U282" s="93">
        <v>25.21</v>
      </c>
      <c r="V282" s="98">
        <f t="shared" si="88"/>
        <v>13.048793923185791</v>
      </c>
      <c r="W282" s="93">
        <v>21.42</v>
      </c>
      <c r="X282" s="98">
        <f t="shared" si="88"/>
        <v>13.048793923185791</v>
      </c>
      <c r="Y282" s="93">
        <v>0.11</v>
      </c>
      <c r="Z282" s="98">
        <f t="shared" si="88"/>
        <v>13.048793923185791</v>
      </c>
      <c r="AA282" s="93">
        <v>5.8</v>
      </c>
      <c r="AB282" s="98">
        <f t="shared" si="88"/>
        <v>13.048793923185791</v>
      </c>
      <c r="AC282" s="93">
        <v>1.7</v>
      </c>
      <c r="AD282" s="93">
        <v>2.5</v>
      </c>
      <c r="AE282" s="93">
        <v>1.84</v>
      </c>
      <c r="AF282" s="96">
        <f t="shared" si="86"/>
        <v>13.048793923185791</v>
      </c>
      <c r="AG282" s="10">
        <f t="shared" si="81"/>
        <v>7.97</v>
      </c>
      <c r="AH282" s="95">
        <f t="shared" si="82"/>
        <v>2.1086493333333332</v>
      </c>
      <c r="AI282" s="96">
        <f t="shared" ref="AI282:AI311" si="90">((E281+I281*J281+K281*L281+M281*N281+O281*P281-S281*T281)/(I281+K281+M281+O281+Q281+I281-S281)*AH281+AE281*AF281)/(AH281+AE281)</f>
        <v>13.048793923185791</v>
      </c>
      <c r="AJ282" s="96">
        <f t="shared" si="89"/>
        <v>33.714645741198346</v>
      </c>
      <c r="AK282" s="96">
        <f t="shared" si="87"/>
        <v>13.713901797788496</v>
      </c>
    </row>
    <row r="283" spans="1:37" x14ac:dyDescent="0.15">
      <c r="A283" s="10">
        <v>2016.5</v>
      </c>
      <c r="C283" s="10">
        <v>20.2</v>
      </c>
      <c r="D283" s="96">
        <f>5.5/12*7</f>
        <v>3.208333333333333</v>
      </c>
      <c r="E283" s="122">
        <f t="shared" si="80"/>
        <v>64.808333333333323</v>
      </c>
      <c r="F283" s="96">
        <f t="shared" si="83"/>
        <v>2.5666666666666664</v>
      </c>
      <c r="G283" s="96">
        <f t="shared" si="84"/>
        <v>232.2833333333333</v>
      </c>
      <c r="H283" s="122">
        <f t="shared" si="85"/>
        <v>70.198333333333323</v>
      </c>
      <c r="I283" s="94">
        <f>'Modell During mining'!$G277/1000000</f>
        <v>1.2204237333333334</v>
      </c>
      <c r="J283" s="94">
        <f>'Modell During mining'!$D277</f>
        <v>6.5101253447709633</v>
      </c>
      <c r="K283" s="93">
        <v>0.95</v>
      </c>
      <c r="L283" s="93">
        <v>0.05</v>
      </c>
      <c r="M283" s="93">
        <v>0.31</v>
      </c>
      <c r="N283" s="93">
        <v>0.05</v>
      </c>
      <c r="O283" s="93">
        <v>1.26</v>
      </c>
      <c r="P283" s="93">
        <v>4.5999999999999996</v>
      </c>
      <c r="Q283" s="93">
        <v>1.6</v>
      </c>
      <c r="R283" s="93">
        <v>0</v>
      </c>
      <c r="S283" s="93">
        <v>0.36</v>
      </c>
      <c r="T283" s="98">
        <f t="shared" si="88"/>
        <v>14.959024185675162</v>
      </c>
      <c r="U283" s="93">
        <v>25.21</v>
      </c>
      <c r="V283" s="98">
        <f t="shared" si="88"/>
        <v>14.959024185675162</v>
      </c>
      <c r="W283" s="93">
        <v>21.42</v>
      </c>
      <c r="X283" s="98">
        <f t="shared" si="88"/>
        <v>14.959024185675162</v>
      </c>
      <c r="Y283" s="93">
        <v>0.11</v>
      </c>
      <c r="Z283" s="98">
        <f t="shared" si="88"/>
        <v>14.959024185675162</v>
      </c>
      <c r="AA283" s="93">
        <v>5.8</v>
      </c>
      <c r="AB283" s="98">
        <f t="shared" si="88"/>
        <v>14.959024185675162</v>
      </c>
      <c r="AC283" s="93">
        <v>1.7</v>
      </c>
      <c r="AD283" s="98">
        <f>$AI282</f>
        <v>13.048793923185791</v>
      </c>
      <c r="AE283" s="93">
        <v>1.84</v>
      </c>
      <c r="AF283" s="96">
        <f t="shared" si="86"/>
        <v>14.959024185675162</v>
      </c>
      <c r="AG283" s="10">
        <f t="shared" si="81"/>
        <v>7.97</v>
      </c>
      <c r="AH283" s="95">
        <f t="shared" si="82"/>
        <v>5.3404237333333331</v>
      </c>
      <c r="AI283" s="96">
        <f t="shared" si="90"/>
        <v>14.959024185675162</v>
      </c>
      <c r="AJ283" s="96">
        <f t="shared" si="89"/>
        <v>37.31857984656007</v>
      </c>
      <c r="AK283" s="96">
        <f t="shared" si="87"/>
        <v>15.678642069013986</v>
      </c>
    </row>
    <row r="284" spans="1:37" x14ac:dyDescent="0.15">
      <c r="A284" s="10">
        <f>A282+1</f>
        <v>2017</v>
      </c>
      <c r="C284" s="10">
        <v>20.2</v>
      </c>
      <c r="D284" s="96">
        <f>5/12*5</f>
        <v>2.0833333333333335</v>
      </c>
      <c r="E284" s="122">
        <f t="shared" si="80"/>
        <v>42.083333333333336</v>
      </c>
      <c r="F284" s="96">
        <f t="shared" si="83"/>
        <v>1.666666666666667</v>
      </c>
      <c r="G284" s="96">
        <f t="shared" si="84"/>
        <v>150.83333333333334</v>
      </c>
      <c r="H284" s="122">
        <f t="shared" si="85"/>
        <v>45.583333333333336</v>
      </c>
      <c r="I284" s="94">
        <f>'Modell During mining'!$G278/1000000</f>
        <v>0.91678266666666675</v>
      </c>
      <c r="J284" s="94">
        <f>'Modell During mining'!$D278</f>
        <v>7.4599214353965391E-4</v>
      </c>
      <c r="K284" s="93">
        <v>0</v>
      </c>
      <c r="L284" s="93">
        <v>0.05</v>
      </c>
      <c r="M284" s="93">
        <v>0</v>
      </c>
      <c r="N284" s="93">
        <v>0.05</v>
      </c>
      <c r="O284" s="93">
        <v>1.26</v>
      </c>
      <c r="P284" s="93">
        <v>4.5999999999999996</v>
      </c>
      <c r="Q284" s="93">
        <v>0</v>
      </c>
      <c r="R284" s="93">
        <v>0</v>
      </c>
      <c r="S284" s="93">
        <v>0.36</v>
      </c>
      <c r="T284" s="98">
        <f t="shared" si="88"/>
        <v>12.616367425424849</v>
      </c>
      <c r="U284" s="93">
        <v>25.21</v>
      </c>
      <c r="V284" s="98">
        <f t="shared" si="88"/>
        <v>12.616367425424849</v>
      </c>
      <c r="W284" s="93">
        <v>21.42</v>
      </c>
      <c r="X284" s="98">
        <f t="shared" si="88"/>
        <v>12.616367425424849</v>
      </c>
      <c r="Y284" s="93">
        <v>0.11</v>
      </c>
      <c r="Z284" s="98">
        <f t="shared" si="88"/>
        <v>12.616367425424849</v>
      </c>
      <c r="AA284" s="93">
        <v>5.8</v>
      </c>
      <c r="AB284" s="98">
        <f t="shared" si="88"/>
        <v>12.616367425424849</v>
      </c>
      <c r="AC284" s="93">
        <v>1.7</v>
      </c>
      <c r="AD284" s="93">
        <v>2.5</v>
      </c>
      <c r="AE284" s="93">
        <v>1.84</v>
      </c>
      <c r="AF284" s="96">
        <f t="shared" si="86"/>
        <v>12.616367425424849</v>
      </c>
      <c r="AG284" s="10">
        <f t="shared" si="81"/>
        <v>7.97</v>
      </c>
      <c r="AH284" s="95">
        <f t="shared" si="82"/>
        <v>2.176782666666667</v>
      </c>
      <c r="AI284" s="96">
        <f t="shared" si="90"/>
        <v>12.616367425424849</v>
      </c>
      <c r="AJ284" s="96">
        <f t="shared" si="89"/>
        <v>32.703806921578511</v>
      </c>
      <c r="AK284" s="96">
        <f t="shared" si="87"/>
        <v>13.262859731048184</v>
      </c>
    </row>
    <row r="285" spans="1:37" x14ac:dyDescent="0.15">
      <c r="A285" s="10">
        <f>A284+0.5</f>
        <v>2017.5</v>
      </c>
      <c r="C285" s="10">
        <v>20.2</v>
      </c>
      <c r="D285" s="96">
        <f>5.5/12*7</f>
        <v>3.208333333333333</v>
      </c>
      <c r="E285" s="122">
        <f t="shared" si="80"/>
        <v>64.808333333333323</v>
      </c>
      <c r="F285" s="96">
        <f t="shared" si="83"/>
        <v>2.5666666666666664</v>
      </c>
      <c r="G285" s="96">
        <f t="shared" si="84"/>
        <v>232.2833333333333</v>
      </c>
      <c r="H285" s="122">
        <f t="shared" si="85"/>
        <v>70.198333333333323</v>
      </c>
      <c r="I285" s="94">
        <f>'Modell During mining'!$G279/1000000</f>
        <v>1.3221176000000001</v>
      </c>
      <c r="J285" s="94">
        <f>'Modell During mining'!$D279</f>
        <v>6.0399208369966457</v>
      </c>
      <c r="K285" s="93">
        <v>0.95</v>
      </c>
      <c r="L285" s="93">
        <v>0.05</v>
      </c>
      <c r="M285" s="93">
        <v>0.31</v>
      </c>
      <c r="N285" s="93">
        <v>0.05</v>
      </c>
      <c r="O285" s="93">
        <v>1.26</v>
      </c>
      <c r="P285" s="93">
        <v>4.5999999999999996</v>
      </c>
      <c r="Q285" s="93">
        <v>1.6</v>
      </c>
      <c r="R285" s="93">
        <v>0</v>
      </c>
      <c r="S285" s="93">
        <v>0.36</v>
      </c>
      <c r="T285" s="98">
        <f t="shared" si="88"/>
        <v>14.3709472802626</v>
      </c>
      <c r="U285" s="93">
        <v>25.21</v>
      </c>
      <c r="V285" s="98">
        <f t="shared" si="88"/>
        <v>14.3709472802626</v>
      </c>
      <c r="W285" s="93">
        <v>21.42</v>
      </c>
      <c r="X285" s="98">
        <f t="shared" si="88"/>
        <v>14.3709472802626</v>
      </c>
      <c r="Y285" s="93">
        <v>0.11</v>
      </c>
      <c r="Z285" s="98">
        <f t="shared" si="88"/>
        <v>14.3709472802626</v>
      </c>
      <c r="AA285" s="93">
        <v>5.8</v>
      </c>
      <c r="AB285" s="98">
        <f t="shared" si="88"/>
        <v>14.3709472802626</v>
      </c>
      <c r="AC285" s="93">
        <v>1.7</v>
      </c>
      <c r="AD285" s="98">
        <f>$AI284</f>
        <v>12.616367425424849</v>
      </c>
      <c r="AE285" s="93">
        <v>1.84</v>
      </c>
      <c r="AF285" s="96">
        <f t="shared" si="86"/>
        <v>14.3709472802626</v>
      </c>
      <c r="AG285" s="10">
        <f t="shared" si="81"/>
        <v>7.97</v>
      </c>
      <c r="AH285" s="95">
        <f t="shared" si="82"/>
        <v>5.4421175999999996</v>
      </c>
      <c r="AI285" s="96">
        <f t="shared" si="90"/>
        <v>14.3709472802626</v>
      </c>
      <c r="AJ285" s="96">
        <f t="shared" si="89"/>
        <v>35.930341001231739</v>
      </c>
      <c r="AK285" s="96">
        <f t="shared" si="87"/>
        <v>15.064812825305284</v>
      </c>
    </row>
    <row r="286" spans="1:37" x14ac:dyDescent="0.15">
      <c r="A286" s="10">
        <f>A284+1</f>
        <v>2018</v>
      </c>
      <c r="C286" s="10">
        <v>20.2</v>
      </c>
      <c r="D286" s="96">
        <f>5/12*5</f>
        <v>2.0833333333333335</v>
      </c>
      <c r="E286" s="122">
        <f t="shared" si="80"/>
        <v>42.083333333333336</v>
      </c>
      <c r="F286" s="96">
        <f t="shared" si="83"/>
        <v>1.666666666666667</v>
      </c>
      <c r="G286" s="96">
        <f t="shared" si="84"/>
        <v>150.83333333333334</v>
      </c>
      <c r="H286" s="122">
        <f t="shared" si="85"/>
        <v>45.583333333333336</v>
      </c>
      <c r="I286" s="94">
        <f>'Modell During mining'!$G280/1000000</f>
        <v>0.98491600000000012</v>
      </c>
      <c r="J286" s="94">
        <f>'Modell During mining'!$D280</f>
        <v>7.5941298547287279E-4</v>
      </c>
      <c r="K286" s="93">
        <v>0</v>
      </c>
      <c r="L286" s="93">
        <v>0.05</v>
      </c>
      <c r="M286" s="93">
        <v>0</v>
      </c>
      <c r="N286" s="93">
        <v>0.05</v>
      </c>
      <c r="O286" s="93">
        <v>1.26</v>
      </c>
      <c r="P286" s="93">
        <v>4.5999999999999996</v>
      </c>
      <c r="Q286" s="93">
        <v>0</v>
      </c>
      <c r="R286" s="93">
        <v>0</v>
      </c>
      <c r="S286" s="93">
        <v>0.36</v>
      </c>
      <c r="T286" s="98">
        <f t="shared" si="88"/>
        <v>12.205642187335838</v>
      </c>
      <c r="U286" s="93">
        <v>25.21</v>
      </c>
      <c r="V286" s="98">
        <f t="shared" si="88"/>
        <v>12.205642187335838</v>
      </c>
      <c r="W286" s="93">
        <v>21.42</v>
      </c>
      <c r="X286" s="98">
        <f t="shared" si="88"/>
        <v>12.205642187335838</v>
      </c>
      <c r="Y286" s="93">
        <v>0.11</v>
      </c>
      <c r="Z286" s="98">
        <f t="shared" si="88"/>
        <v>12.205642187335838</v>
      </c>
      <c r="AA286" s="93">
        <v>5.8</v>
      </c>
      <c r="AB286" s="98">
        <f t="shared" si="88"/>
        <v>12.205642187335838</v>
      </c>
      <c r="AC286" s="93">
        <v>1.7</v>
      </c>
      <c r="AD286" s="93">
        <v>2.5</v>
      </c>
      <c r="AE286" s="93">
        <v>1.84</v>
      </c>
      <c r="AF286" s="96">
        <f t="shared" si="86"/>
        <v>12.205642187335838</v>
      </c>
      <c r="AG286" s="10">
        <f t="shared" si="81"/>
        <v>7.97</v>
      </c>
      <c r="AH286" s="95">
        <f t="shared" si="82"/>
        <v>2.2449159999999999</v>
      </c>
      <c r="AI286" s="96">
        <f t="shared" si="90"/>
        <v>12.205642187335838</v>
      </c>
      <c r="AJ286" s="96">
        <f t="shared" si="89"/>
        <v>31.748719375269324</v>
      </c>
      <c r="AK286" s="96">
        <f t="shared" si="87"/>
        <v>12.834614786487723</v>
      </c>
    </row>
    <row r="287" spans="1:37" x14ac:dyDescent="0.15">
      <c r="A287" s="10">
        <f>A286+0.5</f>
        <v>2018.5</v>
      </c>
      <c r="C287" s="10">
        <v>20.2</v>
      </c>
      <c r="D287" s="96">
        <f>5.5/12*7</f>
        <v>3.208333333333333</v>
      </c>
      <c r="E287" s="122">
        <f t="shared" si="80"/>
        <v>64.808333333333323</v>
      </c>
      <c r="F287" s="96">
        <f t="shared" si="83"/>
        <v>2.5666666666666664</v>
      </c>
      <c r="G287" s="96">
        <f t="shared" si="84"/>
        <v>232.2833333333333</v>
      </c>
      <c r="H287" s="122">
        <f t="shared" si="85"/>
        <v>70.198333333333323</v>
      </c>
      <c r="I287" s="94">
        <f>'Modell During mining'!$G281/1000000</f>
        <v>1.4238114666666668</v>
      </c>
      <c r="J287" s="94">
        <f>'Modell During mining'!$D281</f>
        <v>5.6368838098040293</v>
      </c>
      <c r="K287" s="93">
        <v>0.95</v>
      </c>
      <c r="L287" s="93">
        <v>0.05</v>
      </c>
      <c r="M287" s="93">
        <v>0.31</v>
      </c>
      <c r="N287" s="93">
        <v>0.05</v>
      </c>
      <c r="O287" s="93">
        <v>1.26</v>
      </c>
      <c r="P287" s="93">
        <v>4.5999999999999996</v>
      </c>
      <c r="Q287" s="93">
        <v>3.6</v>
      </c>
      <c r="R287" s="93">
        <v>0</v>
      </c>
      <c r="S287" s="93">
        <v>0.36</v>
      </c>
      <c r="T287" s="98">
        <f t="shared" si="88"/>
        <v>13.825300580900123</v>
      </c>
      <c r="U287" s="93">
        <v>25.21</v>
      </c>
      <c r="V287" s="98">
        <f t="shared" si="88"/>
        <v>13.825300580900123</v>
      </c>
      <c r="W287" s="93">
        <v>21.42</v>
      </c>
      <c r="X287" s="98">
        <f t="shared" si="88"/>
        <v>13.825300580900123</v>
      </c>
      <c r="Y287" s="93">
        <v>0.11</v>
      </c>
      <c r="Z287" s="98">
        <f t="shared" si="88"/>
        <v>13.825300580900123</v>
      </c>
      <c r="AA287" s="93">
        <v>5.8</v>
      </c>
      <c r="AB287" s="98">
        <f t="shared" si="88"/>
        <v>13.825300580900123</v>
      </c>
      <c r="AC287" s="93">
        <v>1.7</v>
      </c>
      <c r="AD287" s="98">
        <f>$AI286</f>
        <v>12.205642187335838</v>
      </c>
      <c r="AE287" s="93">
        <v>1.84</v>
      </c>
      <c r="AF287" s="96">
        <f t="shared" si="86"/>
        <v>13.825300580900123</v>
      </c>
      <c r="AG287" s="10">
        <f t="shared" si="81"/>
        <v>7.97</v>
      </c>
      <c r="AH287" s="95">
        <f t="shared" si="82"/>
        <v>7.5438114666666678</v>
      </c>
      <c r="AI287" s="96">
        <f t="shared" si="90"/>
        <v>13.825300580900123</v>
      </c>
      <c r="AJ287" s="96">
        <f t="shared" si="89"/>
        <v>34.650528186714453</v>
      </c>
      <c r="AK287" s="96">
        <f t="shared" si="87"/>
        <v>14.495537791202194</v>
      </c>
    </row>
    <row r="288" spans="1:37" x14ac:dyDescent="0.15">
      <c r="A288" s="10">
        <f>A286+1</f>
        <v>2019</v>
      </c>
      <c r="C288" s="10">
        <v>20.2</v>
      </c>
      <c r="D288" s="96">
        <f>5/12*5</f>
        <v>2.0833333333333335</v>
      </c>
      <c r="E288" s="122">
        <f t="shared" si="80"/>
        <v>42.083333333333336</v>
      </c>
      <c r="F288" s="96">
        <f t="shared" si="83"/>
        <v>1.666666666666667</v>
      </c>
      <c r="G288" s="96">
        <f t="shared" si="84"/>
        <v>150.83333333333334</v>
      </c>
      <c r="H288" s="122">
        <f t="shared" si="85"/>
        <v>45.583333333333336</v>
      </c>
      <c r="I288" s="94">
        <f>'Modell During mining'!$G282/1000000</f>
        <v>1.0530493333333335</v>
      </c>
      <c r="J288" s="94">
        <f>'Modell During mining'!$D282</f>
        <v>7.7109714391348561E-4</v>
      </c>
      <c r="K288" s="93">
        <v>0</v>
      </c>
      <c r="L288" s="93">
        <v>0.05</v>
      </c>
      <c r="M288" s="93">
        <v>0</v>
      </c>
      <c r="N288" s="93">
        <v>0.05</v>
      </c>
      <c r="O288" s="93">
        <v>1.26</v>
      </c>
      <c r="P288" s="93">
        <v>4.5999999999999996</v>
      </c>
      <c r="Q288" s="93">
        <v>0</v>
      </c>
      <c r="R288" s="93">
        <v>0</v>
      </c>
      <c r="S288" s="93">
        <v>0.36</v>
      </c>
      <c r="T288" s="98">
        <f t="shared" si="88"/>
        <v>9.5956858487935737</v>
      </c>
      <c r="U288" s="93">
        <v>25.21</v>
      </c>
      <c r="V288" s="98">
        <f t="shared" si="88"/>
        <v>9.5956858487935737</v>
      </c>
      <c r="W288" s="93">
        <v>21.42</v>
      </c>
      <c r="X288" s="98">
        <f t="shared" si="88"/>
        <v>9.5956858487935737</v>
      </c>
      <c r="Y288" s="93">
        <v>0.11</v>
      </c>
      <c r="Z288" s="98">
        <f t="shared" si="88"/>
        <v>9.5956858487935737</v>
      </c>
      <c r="AA288" s="93">
        <v>5.8</v>
      </c>
      <c r="AB288" s="98">
        <f t="shared" si="88"/>
        <v>9.5956858487935737</v>
      </c>
      <c r="AC288" s="93">
        <v>1.7</v>
      </c>
      <c r="AD288" s="93">
        <v>2.5</v>
      </c>
      <c r="AE288" s="93">
        <v>1.84</v>
      </c>
      <c r="AF288" s="96">
        <f t="shared" si="86"/>
        <v>9.5956858487935737</v>
      </c>
      <c r="AG288" s="10">
        <f t="shared" si="81"/>
        <v>7.97</v>
      </c>
      <c r="AH288" s="95">
        <f t="shared" si="82"/>
        <v>2.3130493333333337</v>
      </c>
      <c r="AI288" s="96">
        <f t="shared" si="90"/>
        <v>9.5956858487935737</v>
      </c>
      <c r="AJ288" s="96">
        <f t="shared" si="89"/>
        <v>25.237182459942218</v>
      </c>
      <c r="AK288" s="96">
        <f t="shared" si="87"/>
        <v>10.099090337428242</v>
      </c>
    </row>
    <row r="289" spans="1:37" x14ac:dyDescent="0.15">
      <c r="A289" s="10">
        <f>A288+0.5</f>
        <v>2019.5</v>
      </c>
      <c r="C289" s="10">
        <v>20.2</v>
      </c>
      <c r="D289" s="96">
        <f>5.5/12*7</f>
        <v>3.208333333333333</v>
      </c>
      <c r="E289" s="122">
        <f t="shared" si="80"/>
        <v>64.808333333333323</v>
      </c>
      <c r="F289" s="96">
        <f t="shared" si="83"/>
        <v>2.5666666666666664</v>
      </c>
      <c r="G289" s="96">
        <f t="shared" si="84"/>
        <v>232.2833333333333</v>
      </c>
      <c r="H289" s="122">
        <f t="shared" si="85"/>
        <v>70.198333333333323</v>
      </c>
      <c r="I289" s="94">
        <f>'Modell During mining'!$G283/1000000</f>
        <v>1.5255053333333335</v>
      </c>
      <c r="J289" s="94">
        <f>'Modell During mining'!$D283</f>
        <v>5.2875816241874807</v>
      </c>
      <c r="K289" s="93">
        <v>0.95</v>
      </c>
      <c r="L289" s="93">
        <v>0.05</v>
      </c>
      <c r="M289" s="93">
        <v>0.31</v>
      </c>
      <c r="N289" s="93">
        <v>0.05</v>
      </c>
      <c r="O289" s="93">
        <v>1.26</v>
      </c>
      <c r="P289" s="93">
        <v>4.5999999999999996</v>
      </c>
      <c r="Q289" s="93">
        <v>1.6</v>
      </c>
      <c r="R289" s="93">
        <v>0</v>
      </c>
      <c r="S289" s="93">
        <v>0.36</v>
      </c>
      <c r="T289" s="98">
        <f t="shared" si="88"/>
        <v>12.482277643672466</v>
      </c>
      <c r="U289" s="93">
        <v>25.21</v>
      </c>
      <c r="V289" s="98">
        <f t="shared" si="88"/>
        <v>12.482277643672466</v>
      </c>
      <c r="W289" s="93">
        <v>21.42</v>
      </c>
      <c r="X289" s="98">
        <f t="shared" si="88"/>
        <v>12.482277643672466</v>
      </c>
      <c r="Y289" s="93">
        <v>0.11</v>
      </c>
      <c r="Z289" s="98">
        <f t="shared" si="88"/>
        <v>12.482277643672466</v>
      </c>
      <c r="AA289" s="93">
        <v>5.8</v>
      </c>
      <c r="AB289" s="98">
        <f t="shared" si="88"/>
        <v>12.482277643672466</v>
      </c>
      <c r="AC289" s="93">
        <v>1.7</v>
      </c>
      <c r="AD289" s="98">
        <f>$AI288</f>
        <v>9.5956858487935737</v>
      </c>
      <c r="AE289" s="93">
        <v>1.84</v>
      </c>
      <c r="AF289" s="96">
        <f t="shared" si="86"/>
        <v>12.482277643672466</v>
      </c>
      <c r="AG289" s="10">
        <f t="shared" si="81"/>
        <v>7.97</v>
      </c>
      <c r="AH289" s="95">
        <f t="shared" si="82"/>
        <v>5.6455053333333343</v>
      </c>
      <c r="AI289" s="96">
        <f t="shared" si="90"/>
        <v>12.482277643672466</v>
      </c>
      <c r="AJ289" s="96">
        <f t="shared" si="89"/>
        <v>32.630829630946693</v>
      </c>
      <c r="AK289" s="96">
        <f t="shared" si="87"/>
        <v>13.130736788090486</v>
      </c>
    </row>
    <row r="290" spans="1:37" x14ac:dyDescent="0.15">
      <c r="A290" s="10">
        <f>A288+1</f>
        <v>2020</v>
      </c>
      <c r="C290" s="10">
        <v>20.2</v>
      </c>
      <c r="D290" s="96">
        <f>5/12*5</f>
        <v>2.0833333333333335</v>
      </c>
      <c r="E290" s="122">
        <f t="shared" si="80"/>
        <v>42.083333333333336</v>
      </c>
      <c r="F290" s="96">
        <f t="shared" si="83"/>
        <v>1.666666666666667</v>
      </c>
      <c r="G290" s="96">
        <f t="shared" si="84"/>
        <v>150.83333333333334</v>
      </c>
      <c r="H290" s="122">
        <f t="shared" si="85"/>
        <v>45.583333333333336</v>
      </c>
      <c r="I290" s="94">
        <f>'Modell During mining'!$G284/1000000</f>
        <v>1.1211826666666669</v>
      </c>
      <c r="J290" s="94">
        <f>'Modell During mining'!$D284</f>
        <v>7.8136122927337432E-4</v>
      </c>
      <c r="K290" s="93">
        <v>0</v>
      </c>
      <c r="L290" s="93">
        <v>0.05</v>
      </c>
      <c r="M290" s="93">
        <v>0</v>
      </c>
      <c r="N290" s="93">
        <v>0.05</v>
      </c>
      <c r="O290" s="93">
        <v>1.26</v>
      </c>
      <c r="P290" s="93">
        <v>4.5999999999999996</v>
      </c>
      <c r="Q290" s="93">
        <v>0</v>
      </c>
      <c r="R290" s="93">
        <v>0</v>
      </c>
      <c r="S290" s="93">
        <v>0.36</v>
      </c>
      <c r="T290" s="98">
        <f t="shared" si="88"/>
        <v>11.288929485840738</v>
      </c>
      <c r="U290" s="93">
        <v>25.21</v>
      </c>
      <c r="V290" s="98">
        <f t="shared" si="88"/>
        <v>11.288929485840738</v>
      </c>
      <c r="W290" s="93">
        <v>21.42</v>
      </c>
      <c r="X290" s="98">
        <f t="shared" si="88"/>
        <v>11.288929485840738</v>
      </c>
      <c r="Y290" s="93">
        <v>0.11</v>
      </c>
      <c r="Z290" s="98">
        <f t="shared" si="88"/>
        <v>11.288929485840738</v>
      </c>
      <c r="AA290" s="93">
        <v>5.8</v>
      </c>
      <c r="AB290" s="98">
        <f t="shared" si="88"/>
        <v>11.288929485840738</v>
      </c>
      <c r="AC290" s="93">
        <v>1.7</v>
      </c>
      <c r="AD290" s="93">
        <v>2.5</v>
      </c>
      <c r="AE290" s="93">
        <v>1.84</v>
      </c>
      <c r="AF290" s="96">
        <f t="shared" si="86"/>
        <v>11.288929485840738</v>
      </c>
      <c r="AG290" s="10">
        <f t="shared" si="81"/>
        <v>7.97</v>
      </c>
      <c r="AH290" s="95">
        <f t="shared" si="82"/>
        <v>2.3811826666666667</v>
      </c>
      <c r="AI290" s="96">
        <f t="shared" si="90"/>
        <v>11.288929485840738</v>
      </c>
      <c r="AJ290" s="96">
        <f t="shared" si="89"/>
        <v>29.83364280178969</v>
      </c>
      <c r="AK290" s="96">
        <f t="shared" si="87"/>
        <v>11.885770833940247</v>
      </c>
    </row>
    <row r="291" spans="1:37" x14ac:dyDescent="0.15">
      <c r="A291" s="10">
        <f>A290+0.5</f>
        <v>2020.5</v>
      </c>
      <c r="C291" s="10">
        <v>20.2</v>
      </c>
      <c r="D291" s="96">
        <f>5.5/12*7</f>
        <v>3.208333333333333</v>
      </c>
      <c r="E291" s="122">
        <f t="shared" si="80"/>
        <v>64.808333333333323</v>
      </c>
      <c r="F291" s="96">
        <f t="shared" si="83"/>
        <v>2.5666666666666664</v>
      </c>
      <c r="G291" s="96">
        <f t="shared" si="84"/>
        <v>232.2833333333333</v>
      </c>
      <c r="H291" s="122">
        <f t="shared" si="85"/>
        <v>70.198333333333323</v>
      </c>
      <c r="I291" s="94">
        <f>'Modell During mining'!$G285/1000000</f>
        <v>1.6271992000000002</v>
      </c>
      <c r="J291" s="94">
        <f>'Modell During mining'!$D285</f>
        <v>4.9819396000194667</v>
      </c>
      <c r="K291" s="93">
        <v>0.95</v>
      </c>
      <c r="L291" s="93">
        <v>0.05</v>
      </c>
      <c r="M291" s="93">
        <v>0.31</v>
      </c>
      <c r="N291" s="93">
        <v>0.05</v>
      </c>
      <c r="O291" s="93">
        <v>1.26</v>
      </c>
      <c r="P291" s="93">
        <v>4.5999999999999996</v>
      </c>
      <c r="Q291" s="93">
        <v>1.6</v>
      </c>
      <c r="R291" s="93">
        <v>0</v>
      </c>
      <c r="S291" s="93">
        <v>0.36</v>
      </c>
      <c r="T291" s="98">
        <f t="shared" si="88"/>
        <v>12.786493189251317</v>
      </c>
      <c r="U291" s="93">
        <v>25.21</v>
      </c>
      <c r="V291" s="98">
        <f t="shared" si="88"/>
        <v>12.786493189251317</v>
      </c>
      <c r="W291" s="93">
        <v>21.42</v>
      </c>
      <c r="X291" s="98">
        <f t="shared" si="88"/>
        <v>12.786493189251317</v>
      </c>
      <c r="Y291" s="93">
        <v>0.11</v>
      </c>
      <c r="Z291" s="98">
        <f t="shared" si="88"/>
        <v>12.786493189251317</v>
      </c>
      <c r="AA291" s="93">
        <v>5.8</v>
      </c>
      <c r="AB291" s="98">
        <f t="shared" si="88"/>
        <v>12.786493189251317</v>
      </c>
      <c r="AC291" s="93">
        <v>1.7</v>
      </c>
      <c r="AD291" s="98">
        <f>$AI290</f>
        <v>11.288929485840738</v>
      </c>
      <c r="AE291" s="93">
        <v>1.84</v>
      </c>
      <c r="AF291" s="96">
        <f t="shared" si="86"/>
        <v>12.786493189251317</v>
      </c>
      <c r="AG291" s="10">
        <f t="shared" si="81"/>
        <v>7.97</v>
      </c>
      <c r="AH291" s="95">
        <f t="shared" si="82"/>
        <v>5.7471992000000007</v>
      </c>
      <c r="AI291" s="96">
        <f t="shared" si="90"/>
        <v>12.786493189251317</v>
      </c>
      <c r="AJ291" s="96">
        <f t="shared" si="89"/>
        <v>32.308801043567094</v>
      </c>
      <c r="AK291" s="96">
        <f t="shared" si="87"/>
        <v>13.414797350079871</v>
      </c>
    </row>
    <row r="292" spans="1:37" x14ac:dyDescent="0.15">
      <c r="A292" s="10">
        <f>A290+1</f>
        <v>2021</v>
      </c>
      <c r="C292" s="10">
        <v>20.2</v>
      </c>
      <c r="D292" s="96">
        <f>5/12*5</f>
        <v>2.0833333333333335</v>
      </c>
      <c r="E292" s="122">
        <f t="shared" si="80"/>
        <v>42.083333333333336</v>
      </c>
      <c r="F292" s="96">
        <f t="shared" si="83"/>
        <v>1.666666666666667</v>
      </c>
      <c r="G292" s="96">
        <f t="shared" si="84"/>
        <v>150.83333333333334</v>
      </c>
      <c r="H292" s="122">
        <f t="shared" si="85"/>
        <v>45.583333333333336</v>
      </c>
      <c r="I292" s="94">
        <f>'Modell During mining'!$G286/1000000</f>
        <v>1.1893160000000003</v>
      </c>
      <c r="J292" s="94">
        <f>'Modell During mining'!$D286</f>
        <v>7.904493002700711E-4</v>
      </c>
      <c r="K292" s="93">
        <v>0</v>
      </c>
      <c r="L292" s="93">
        <v>0.05</v>
      </c>
      <c r="M292" s="93">
        <v>0</v>
      </c>
      <c r="N292" s="93">
        <v>0.05</v>
      </c>
      <c r="O292" s="93">
        <v>1.26</v>
      </c>
      <c r="P292" s="93">
        <v>4.5999999999999996</v>
      </c>
      <c r="Q292" s="93">
        <v>0</v>
      </c>
      <c r="R292" s="93">
        <v>0</v>
      </c>
      <c r="S292" s="93">
        <v>0.36</v>
      </c>
      <c r="T292" s="98">
        <f t="shared" si="88"/>
        <v>11.110619942227977</v>
      </c>
      <c r="U292" s="93">
        <v>25.21</v>
      </c>
      <c r="V292" s="98">
        <f t="shared" si="88"/>
        <v>11.110619942227977</v>
      </c>
      <c r="W292" s="93">
        <v>21.42</v>
      </c>
      <c r="X292" s="98">
        <f t="shared" si="88"/>
        <v>11.110619942227977</v>
      </c>
      <c r="Y292" s="93">
        <v>0.11</v>
      </c>
      <c r="Z292" s="98">
        <f t="shared" si="88"/>
        <v>11.110619942227977</v>
      </c>
      <c r="AA292" s="93">
        <v>5.8</v>
      </c>
      <c r="AB292" s="98">
        <f t="shared" si="88"/>
        <v>11.110619942227977</v>
      </c>
      <c r="AC292" s="93">
        <v>1.7</v>
      </c>
      <c r="AD292" s="93">
        <v>2.5</v>
      </c>
      <c r="AE292" s="93">
        <v>1.84</v>
      </c>
      <c r="AF292" s="96">
        <f t="shared" si="86"/>
        <v>11.110619942227977</v>
      </c>
      <c r="AG292" s="10">
        <f t="shared" si="81"/>
        <v>7.97</v>
      </c>
      <c r="AH292" s="95">
        <f t="shared" si="82"/>
        <v>2.4493160000000005</v>
      </c>
      <c r="AI292" s="96">
        <f t="shared" si="90"/>
        <v>11.110619942227977</v>
      </c>
      <c r="AJ292" s="96">
        <f t="shared" si="89"/>
        <v>29.196278234469307</v>
      </c>
      <c r="AK292" s="96">
        <f t="shared" si="87"/>
        <v>11.692687105656432</v>
      </c>
    </row>
    <row r="293" spans="1:37" x14ac:dyDescent="0.15">
      <c r="A293" s="10">
        <f>A292+0.5</f>
        <v>2021.5</v>
      </c>
      <c r="C293" s="10">
        <v>20.2</v>
      </c>
      <c r="D293" s="96">
        <f>5.5/12*7</f>
        <v>3.208333333333333</v>
      </c>
      <c r="E293" s="122">
        <f t="shared" si="80"/>
        <v>64.808333333333323</v>
      </c>
      <c r="F293" s="96">
        <f t="shared" si="83"/>
        <v>2.5666666666666664</v>
      </c>
      <c r="G293" s="96">
        <f t="shared" si="84"/>
        <v>232.2833333333333</v>
      </c>
      <c r="H293" s="122">
        <f t="shared" si="85"/>
        <v>70.198333333333323</v>
      </c>
      <c r="I293" s="94">
        <f>'Modell During mining'!$G287/1000000</f>
        <v>1.7288930666666671</v>
      </c>
      <c r="J293" s="94">
        <f>'Modell During mining'!$D287</f>
        <v>4.7122534366883508</v>
      </c>
      <c r="K293" s="93">
        <v>0.95</v>
      </c>
      <c r="L293" s="93">
        <v>0.05</v>
      </c>
      <c r="M293" s="93">
        <v>0.31</v>
      </c>
      <c r="N293" s="93">
        <v>0.05</v>
      </c>
      <c r="O293" s="93">
        <v>1.26</v>
      </c>
      <c r="P293" s="93">
        <v>4.5999999999999996</v>
      </c>
      <c r="Q293" s="93">
        <v>1.6</v>
      </c>
      <c r="R293" s="93">
        <v>0</v>
      </c>
      <c r="S293" s="93">
        <v>0.36</v>
      </c>
      <c r="T293" s="98">
        <f t="shared" si="88"/>
        <v>12.408649292301302</v>
      </c>
      <c r="U293" s="93">
        <v>25.21</v>
      </c>
      <c r="V293" s="98">
        <f t="shared" si="88"/>
        <v>12.408649292301302</v>
      </c>
      <c r="W293" s="93">
        <v>21.42</v>
      </c>
      <c r="X293" s="98">
        <f t="shared" si="88"/>
        <v>12.408649292301302</v>
      </c>
      <c r="Y293" s="93">
        <v>0.11</v>
      </c>
      <c r="Z293" s="98">
        <f t="shared" si="88"/>
        <v>12.408649292301302</v>
      </c>
      <c r="AA293" s="93">
        <v>5.8</v>
      </c>
      <c r="AB293" s="98">
        <f t="shared" si="88"/>
        <v>12.408649292301302</v>
      </c>
      <c r="AC293" s="93">
        <v>1.7</v>
      </c>
      <c r="AD293" s="98">
        <f>$AI292</f>
        <v>11.110619942227977</v>
      </c>
      <c r="AE293" s="93">
        <v>1.84</v>
      </c>
      <c r="AF293" s="96">
        <f t="shared" si="86"/>
        <v>12.408649292301302</v>
      </c>
      <c r="AG293" s="10">
        <f t="shared" si="81"/>
        <v>7.97</v>
      </c>
      <c r="AH293" s="95">
        <f t="shared" si="82"/>
        <v>5.8488930666666672</v>
      </c>
      <c r="AI293" s="96">
        <f t="shared" si="90"/>
        <v>12.408649292301302</v>
      </c>
      <c r="AJ293" s="96">
        <f t="shared" si="89"/>
        <v>31.349233452964182</v>
      </c>
      <c r="AK293" s="96">
        <f t="shared" si="87"/>
        <v>13.018231311265167</v>
      </c>
    </row>
    <row r="294" spans="1:37" x14ac:dyDescent="0.15">
      <c r="A294" s="10">
        <f>A292+1</f>
        <v>2022</v>
      </c>
      <c r="C294" s="10">
        <v>20.2</v>
      </c>
      <c r="D294" s="96">
        <f>5/12*5</f>
        <v>2.0833333333333335</v>
      </c>
      <c r="E294" s="122">
        <f t="shared" si="80"/>
        <v>42.083333333333336</v>
      </c>
      <c r="F294" s="96">
        <f t="shared" si="83"/>
        <v>1.666666666666667</v>
      </c>
      <c r="G294" s="96">
        <f t="shared" si="84"/>
        <v>150.83333333333334</v>
      </c>
      <c r="H294" s="122">
        <f t="shared" si="85"/>
        <v>45.583333333333336</v>
      </c>
      <c r="I294" s="94">
        <f>'Modell During mining'!$G288/1000000</f>
        <v>1.2574493333333334</v>
      </c>
      <c r="J294" s="94">
        <f>'Modell During mining'!$D288</f>
        <v>7.9855251954485625E-4</v>
      </c>
      <c r="K294" s="93">
        <v>0</v>
      </c>
      <c r="L294" s="93">
        <v>0.05</v>
      </c>
      <c r="M294" s="93">
        <v>0</v>
      </c>
      <c r="N294" s="93">
        <v>0.05</v>
      </c>
      <c r="O294" s="93">
        <v>1.26</v>
      </c>
      <c r="P294" s="93">
        <v>4.5999999999999996</v>
      </c>
      <c r="Q294" s="93">
        <v>0</v>
      </c>
      <c r="R294" s="93">
        <v>0</v>
      </c>
      <c r="S294" s="93">
        <v>0.36</v>
      </c>
      <c r="T294" s="98">
        <f t="shared" si="88"/>
        <v>10.805034971696184</v>
      </c>
      <c r="U294" s="93">
        <v>25.21</v>
      </c>
      <c r="V294" s="98">
        <f t="shared" si="88"/>
        <v>10.805034971696184</v>
      </c>
      <c r="W294" s="93">
        <v>21.42</v>
      </c>
      <c r="X294" s="98">
        <f t="shared" si="88"/>
        <v>10.805034971696184</v>
      </c>
      <c r="Y294" s="93">
        <v>0.11</v>
      </c>
      <c r="Z294" s="98">
        <f t="shared" si="88"/>
        <v>10.805034971696184</v>
      </c>
      <c r="AA294" s="93">
        <v>5.8</v>
      </c>
      <c r="AB294" s="98">
        <f t="shared" si="88"/>
        <v>10.805034971696184</v>
      </c>
      <c r="AC294" s="93">
        <v>1.7</v>
      </c>
      <c r="AD294" s="93">
        <v>2.5</v>
      </c>
      <c r="AE294" s="93">
        <v>1.84</v>
      </c>
      <c r="AF294" s="96">
        <f t="shared" si="86"/>
        <v>10.805034971696184</v>
      </c>
      <c r="AG294" s="10">
        <f t="shared" si="81"/>
        <v>7.97</v>
      </c>
      <c r="AH294" s="95">
        <f t="shared" si="82"/>
        <v>2.5174493333333334</v>
      </c>
      <c r="AI294" s="96">
        <f t="shared" si="90"/>
        <v>10.805034971696184</v>
      </c>
      <c r="AJ294" s="96">
        <f t="shared" si="89"/>
        <v>28.455487209133928</v>
      </c>
      <c r="AK294" s="96">
        <f t="shared" si="87"/>
        <v>11.37309550347579</v>
      </c>
    </row>
    <row r="295" spans="1:37" x14ac:dyDescent="0.15">
      <c r="A295" s="10">
        <f>A294+0.5</f>
        <v>2022.5</v>
      </c>
      <c r="C295" s="10">
        <v>20.2</v>
      </c>
      <c r="D295" s="96">
        <f>5.5/12*7</f>
        <v>3.208333333333333</v>
      </c>
      <c r="E295" s="122">
        <f t="shared" si="80"/>
        <v>64.808333333333323</v>
      </c>
      <c r="F295" s="96">
        <f t="shared" si="83"/>
        <v>2.5666666666666664</v>
      </c>
      <c r="G295" s="96">
        <f t="shared" si="84"/>
        <v>232.2833333333333</v>
      </c>
      <c r="H295" s="122">
        <f t="shared" si="85"/>
        <v>70.198333333333323</v>
      </c>
      <c r="I295" s="94">
        <f>'Modell During mining'!$G289/1000000</f>
        <v>1.8305869333333338</v>
      </c>
      <c r="J295" s="94">
        <f>'Modell During mining'!$D289</f>
        <v>4.4725308093535281</v>
      </c>
      <c r="K295" s="93">
        <v>0.95</v>
      </c>
      <c r="L295" s="93">
        <v>0.05</v>
      </c>
      <c r="M295" s="93">
        <v>0.31</v>
      </c>
      <c r="N295" s="93">
        <v>0.05</v>
      </c>
      <c r="O295" s="93">
        <v>1.26</v>
      </c>
      <c r="P295" s="93">
        <v>4.5999999999999996</v>
      </c>
      <c r="Q295" s="93">
        <v>0.6</v>
      </c>
      <c r="R295" s="93">
        <v>0</v>
      </c>
      <c r="S295" s="93">
        <v>0.36</v>
      </c>
      <c r="T295" s="98">
        <f t="shared" si="88"/>
        <v>12.004935780067914</v>
      </c>
      <c r="U295" s="93">
        <v>25.21</v>
      </c>
      <c r="V295" s="98">
        <f t="shared" si="88"/>
        <v>12.004935780067914</v>
      </c>
      <c r="W295" s="93">
        <v>21.42</v>
      </c>
      <c r="X295" s="98">
        <f t="shared" si="88"/>
        <v>12.004935780067914</v>
      </c>
      <c r="Y295" s="93">
        <v>0.11</v>
      </c>
      <c r="Z295" s="98">
        <f t="shared" si="88"/>
        <v>12.004935780067914</v>
      </c>
      <c r="AA295" s="93">
        <v>5.8</v>
      </c>
      <c r="AB295" s="98">
        <f t="shared" si="88"/>
        <v>12.004935780067914</v>
      </c>
      <c r="AC295" s="93">
        <v>1.7</v>
      </c>
      <c r="AD295" s="98">
        <f>$AI294</f>
        <v>10.805034971696184</v>
      </c>
      <c r="AE295" s="93">
        <v>1.84</v>
      </c>
      <c r="AF295" s="96">
        <f t="shared" si="86"/>
        <v>12.004935780067914</v>
      </c>
      <c r="AG295" s="10">
        <f t="shared" si="81"/>
        <v>7.97</v>
      </c>
      <c r="AH295" s="95">
        <f t="shared" si="82"/>
        <v>4.9505869333333337</v>
      </c>
      <c r="AI295" s="96">
        <f t="shared" si="90"/>
        <v>12.004935780067914</v>
      </c>
      <c r="AJ295" s="96">
        <f t="shared" si="89"/>
        <v>30.403326485657345</v>
      </c>
      <c r="AK295" s="96">
        <f t="shared" si="87"/>
        <v>12.597067894730563</v>
      </c>
    </row>
    <row r="296" spans="1:37" x14ac:dyDescent="0.15">
      <c r="A296" s="10">
        <f>A294+1</f>
        <v>2023</v>
      </c>
      <c r="C296" s="10">
        <v>20.2</v>
      </c>
      <c r="D296" s="96">
        <f>5/12*5</f>
        <v>2.0833333333333335</v>
      </c>
      <c r="E296" s="122">
        <f t="shared" si="80"/>
        <v>42.083333333333336</v>
      </c>
      <c r="F296" s="96">
        <f t="shared" si="83"/>
        <v>1.666666666666667</v>
      </c>
      <c r="G296" s="96">
        <f t="shared" si="84"/>
        <v>150.83333333333334</v>
      </c>
      <c r="H296" s="122">
        <f t="shared" si="85"/>
        <v>45.583333333333336</v>
      </c>
      <c r="I296" s="94">
        <f>'Modell During mining'!$G290/1000000</f>
        <v>1.3255826666666668</v>
      </c>
      <c r="J296" s="94">
        <f>'Modell During mining'!$D290</f>
        <v>8.0582274763198463E-4</v>
      </c>
      <c r="K296" s="93">
        <v>0</v>
      </c>
      <c r="L296" s="93">
        <v>0.05</v>
      </c>
      <c r="M296" s="93">
        <v>0</v>
      </c>
      <c r="N296" s="93">
        <v>0.05</v>
      </c>
      <c r="O296" s="93">
        <v>1.26</v>
      </c>
      <c r="P296" s="93">
        <v>4.5999999999999996</v>
      </c>
      <c r="Q296" s="93">
        <v>0</v>
      </c>
      <c r="R296" s="93">
        <v>0</v>
      </c>
      <c r="S296" s="93">
        <v>0.36</v>
      </c>
      <c r="T296" s="98">
        <f t="shared" si="88"/>
        <v>11.715092566543188</v>
      </c>
      <c r="U296" s="93">
        <v>25.21</v>
      </c>
      <c r="V296" s="98">
        <f t="shared" si="88"/>
        <v>11.715092566543188</v>
      </c>
      <c r="W296" s="93">
        <v>21.42</v>
      </c>
      <c r="X296" s="98">
        <f t="shared" si="88"/>
        <v>11.715092566543188</v>
      </c>
      <c r="Y296" s="93">
        <v>0.11</v>
      </c>
      <c r="Z296" s="98">
        <f t="shared" si="88"/>
        <v>11.715092566543188</v>
      </c>
      <c r="AA296" s="93">
        <v>5.8</v>
      </c>
      <c r="AB296" s="98">
        <f t="shared" si="88"/>
        <v>11.715092566543188</v>
      </c>
      <c r="AC296" s="93">
        <v>1.7</v>
      </c>
      <c r="AD296" s="93">
        <v>2.5</v>
      </c>
      <c r="AE296" s="93">
        <v>1.84</v>
      </c>
      <c r="AF296" s="96">
        <f t="shared" si="86"/>
        <v>11.715092566543188</v>
      </c>
      <c r="AG296" s="10">
        <f t="shared" si="81"/>
        <v>7.97</v>
      </c>
      <c r="AH296" s="95">
        <f t="shared" si="82"/>
        <v>2.5855826666666668</v>
      </c>
      <c r="AI296" s="96">
        <f t="shared" si="90"/>
        <v>11.715092566543188</v>
      </c>
      <c r="AJ296" s="96">
        <f t="shared" si="89"/>
        <v>30.729593657785529</v>
      </c>
      <c r="AK296" s="96">
        <f t="shared" si="87"/>
        <v>12.32705352120386</v>
      </c>
    </row>
    <row r="297" spans="1:37" x14ac:dyDescent="0.15">
      <c r="A297" s="10">
        <f>A296+0.5</f>
        <v>2023.5</v>
      </c>
      <c r="C297" s="10">
        <v>20.2</v>
      </c>
      <c r="D297" s="96">
        <f>5.5/12*7</f>
        <v>3.208333333333333</v>
      </c>
      <c r="E297" s="122">
        <f t="shared" si="80"/>
        <v>64.808333333333323</v>
      </c>
      <c r="F297" s="96">
        <f t="shared" si="83"/>
        <v>2.5666666666666664</v>
      </c>
      <c r="G297" s="96">
        <f t="shared" si="84"/>
        <v>232.2833333333333</v>
      </c>
      <c r="H297" s="122">
        <f t="shared" si="85"/>
        <v>70.198333333333323</v>
      </c>
      <c r="I297" s="94">
        <f>'Modell During mining'!$G291/1000000</f>
        <v>1.9322808000000005</v>
      </c>
      <c r="J297" s="94">
        <f>'Modell During mining'!$D291</f>
        <v>4.2580408716993885</v>
      </c>
      <c r="K297" s="93">
        <v>0.95</v>
      </c>
      <c r="L297" s="93">
        <v>0.05</v>
      </c>
      <c r="M297" s="93">
        <v>0.31</v>
      </c>
      <c r="N297" s="93">
        <v>0.05</v>
      </c>
      <c r="O297" s="93">
        <v>1.26</v>
      </c>
      <c r="P297" s="93">
        <v>4.5999999999999996</v>
      </c>
      <c r="Q297" s="93">
        <v>1.6</v>
      </c>
      <c r="R297" s="93">
        <v>0</v>
      </c>
      <c r="S297" s="93">
        <v>0.36</v>
      </c>
      <c r="T297" s="98">
        <f t="shared" si="88"/>
        <v>12.054123848613447</v>
      </c>
      <c r="U297" s="93">
        <v>25.21</v>
      </c>
      <c r="V297" s="98">
        <f t="shared" si="88"/>
        <v>12.054123848613447</v>
      </c>
      <c r="W297" s="93">
        <v>21.42</v>
      </c>
      <c r="X297" s="98">
        <f t="shared" si="88"/>
        <v>12.054123848613447</v>
      </c>
      <c r="Y297" s="93">
        <v>0.11</v>
      </c>
      <c r="Z297" s="98">
        <f t="shared" si="88"/>
        <v>12.054123848613447</v>
      </c>
      <c r="AA297" s="93">
        <v>5.8</v>
      </c>
      <c r="AB297" s="98">
        <f t="shared" si="88"/>
        <v>12.054123848613447</v>
      </c>
      <c r="AC297" s="93">
        <v>1.7</v>
      </c>
      <c r="AD297" s="98">
        <f>$AI296</f>
        <v>11.715092566543188</v>
      </c>
      <c r="AE297" s="93">
        <v>1.84</v>
      </c>
      <c r="AF297" s="96">
        <f t="shared" si="86"/>
        <v>12.054123848613447</v>
      </c>
      <c r="AG297" s="10">
        <f t="shared" si="81"/>
        <v>7.97</v>
      </c>
      <c r="AH297" s="95">
        <f t="shared" si="82"/>
        <v>6.0522808000000001</v>
      </c>
      <c r="AI297" s="96">
        <f t="shared" si="90"/>
        <v>12.054123848613447</v>
      </c>
      <c r="AJ297" s="96">
        <f t="shared" si="89"/>
        <v>29.945606983379282</v>
      </c>
      <c r="AK297" s="96">
        <f t="shared" si="87"/>
        <v>12.629941696628901</v>
      </c>
    </row>
    <row r="298" spans="1:37" x14ac:dyDescent="0.15">
      <c r="A298" s="10">
        <f>A296+1</f>
        <v>2024</v>
      </c>
      <c r="C298" s="10">
        <v>20.2</v>
      </c>
      <c r="D298" s="96">
        <f>5/12*5</f>
        <v>2.0833333333333335</v>
      </c>
      <c r="E298" s="122">
        <f t="shared" si="80"/>
        <v>42.083333333333336</v>
      </c>
      <c r="F298" s="96">
        <f t="shared" si="83"/>
        <v>1.666666666666667</v>
      </c>
      <c r="G298" s="96">
        <f t="shared" si="84"/>
        <v>150.83333333333334</v>
      </c>
      <c r="H298" s="122">
        <f t="shared" si="85"/>
        <v>45.583333333333336</v>
      </c>
      <c r="I298" s="94">
        <f>'Modell During mining'!$G292/1000000</f>
        <v>1.393716</v>
      </c>
      <c r="J298" s="94">
        <f>'Modell During mining'!$D292</f>
        <v>8.1238214959145191E-4</v>
      </c>
      <c r="K298" s="93">
        <v>0</v>
      </c>
      <c r="L298" s="93">
        <v>0.05</v>
      </c>
      <c r="M298" s="93">
        <v>0</v>
      </c>
      <c r="N298" s="93">
        <v>0.05</v>
      </c>
      <c r="O298" s="93">
        <v>1.26</v>
      </c>
      <c r="P298" s="93">
        <v>4.5999999999999996</v>
      </c>
      <c r="Q298" s="93">
        <v>0</v>
      </c>
      <c r="R298" s="93">
        <v>0</v>
      </c>
      <c r="S298" s="93">
        <v>0.36</v>
      </c>
      <c r="T298" s="98">
        <f t="shared" si="88"/>
        <v>10.30891679974048</v>
      </c>
      <c r="U298" s="93">
        <v>25.21</v>
      </c>
      <c r="V298" s="98">
        <f t="shared" si="88"/>
        <v>10.30891679974048</v>
      </c>
      <c r="W298" s="93">
        <v>21.42</v>
      </c>
      <c r="X298" s="98">
        <f t="shared" si="88"/>
        <v>10.30891679974048</v>
      </c>
      <c r="Y298" s="93">
        <v>0.11</v>
      </c>
      <c r="Z298" s="98">
        <f t="shared" si="88"/>
        <v>10.30891679974048</v>
      </c>
      <c r="AA298" s="93">
        <v>5.8</v>
      </c>
      <c r="AB298" s="98">
        <f t="shared" si="88"/>
        <v>10.30891679974048</v>
      </c>
      <c r="AC298" s="93">
        <v>1.7</v>
      </c>
      <c r="AD298" s="93">
        <v>2.5</v>
      </c>
      <c r="AE298" s="93">
        <v>1.84</v>
      </c>
      <c r="AF298" s="96">
        <f t="shared" si="86"/>
        <v>10.30891679974048</v>
      </c>
      <c r="AG298" s="10">
        <f t="shared" si="81"/>
        <v>7.97</v>
      </c>
      <c r="AH298" s="95">
        <f t="shared" si="82"/>
        <v>2.6537160000000002</v>
      </c>
      <c r="AI298" s="96">
        <f t="shared" si="90"/>
        <v>10.30891679974048</v>
      </c>
      <c r="AJ298" s="96">
        <f t="shared" si="89"/>
        <v>27.153165675197531</v>
      </c>
      <c r="AK298" s="96">
        <f t="shared" si="87"/>
        <v>10.85103055665174</v>
      </c>
    </row>
    <row r="299" spans="1:37" x14ac:dyDescent="0.15">
      <c r="A299" s="10">
        <f>A298+0.5</f>
        <v>2024.5</v>
      </c>
      <c r="C299" s="10">
        <v>20.2</v>
      </c>
      <c r="D299" s="96">
        <f>5.5/12*7</f>
        <v>3.208333333333333</v>
      </c>
      <c r="E299" s="122">
        <f t="shared" si="80"/>
        <v>64.808333333333323</v>
      </c>
      <c r="F299" s="96">
        <f t="shared" si="83"/>
        <v>2.5666666666666664</v>
      </c>
      <c r="G299" s="96">
        <f t="shared" si="84"/>
        <v>232.2833333333333</v>
      </c>
      <c r="H299" s="122">
        <f t="shared" si="85"/>
        <v>70.198333333333323</v>
      </c>
      <c r="I299" s="94">
        <f>'Modell During mining'!$G293/1000000</f>
        <v>2.0339746666666674</v>
      </c>
      <c r="J299" s="94">
        <f>'Modell During mining'!$D293</f>
        <v>4.064998901395688</v>
      </c>
      <c r="K299" s="93">
        <v>0.95</v>
      </c>
      <c r="L299" s="93">
        <v>0.05</v>
      </c>
      <c r="M299" s="93">
        <v>0.31</v>
      </c>
      <c r="N299" s="93">
        <v>0.05</v>
      </c>
      <c r="O299" s="93">
        <v>1.26</v>
      </c>
      <c r="P299" s="93">
        <v>4.5999999999999996</v>
      </c>
      <c r="Q299" s="93">
        <v>1.6</v>
      </c>
      <c r="R299" s="93">
        <v>0</v>
      </c>
      <c r="S299" s="93">
        <v>0.36</v>
      </c>
      <c r="T299" s="98">
        <f t="shared" si="88"/>
        <v>11.29476744263749</v>
      </c>
      <c r="U299" s="93">
        <v>25.21</v>
      </c>
      <c r="V299" s="98">
        <f t="shared" si="88"/>
        <v>11.29476744263749</v>
      </c>
      <c r="W299" s="93">
        <v>21.42</v>
      </c>
      <c r="X299" s="98">
        <f t="shared" si="88"/>
        <v>11.29476744263749</v>
      </c>
      <c r="Y299" s="93">
        <v>0.11</v>
      </c>
      <c r="Z299" s="98">
        <f t="shared" si="88"/>
        <v>11.29476744263749</v>
      </c>
      <c r="AA299" s="93">
        <v>5.8</v>
      </c>
      <c r="AB299" s="98">
        <f t="shared" si="88"/>
        <v>11.29476744263749</v>
      </c>
      <c r="AC299" s="93">
        <v>1.7</v>
      </c>
      <c r="AD299" s="98">
        <f>$AI298</f>
        <v>10.30891679974048</v>
      </c>
      <c r="AE299" s="93">
        <v>1.84</v>
      </c>
      <c r="AF299" s="96">
        <f t="shared" si="86"/>
        <v>11.29476744263749</v>
      </c>
      <c r="AG299" s="10">
        <f t="shared" si="81"/>
        <v>7.97</v>
      </c>
      <c r="AH299" s="95">
        <f t="shared" si="82"/>
        <v>6.1539746666666684</v>
      </c>
      <c r="AI299" s="96">
        <f t="shared" si="90"/>
        <v>11.29476744263749</v>
      </c>
      <c r="AJ299" s="96">
        <f t="shared" si="89"/>
        <v>28.710994038790766</v>
      </c>
      <c r="AK299" s="96">
        <f t="shared" si="87"/>
        <v>11.855289677915987</v>
      </c>
    </row>
    <row r="300" spans="1:37" x14ac:dyDescent="0.15">
      <c r="A300" s="10">
        <f>A298+1</f>
        <v>2025</v>
      </c>
      <c r="C300" s="10">
        <v>20.2</v>
      </c>
      <c r="D300" s="96">
        <f>5/12*5</f>
        <v>2.0833333333333335</v>
      </c>
      <c r="E300" s="122">
        <f t="shared" si="80"/>
        <v>42.083333333333336</v>
      </c>
      <c r="F300" s="96">
        <f t="shared" si="83"/>
        <v>1.666666666666667</v>
      </c>
      <c r="G300" s="96">
        <f t="shared" si="84"/>
        <v>150.83333333333334</v>
      </c>
      <c r="H300" s="122">
        <f t="shared" si="85"/>
        <v>45.583333333333336</v>
      </c>
      <c r="I300" s="94">
        <f>'Modell During mining'!$G294/1000000</f>
        <v>1.4618493333333333</v>
      </c>
      <c r="J300" s="94">
        <f>'Modell During mining'!$D294</f>
        <v>8.1833011518742929E-4</v>
      </c>
      <c r="K300" s="93">
        <v>0</v>
      </c>
      <c r="L300" s="93">
        <v>0.05</v>
      </c>
      <c r="M300" s="93">
        <v>0</v>
      </c>
      <c r="N300" s="93">
        <v>0.05</v>
      </c>
      <c r="O300" s="93">
        <v>1.26</v>
      </c>
      <c r="P300" s="93">
        <v>4.5999999999999996</v>
      </c>
      <c r="Q300" s="93">
        <v>0</v>
      </c>
      <c r="R300" s="93">
        <v>0</v>
      </c>
      <c r="S300" s="93">
        <v>0.36</v>
      </c>
      <c r="T300" s="98">
        <f t="shared" si="88"/>
        <v>9.962653334749751</v>
      </c>
      <c r="U300" s="93">
        <v>25.21</v>
      </c>
      <c r="V300" s="98">
        <f t="shared" si="88"/>
        <v>9.962653334749751</v>
      </c>
      <c r="W300" s="93">
        <v>21.42</v>
      </c>
      <c r="X300" s="98">
        <f t="shared" si="88"/>
        <v>9.962653334749751</v>
      </c>
      <c r="Y300" s="93">
        <v>0.11</v>
      </c>
      <c r="Z300" s="98">
        <f t="shared" si="88"/>
        <v>9.962653334749751</v>
      </c>
      <c r="AA300" s="93">
        <v>5.8</v>
      </c>
      <c r="AB300" s="98">
        <f t="shared" si="88"/>
        <v>9.962653334749751</v>
      </c>
      <c r="AC300" s="93">
        <v>1.7</v>
      </c>
      <c r="AD300" s="93">
        <v>2.5</v>
      </c>
      <c r="AE300" s="93">
        <v>1.84</v>
      </c>
      <c r="AF300" s="96">
        <f t="shared" si="86"/>
        <v>9.962653334749751</v>
      </c>
      <c r="AG300" s="10">
        <f t="shared" si="81"/>
        <v>7.97</v>
      </c>
      <c r="AH300" s="95">
        <f t="shared" si="82"/>
        <v>2.7218493333333331</v>
      </c>
      <c r="AI300" s="96">
        <f t="shared" si="90"/>
        <v>9.962653334749751</v>
      </c>
      <c r="AJ300" s="96">
        <f t="shared" si="89"/>
        <v>26.432703309265179</v>
      </c>
      <c r="AK300" s="96">
        <f t="shared" si="87"/>
        <v>10.492723908642201</v>
      </c>
    </row>
    <row r="301" spans="1:37" x14ac:dyDescent="0.15">
      <c r="A301" s="10">
        <f>A300+0.5</f>
        <v>2025.5</v>
      </c>
      <c r="C301" s="10">
        <v>20.2</v>
      </c>
      <c r="D301" s="96">
        <f>5.5/12*7</f>
        <v>3.208333333333333</v>
      </c>
      <c r="E301" s="122">
        <f t="shared" si="80"/>
        <v>64.808333333333323</v>
      </c>
      <c r="F301" s="96">
        <f t="shared" si="83"/>
        <v>2.5666666666666664</v>
      </c>
      <c r="G301" s="96">
        <f t="shared" si="84"/>
        <v>232.2833333333333</v>
      </c>
      <c r="H301" s="122">
        <f t="shared" si="85"/>
        <v>70.198333333333323</v>
      </c>
      <c r="I301" s="94">
        <f>'Modell During mining'!$G295/1000000</f>
        <v>2.1356685333333343</v>
      </c>
      <c r="J301" s="94">
        <f>'Modell During mining'!$D295</f>
        <v>3.8903410427485774</v>
      </c>
      <c r="K301" s="93">
        <v>0.95</v>
      </c>
      <c r="L301" s="93">
        <v>0.05</v>
      </c>
      <c r="M301" s="93">
        <v>0.31</v>
      </c>
      <c r="N301" s="93">
        <v>0.05</v>
      </c>
      <c r="O301" s="93">
        <v>1.26</v>
      </c>
      <c r="P301" s="93">
        <v>4.5999999999999996</v>
      </c>
      <c r="Q301" s="93">
        <v>1.6</v>
      </c>
      <c r="R301" s="93">
        <v>0</v>
      </c>
      <c r="S301" s="93">
        <v>0.36</v>
      </c>
      <c r="T301" s="98">
        <f t="shared" si="88"/>
        <v>10.930076478933788</v>
      </c>
      <c r="U301" s="93">
        <v>25.21</v>
      </c>
      <c r="V301" s="98">
        <f t="shared" si="88"/>
        <v>10.930076478933788</v>
      </c>
      <c r="W301" s="93">
        <v>21.42</v>
      </c>
      <c r="X301" s="98">
        <f t="shared" si="88"/>
        <v>10.930076478933788</v>
      </c>
      <c r="Y301" s="93">
        <v>0.11</v>
      </c>
      <c r="Z301" s="98">
        <f t="shared" si="88"/>
        <v>10.930076478933788</v>
      </c>
      <c r="AA301" s="93">
        <v>5.8</v>
      </c>
      <c r="AB301" s="98">
        <f t="shared" si="88"/>
        <v>10.930076478933788</v>
      </c>
      <c r="AC301" s="93">
        <v>1.7</v>
      </c>
      <c r="AD301" s="98">
        <f>$AI300</f>
        <v>9.962653334749751</v>
      </c>
      <c r="AE301" s="93">
        <v>1.84</v>
      </c>
      <c r="AF301" s="96">
        <f t="shared" si="86"/>
        <v>10.930076478933788</v>
      </c>
      <c r="AG301" s="10">
        <f t="shared" si="81"/>
        <v>7.97</v>
      </c>
      <c r="AH301" s="95">
        <f t="shared" si="82"/>
        <v>6.2556685333333348</v>
      </c>
      <c r="AI301" s="96">
        <f t="shared" si="90"/>
        <v>10.930076478933788</v>
      </c>
      <c r="AJ301" s="96">
        <f t="shared" si="89"/>
        <v>27.899564901727011</v>
      </c>
      <c r="AK301" s="96">
        <f t="shared" si="87"/>
        <v>11.476220933920237</v>
      </c>
    </row>
    <row r="302" spans="1:37" x14ac:dyDescent="0.15">
      <c r="A302" s="10">
        <f>A300+1</f>
        <v>2026</v>
      </c>
      <c r="C302" s="10">
        <v>20.2</v>
      </c>
      <c r="D302" s="96">
        <f>5/12*5</f>
        <v>2.0833333333333335</v>
      </c>
      <c r="E302" s="122">
        <f t="shared" si="80"/>
        <v>42.083333333333336</v>
      </c>
      <c r="F302" s="96">
        <f t="shared" si="83"/>
        <v>1.666666666666667</v>
      </c>
      <c r="G302" s="96">
        <f t="shared" si="84"/>
        <v>150.83333333333334</v>
      </c>
      <c r="H302" s="122">
        <f t="shared" si="85"/>
        <v>45.583333333333336</v>
      </c>
      <c r="I302" s="94">
        <f>'Modell During mining'!$G296/1000000</f>
        <v>1.5299826666666665</v>
      </c>
      <c r="J302" s="94">
        <f>'Modell During mining'!$D296</f>
        <v>8.237483300464405E-4</v>
      </c>
      <c r="K302" s="93">
        <v>0</v>
      </c>
      <c r="L302" s="93">
        <v>0.05</v>
      </c>
      <c r="M302" s="93">
        <v>0</v>
      </c>
      <c r="N302" s="93">
        <v>0.05</v>
      </c>
      <c r="O302" s="93">
        <v>1.26</v>
      </c>
      <c r="P302" s="93">
        <v>4.5999999999999996</v>
      </c>
      <c r="Q302" s="93">
        <v>0</v>
      </c>
      <c r="R302" s="93">
        <v>0</v>
      </c>
      <c r="S302" s="93">
        <v>0.36</v>
      </c>
      <c r="T302" s="98">
        <f t="shared" si="88"/>
        <v>9.7041183061562979</v>
      </c>
      <c r="U302" s="93">
        <v>25.21</v>
      </c>
      <c r="V302" s="98">
        <f t="shared" si="88"/>
        <v>9.7041183061562979</v>
      </c>
      <c r="W302" s="93">
        <v>21.42</v>
      </c>
      <c r="X302" s="98">
        <f t="shared" si="88"/>
        <v>9.7041183061562979</v>
      </c>
      <c r="Y302" s="93">
        <v>0.11</v>
      </c>
      <c r="Z302" s="98">
        <f t="shared" si="88"/>
        <v>9.7041183061562979</v>
      </c>
      <c r="AA302" s="93">
        <v>5.8</v>
      </c>
      <c r="AB302" s="98">
        <f t="shared" si="88"/>
        <v>9.7041183061562979</v>
      </c>
      <c r="AC302" s="93">
        <v>1.7</v>
      </c>
      <c r="AD302" s="93">
        <v>2.5</v>
      </c>
      <c r="AE302" s="93">
        <v>1.84</v>
      </c>
      <c r="AF302" s="96">
        <f t="shared" si="86"/>
        <v>9.7041183061562979</v>
      </c>
      <c r="AG302" s="10">
        <f t="shared" si="81"/>
        <v>7.97</v>
      </c>
      <c r="AH302" s="95">
        <f t="shared" si="82"/>
        <v>2.7899826666666665</v>
      </c>
      <c r="AI302" s="96">
        <f t="shared" si="90"/>
        <v>9.7041183061562979</v>
      </c>
      <c r="AJ302" s="96">
        <f t="shared" si="89"/>
        <v>25.817368255199675</v>
      </c>
      <c r="AK302" s="96">
        <f t="shared" si="87"/>
        <v>10.222705660838155</v>
      </c>
    </row>
    <row r="303" spans="1:37" x14ac:dyDescent="0.15">
      <c r="A303" s="10">
        <f>A302+0.5</f>
        <v>2026.5</v>
      </c>
      <c r="C303" s="10">
        <v>20.2</v>
      </c>
      <c r="D303" s="96">
        <f>5.5/12*7</f>
        <v>3.208333333333333</v>
      </c>
      <c r="E303" s="122">
        <f t="shared" si="80"/>
        <v>64.808333333333323</v>
      </c>
      <c r="F303" s="96">
        <f t="shared" si="83"/>
        <v>2.5666666666666664</v>
      </c>
      <c r="G303" s="96">
        <f t="shared" si="84"/>
        <v>232.2833333333333</v>
      </c>
      <c r="H303" s="122">
        <f t="shared" si="85"/>
        <v>70.198333333333323</v>
      </c>
      <c r="I303" s="94">
        <f>'Modell During mining'!$G297/1000000</f>
        <v>2.2373624000000008</v>
      </c>
      <c r="J303" s="94">
        <f>'Modell During mining'!$D297</f>
        <v>3.7315604805015008</v>
      </c>
      <c r="K303" s="93">
        <v>0.95</v>
      </c>
      <c r="L303" s="93">
        <v>0.05</v>
      </c>
      <c r="M303" s="93">
        <v>0.31</v>
      </c>
      <c r="N303" s="93">
        <v>0.05</v>
      </c>
      <c r="O303" s="93">
        <v>1.26</v>
      </c>
      <c r="P303" s="93">
        <v>4.5999999999999996</v>
      </c>
      <c r="Q303" s="93">
        <v>1.6</v>
      </c>
      <c r="R303" s="93">
        <v>0</v>
      </c>
      <c r="S303" s="93">
        <v>0.36</v>
      </c>
      <c r="T303" s="98">
        <f t="shared" si="88"/>
        <v>10.610924066555759</v>
      </c>
      <c r="U303" s="93">
        <v>25.21</v>
      </c>
      <c r="V303" s="98">
        <f t="shared" si="88"/>
        <v>10.610924066555759</v>
      </c>
      <c r="W303" s="93">
        <v>21.42</v>
      </c>
      <c r="X303" s="98">
        <f t="shared" si="88"/>
        <v>10.610924066555759</v>
      </c>
      <c r="Y303" s="93">
        <v>0.11</v>
      </c>
      <c r="Z303" s="98">
        <f t="shared" si="88"/>
        <v>10.610924066555759</v>
      </c>
      <c r="AA303" s="93">
        <v>5.8</v>
      </c>
      <c r="AB303" s="98">
        <f t="shared" si="88"/>
        <v>10.610924066555759</v>
      </c>
      <c r="AC303" s="93">
        <v>1.7</v>
      </c>
      <c r="AD303" s="98">
        <f>$AI302</f>
        <v>9.7041183061562979</v>
      </c>
      <c r="AE303" s="93">
        <v>1.84</v>
      </c>
      <c r="AF303" s="96">
        <f t="shared" si="86"/>
        <v>10.610924066555759</v>
      </c>
      <c r="AG303" s="10">
        <f t="shared" si="81"/>
        <v>7.97</v>
      </c>
      <c r="AH303" s="95">
        <f t="shared" si="82"/>
        <v>6.3573624000000013</v>
      </c>
      <c r="AI303" s="96">
        <f t="shared" si="90"/>
        <v>10.610924066555759</v>
      </c>
      <c r="AJ303" s="96">
        <f t="shared" si="89"/>
        <v>27.159476929733039</v>
      </c>
      <c r="AK303" s="96">
        <f t="shared" si="87"/>
        <v>11.143521170198245</v>
      </c>
    </row>
    <row r="304" spans="1:37" x14ac:dyDescent="0.15">
      <c r="A304" s="10">
        <f>A302+1</f>
        <v>2027</v>
      </c>
      <c r="C304" s="10">
        <v>20.2</v>
      </c>
      <c r="D304" s="96">
        <f>5/12*5</f>
        <v>2.0833333333333335</v>
      </c>
      <c r="E304" s="122">
        <f t="shared" si="80"/>
        <v>42.083333333333336</v>
      </c>
      <c r="F304" s="96">
        <f t="shared" si="83"/>
        <v>1.666666666666667</v>
      </c>
      <c r="G304" s="96">
        <f t="shared" si="84"/>
        <v>150.83333333333334</v>
      </c>
      <c r="H304" s="122">
        <f t="shared" si="85"/>
        <v>45.583333333333336</v>
      </c>
      <c r="I304" s="94">
        <f>'Modell During mining'!$G298/1000000</f>
        <v>1.5981159999999999</v>
      </c>
      <c r="J304" s="94">
        <f>'Modell During mining'!$D298</f>
        <v>8.2870454960716239E-4</v>
      </c>
      <c r="K304" s="93">
        <v>0</v>
      </c>
      <c r="L304" s="93">
        <v>0.05</v>
      </c>
      <c r="M304" s="93">
        <v>0</v>
      </c>
      <c r="N304" s="93">
        <v>0.05</v>
      </c>
      <c r="O304" s="93">
        <v>1.26</v>
      </c>
      <c r="P304" s="93">
        <v>4.5999999999999996</v>
      </c>
      <c r="Q304" s="93">
        <v>0</v>
      </c>
      <c r="R304" s="93">
        <v>0</v>
      </c>
      <c r="S304" s="93">
        <v>0.36</v>
      </c>
      <c r="T304" s="98">
        <f t="shared" si="88"/>
        <v>9.4636565380100528</v>
      </c>
      <c r="U304" s="93">
        <v>25.21</v>
      </c>
      <c r="V304" s="98">
        <f t="shared" si="88"/>
        <v>9.4636565380100528</v>
      </c>
      <c r="W304" s="93">
        <v>21.42</v>
      </c>
      <c r="X304" s="98">
        <f t="shared" si="88"/>
        <v>9.4636565380100528</v>
      </c>
      <c r="Y304" s="93">
        <v>0.11</v>
      </c>
      <c r="Z304" s="98">
        <f t="shared" si="88"/>
        <v>9.4636565380100528</v>
      </c>
      <c r="AA304" s="93">
        <v>5.8</v>
      </c>
      <c r="AB304" s="98">
        <f t="shared" si="88"/>
        <v>9.4636565380100528</v>
      </c>
      <c r="AC304" s="93">
        <v>1.7</v>
      </c>
      <c r="AD304" s="93">
        <v>2.5</v>
      </c>
      <c r="AE304" s="93">
        <v>1.84</v>
      </c>
      <c r="AF304" s="96">
        <f t="shared" si="86"/>
        <v>9.4636565380100528</v>
      </c>
      <c r="AG304" s="10">
        <f t="shared" si="81"/>
        <v>7.97</v>
      </c>
      <c r="AH304" s="95">
        <f t="shared" si="82"/>
        <v>2.8581159999999999</v>
      </c>
      <c r="AI304" s="96">
        <f t="shared" si="90"/>
        <v>9.4636565380100528</v>
      </c>
      <c r="AJ304" s="96">
        <f t="shared" si="89"/>
        <v>25.236272541361668</v>
      </c>
      <c r="AK304" s="96">
        <f t="shared" si="87"/>
        <v>9.9712809611064248</v>
      </c>
    </row>
    <row r="305" spans="1:37" x14ac:dyDescent="0.15">
      <c r="A305" s="10">
        <f>A304+0.5</f>
        <v>2027.5</v>
      </c>
      <c r="C305" s="10">
        <v>20.2</v>
      </c>
      <c r="D305" s="96">
        <f>5.5/12*7</f>
        <v>3.208333333333333</v>
      </c>
      <c r="E305" s="122">
        <f t="shared" si="80"/>
        <v>64.808333333333323</v>
      </c>
      <c r="F305" s="96">
        <f t="shared" si="83"/>
        <v>2.5666666666666664</v>
      </c>
      <c r="G305" s="96">
        <f t="shared" si="84"/>
        <v>232.2833333333333</v>
      </c>
      <c r="H305" s="122">
        <f t="shared" si="85"/>
        <v>70.198333333333323</v>
      </c>
      <c r="I305" s="94">
        <f>'Modell During mining'!$G299/1000000</f>
        <v>2.3390562666666677</v>
      </c>
      <c r="J305" s="94">
        <f>'Modell During mining'!$D299</f>
        <v>3.5865863491270122</v>
      </c>
      <c r="K305" s="93">
        <v>0.95</v>
      </c>
      <c r="L305" s="93">
        <v>0.05</v>
      </c>
      <c r="M305" s="93">
        <v>0.31</v>
      </c>
      <c r="N305" s="93">
        <v>0.05</v>
      </c>
      <c r="O305" s="93">
        <v>1.26</v>
      </c>
      <c r="P305" s="93">
        <v>4.5999999999999996</v>
      </c>
      <c r="Q305" s="93">
        <v>1.6</v>
      </c>
      <c r="R305" s="93">
        <v>0</v>
      </c>
      <c r="S305" s="93">
        <v>0.36</v>
      </c>
      <c r="T305" s="98">
        <f t="shared" si="88"/>
        <v>10.311443280984646</v>
      </c>
      <c r="U305" s="93">
        <v>25.21</v>
      </c>
      <c r="V305" s="98">
        <f t="shared" si="88"/>
        <v>10.311443280984646</v>
      </c>
      <c r="W305" s="93">
        <v>21.42</v>
      </c>
      <c r="X305" s="98">
        <f t="shared" si="88"/>
        <v>10.311443280984646</v>
      </c>
      <c r="Y305" s="93">
        <v>0.11</v>
      </c>
      <c r="Z305" s="98">
        <f t="shared" si="88"/>
        <v>10.311443280984646</v>
      </c>
      <c r="AA305" s="93">
        <v>5.8</v>
      </c>
      <c r="AB305" s="98">
        <f t="shared" si="88"/>
        <v>10.311443280984646</v>
      </c>
      <c r="AC305" s="93">
        <v>1.7</v>
      </c>
      <c r="AD305" s="98">
        <f>$AI304</f>
        <v>9.4636565380100528</v>
      </c>
      <c r="AE305" s="93">
        <v>1.84</v>
      </c>
      <c r="AF305" s="96">
        <f t="shared" si="86"/>
        <v>10.311443280984646</v>
      </c>
      <c r="AG305" s="10">
        <f t="shared" si="81"/>
        <v>7.97</v>
      </c>
      <c r="AH305" s="95">
        <f t="shared" si="82"/>
        <v>6.4590562666666678</v>
      </c>
      <c r="AI305" s="96">
        <f t="shared" si="90"/>
        <v>10.311443280984646</v>
      </c>
      <c r="AJ305" s="96">
        <f t="shared" si="89"/>
        <v>26.462496016863337</v>
      </c>
      <c r="AK305" s="96">
        <f t="shared" si="87"/>
        <v>10.831247277081893</v>
      </c>
    </row>
    <row r="306" spans="1:37" x14ac:dyDescent="0.15">
      <c r="A306" s="10">
        <f>A304+1</f>
        <v>2028</v>
      </c>
      <c r="C306" s="10">
        <v>20.2</v>
      </c>
      <c r="D306" s="96">
        <f>5/12*5</f>
        <v>2.0833333333333335</v>
      </c>
      <c r="E306" s="122">
        <f t="shared" si="80"/>
        <v>42.083333333333336</v>
      </c>
      <c r="F306" s="96">
        <f t="shared" si="83"/>
        <v>1.666666666666667</v>
      </c>
      <c r="G306" s="96">
        <f t="shared" si="84"/>
        <v>150.83333333333334</v>
      </c>
      <c r="H306" s="122">
        <f t="shared" si="85"/>
        <v>45.583333333333336</v>
      </c>
      <c r="I306" s="94">
        <f>'Modell During mining'!$G300/1000000</f>
        <v>1.666249333333333</v>
      </c>
      <c r="J306" s="94">
        <f>'Modell During mining'!$D300</f>
        <v>8.3325544716396978E-4</v>
      </c>
      <c r="K306" s="93">
        <v>0</v>
      </c>
      <c r="L306" s="93">
        <v>0.05</v>
      </c>
      <c r="M306" s="93">
        <v>0</v>
      </c>
      <c r="N306" s="93">
        <v>0.05</v>
      </c>
      <c r="O306" s="93">
        <v>1.26</v>
      </c>
      <c r="P306" s="93">
        <v>4.5999999999999996</v>
      </c>
      <c r="Q306" s="93">
        <v>0</v>
      </c>
      <c r="R306" s="93">
        <v>0</v>
      </c>
      <c r="S306" s="93">
        <v>0.36</v>
      </c>
      <c r="T306" s="98">
        <f t="shared" si="88"/>
        <v>9.2355534777555093</v>
      </c>
      <c r="U306" s="93">
        <v>25.21</v>
      </c>
      <c r="V306" s="98">
        <f t="shared" si="88"/>
        <v>9.2355534777555093</v>
      </c>
      <c r="W306" s="93">
        <v>21.42</v>
      </c>
      <c r="X306" s="98">
        <f t="shared" si="88"/>
        <v>9.2355534777555093</v>
      </c>
      <c r="Y306" s="93">
        <v>0.11</v>
      </c>
      <c r="Z306" s="98">
        <f t="shared" si="88"/>
        <v>9.2355534777555093</v>
      </c>
      <c r="AA306" s="93">
        <v>5.8</v>
      </c>
      <c r="AB306" s="98">
        <f t="shared" si="88"/>
        <v>9.2355534777555093</v>
      </c>
      <c r="AC306" s="93">
        <v>1.7</v>
      </c>
      <c r="AD306" s="93">
        <v>2.5</v>
      </c>
      <c r="AE306" s="93">
        <v>1.84</v>
      </c>
      <c r="AF306" s="96">
        <f t="shared" si="86"/>
        <v>9.2355534777555093</v>
      </c>
      <c r="AG306" s="10">
        <f t="shared" si="81"/>
        <v>7.97</v>
      </c>
      <c r="AH306" s="95">
        <f t="shared" si="82"/>
        <v>2.9262493333333328</v>
      </c>
      <c r="AI306" s="96">
        <f t="shared" si="90"/>
        <v>9.2355534777555093</v>
      </c>
      <c r="AJ306" s="96">
        <f t="shared" si="89"/>
        <v>24.682584980398314</v>
      </c>
      <c r="AK306" s="96">
        <f t="shared" si="87"/>
        <v>9.7326993192198774</v>
      </c>
    </row>
    <row r="307" spans="1:37" x14ac:dyDescent="0.15">
      <c r="A307" s="10">
        <f>A306+0.5</f>
        <v>2028.5</v>
      </c>
      <c r="C307" s="10">
        <v>20.2</v>
      </c>
      <c r="D307" s="96">
        <f>5.5/12*7</f>
        <v>3.208333333333333</v>
      </c>
      <c r="E307" s="122">
        <f t="shared" si="80"/>
        <v>64.808333333333323</v>
      </c>
      <c r="F307" s="96">
        <f t="shared" si="83"/>
        <v>2.5666666666666664</v>
      </c>
      <c r="G307" s="96">
        <f t="shared" si="84"/>
        <v>232.2833333333333</v>
      </c>
      <c r="H307" s="122">
        <f t="shared" si="85"/>
        <v>70.198333333333323</v>
      </c>
      <c r="I307" s="94">
        <f>'Modell During mining'!$G301/1000000</f>
        <v>2.4407501333333341</v>
      </c>
      <c r="J307" s="94">
        <f>'Modell During mining'!$D301</f>
        <v>3.4536929135884189</v>
      </c>
      <c r="K307" s="93">
        <v>0.95</v>
      </c>
      <c r="L307" s="93">
        <v>0.05</v>
      </c>
      <c r="M307" s="93">
        <v>0.31</v>
      </c>
      <c r="N307" s="93">
        <v>0.05</v>
      </c>
      <c r="O307" s="93">
        <v>1.26</v>
      </c>
      <c r="P307" s="93">
        <v>4.5999999999999996</v>
      </c>
      <c r="Q307" s="93">
        <v>1.6</v>
      </c>
      <c r="R307" s="93">
        <v>0</v>
      </c>
      <c r="S307" s="93">
        <v>0.36</v>
      </c>
      <c r="T307" s="98">
        <f t="shared" si="88"/>
        <v>10.028499262412661</v>
      </c>
      <c r="U307" s="93">
        <v>25.21</v>
      </c>
      <c r="V307" s="98">
        <f t="shared" si="88"/>
        <v>10.028499262412661</v>
      </c>
      <c r="W307" s="93">
        <v>21.42</v>
      </c>
      <c r="X307" s="98">
        <f t="shared" si="88"/>
        <v>10.028499262412661</v>
      </c>
      <c r="Y307" s="93">
        <v>0.11</v>
      </c>
      <c r="Z307" s="98">
        <f t="shared" si="88"/>
        <v>10.028499262412661</v>
      </c>
      <c r="AA307" s="93">
        <v>5.8</v>
      </c>
      <c r="AB307" s="98">
        <f t="shared" si="88"/>
        <v>10.028499262412661</v>
      </c>
      <c r="AC307" s="93">
        <v>1.7</v>
      </c>
      <c r="AD307" s="98">
        <f>$AI306</f>
        <v>9.2355534777555093</v>
      </c>
      <c r="AE307" s="93">
        <v>1.84</v>
      </c>
      <c r="AF307" s="96">
        <f t="shared" si="86"/>
        <v>10.028499262412661</v>
      </c>
      <c r="AG307" s="10">
        <f t="shared" si="81"/>
        <v>7.97</v>
      </c>
      <c r="AH307" s="95">
        <f t="shared" si="82"/>
        <v>6.5607501333333342</v>
      </c>
      <c r="AI307" s="96">
        <f t="shared" si="90"/>
        <v>10.028499262412661</v>
      </c>
      <c r="AJ307" s="96">
        <f t="shared" si="89"/>
        <v>25.80341346592121</v>
      </c>
      <c r="AK307" s="96">
        <f t="shared" si="87"/>
        <v>10.536197650571555</v>
      </c>
    </row>
    <row r="308" spans="1:37" x14ac:dyDescent="0.15">
      <c r="A308" s="10">
        <f>A306+1</f>
        <v>2029</v>
      </c>
      <c r="C308" s="10">
        <v>20.2</v>
      </c>
      <c r="D308" s="96">
        <f>5/12*5</f>
        <v>2.0833333333333335</v>
      </c>
      <c r="E308" s="122">
        <f t="shared" si="80"/>
        <v>42.083333333333336</v>
      </c>
      <c r="F308" s="96">
        <f t="shared" si="83"/>
        <v>1.666666666666667</v>
      </c>
      <c r="G308" s="96">
        <f t="shared" si="84"/>
        <v>150.83333333333334</v>
      </c>
      <c r="H308" s="122">
        <f t="shared" si="85"/>
        <v>45.583333333333336</v>
      </c>
      <c r="I308" s="94">
        <f>'Modell During mining'!$G302/1000000</f>
        <v>1.7343826666666662</v>
      </c>
      <c r="J308" s="94">
        <f>'Modell During mining'!$D302</f>
        <v>8.3744879061675736E-4</v>
      </c>
      <c r="K308" s="93">
        <v>0</v>
      </c>
      <c r="L308" s="93">
        <v>0.05</v>
      </c>
      <c r="M308" s="93">
        <v>0</v>
      </c>
      <c r="N308" s="93">
        <v>0.05</v>
      </c>
      <c r="O308" s="93">
        <v>1.26</v>
      </c>
      <c r="P308" s="93">
        <v>4.5999999999999996</v>
      </c>
      <c r="Q308" s="93">
        <v>0</v>
      </c>
      <c r="R308" s="93">
        <v>0</v>
      </c>
      <c r="S308" s="93">
        <v>0.36</v>
      </c>
      <c r="T308" s="98">
        <f t="shared" si="88"/>
        <v>9.0185991396920322</v>
      </c>
      <c r="U308" s="93">
        <v>25.21</v>
      </c>
      <c r="V308" s="98">
        <f t="shared" si="88"/>
        <v>9.0185991396920322</v>
      </c>
      <c r="W308" s="93">
        <v>21.42</v>
      </c>
      <c r="X308" s="98">
        <f t="shared" si="88"/>
        <v>9.0185991396920322</v>
      </c>
      <c r="Y308" s="93">
        <v>0.11</v>
      </c>
      <c r="Z308" s="98">
        <f t="shared" si="88"/>
        <v>9.0185991396920322</v>
      </c>
      <c r="AA308" s="93">
        <v>5.8</v>
      </c>
      <c r="AB308" s="98">
        <f t="shared" si="88"/>
        <v>9.0185991396920322</v>
      </c>
      <c r="AC308" s="93">
        <v>1.7</v>
      </c>
      <c r="AD308" s="93">
        <v>2.5</v>
      </c>
      <c r="AE308" s="93">
        <v>1.84</v>
      </c>
      <c r="AF308" s="96">
        <f t="shared" si="86"/>
        <v>9.0185991396920322</v>
      </c>
      <c r="AG308" s="10">
        <f t="shared" si="81"/>
        <v>7.97</v>
      </c>
      <c r="AH308" s="95">
        <f t="shared" si="82"/>
        <v>2.9943826666666662</v>
      </c>
      <c r="AI308" s="96">
        <f t="shared" si="90"/>
        <v>9.0185991396920322</v>
      </c>
      <c r="AJ308" s="96">
        <f t="shared" si="89"/>
        <v>24.154081602235923</v>
      </c>
      <c r="AK308" s="96">
        <f t="shared" si="87"/>
        <v>9.5057181154980395</v>
      </c>
    </row>
    <row r="309" spans="1:37" x14ac:dyDescent="0.15">
      <c r="A309" s="10">
        <f>A308+0.5</f>
        <v>2029.5</v>
      </c>
      <c r="C309" s="10">
        <v>20.2</v>
      </c>
      <c r="D309" s="96">
        <f>5.5/12*7</f>
        <v>3.208333333333333</v>
      </c>
      <c r="E309" s="122">
        <f t="shared" si="80"/>
        <v>64.808333333333323</v>
      </c>
      <c r="F309" s="96">
        <f t="shared" si="83"/>
        <v>2.5666666666666664</v>
      </c>
      <c r="G309" s="96">
        <f t="shared" si="84"/>
        <v>232.2833333333333</v>
      </c>
      <c r="H309" s="122">
        <f t="shared" si="85"/>
        <v>70.198333333333323</v>
      </c>
      <c r="I309" s="94">
        <f>'Modell During mining'!$G303/1000000</f>
        <v>2.5424440000000001</v>
      </c>
      <c r="J309" s="94">
        <f>'Modell During mining'!$D303</f>
        <v>3.3314305458841935</v>
      </c>
      <c r="K309" s="93">
        <v>0.95</v>
      </c>
      <c r="L309" s="93">
        <v>0.05</v>
      </c>
      <c r="M309" s="93">
        <v>0.31</v>
      </c>
      <c r="N309" s="93">
        <v>0.05</v>
      </c>
      <c r="O309" s="93">
        <v>1.26</v>
      </c>
      <c r="P309" s="93">
        <v>4.5999999999999996</v>
      </c>
      <c r="Q309" s="93">
        <v>1.6</v>
      </c>
      <c r="R309" s="93">
        <v>0</v>
      </c>
      <c r="S309" s="93">
        <v>0.36</v>
      </c>
      <c r="T309" s="98">
        <f t="shared" si="88"/>
        <v>9.7606554533585737</v>
      </c>
      <c r="U309" s="93">
        <v>25.21</v>
      </c>
      <c r="V309" s="98">
        <f t="shared" si="88"/>
        <v>9.7606554533585737</v>
      </c>
      <c r="W309" s="93">
        <v>21.42</v>
      </c>
      <c r="X309" s="98">
        <f t="shared" si="88"/>
        <v>9.7606554533585737</v>
      </c>
      <c r="Y309" s="93">
        <v>0.11</v>
      </c>
      <c r="Z309" s="98">
        <f t="shared" si="88"/>
        <v>9.7606554533585737</v>
      </c>
      <c r="AA309" s="93">
        <v>5.8</v>
      </c>
      <c r="AB309" s="98">
        <f t="shared" si="88"/>
        <v>9.7606554533585737</v>
      </c>
      <c r="AC309" s="93">
        <v>1.7</v>
      </c>
      <c r="AD309" s="98">
        <f>$AI308</f>
        <v>9.0185991396920322</v>
      </c>
      <c r="AE309" s="93">
        <v>1.84</v>
      </c>
      <c r="AF309" s="96">
        <f t="shared" si="86"/>
        <v>9.7606554533585737</v>
      </c>
      <c r="AG309" s="10">
        <f t="shared" si="81"/>
        <v>7.97</v>
      </c>
      <c r="AH309" s="95">
        <f t="shared" si="82"/>
        <v>6.6624440000000007</v>
      </c>
      <c r="AI309" s="96">
        <f t="shared" si="90"/>
        <v>9.7606554533585737</v>
      </c>
      <c r="AJ309" s="96">
        <f t="shared" si="89"/>
        <v>25.178967262851906</v>
      </c>
      <c r="AK309" s="96">
        <f t="shared" si="87"/>
        <v>10.256876982859509</v>
      </c>
    </row>
    <row r="310" spans="1:37" x14ac:dyDescent="0.15">
      <c r="A310" s="10">
        <f>A308+1</f>
        <v>2030</v>
      </c>
      <c r="C310" s="10">
        <v>20.2</v>
      </c>
      <c r="D310" s="96">
        <f>5/12*5</f>
        <v>2.0833333333333335</v>
      </c>
      <c r="E310" s="122">
        <f t="shared" si="80"/>
        <v>42.083333333333336</v>
      </c>
      <c r="F310" s="96">
        <f t="shared" si="83"/>
        <v>1.666666666666667</v>
      </c>
      <c r="G310" s="96">
        <f t="shared" si="84"/>
        <v>150.83333333333334</v>
      </c>
      <c r="H310" s="122">
        <f t="shared" si="85"/>
        <v>45.583333333333336</v>
      </c>
      <c r="I310" s="94">
        <f>'Modell During mining'!$G304/1000000</f>
        <v>1.802516</v>
      </c>
      <c r="J310" s="94">
        <f>'Modell During mining'!$D304</f>
        <v>8.4132512554673585E-4</v>
      </c>
      <c r="K310" s="93">
        <v>0</v>
      </c>
      <c r="L310" s="93">
        <v>0.05</v>
      </c>
      <c r="M310" s="93">
        <v>0</v>
      </c>
      <c r="N310" s="93">
        <v>0.05</v>
      </c>
      <c r="O310" s="93">
        <v>1.26</v>
      </c>
      <c r="P310" s="93">
        <v>4.5999999999999996</v>
      </c>
      <c r="Q310" s="93">
        <v>0</v>
      </c>
      <c r="R310" s="93">
        <v>0</v>
      </c>
      <c r="S310" s="93">
        <v>0.36</v>
      </c>
      <c r="T310" s="98">
        <f t="shared" si="88"/>
        <v>8.8119676677170897</v>
      </c>
      <c r="U310" s="93">
        <v>25.21</v>
      </c>
      <c r="V310" s="98">
        <f t="shared" si="88"/>
        <v>8.8119676677170897</v>
      </c>
      <c r="W310" s="93">
        <v>21.42</v>
      </c>
      <c r="X310" s="98">
        <f t="shared" si="88"/>
        <v>8.8119676677170897</v>
      </c>
      <c r="Y310" s="93">
        <v>0.11</v>
      </c>
      <c r="Z310" s="98">
        <f t="shared" si="88"/>
        <v>8.8119676677170897</v>
      </c>
      <c r="AA310" s="93">
        <v>5.8</v>
      </c>
      <c r="AB310" s="98">
        <f t="shared" si="88"/>
        <v>8.8119676677170897</v>
      </c>
      <c r="AC310" s="93">
        <v>1.7</v>
      </c>
      <c r="AD310" s="93">
        <v>2.5</v>
      </c>
      <c r="AE310" s="93">
        <v>1.84</v>
      </c>
      <c r="AF310" s="96">
        <f t="shared" si="86"/>
        <v>8.8119676677170897</v>
      </c>
      <c r="AG310" s="10">
        <f t="shared" si="81"/>
        <v>7.97</v>
      </c>
      <c r="AH310" s="95">
        <f t="shared" si="82"/>
        <v>3.062516</v>
      </c>
      <c r="AI310" s="96">
        <f t="shared" si="90"/>
        <v>8.8119676677170897</v>
      </c>
      <c r="AJ310" s="96">
        <f t="shared" si="89"/>
        <v>23.64901355921177</v>
      </c>
      <c r="AK310" s="96">
        <f t="shared" si="87"/>
        <v>9.2894817883628971</v>
      </c>
    </row>
    <row r="311" spans="1:37" x14ac:dyDescent="0.15">
      <c r="A311" s="10">
        <f>A310+0.5</f>
        <v>2030.5</v>
      </c>
      <c r="AI311" s="96">
        <f t="shared" si="90"/>
        <v>9.5067185559231948</v>
      </c>
      <c r="AJ311" s="96">
        <f t="shared" si="89"/>
        <v>24.586350167456889</v>
      </c>
      <c r="AK311" s="96">
        <f t="shared" si="87"/>
        <v>9.9920400330760017</v>
      </c>
    </row>
    <row r="318" spans="1:37" x14ac:dyDescent="0.15">
      <c r="A318" s="10">
        <f>7/12</f>
        <v>0.58333333333333337</v>
      </c>
      <c r="B318" s="10" t="s">
        <v>1086</v>
      </c>
      <c r="C318" s="11" t="s">
        <v>1126</v>
      </c>
      <c r="D318" s="11" t="s">
        <v>1126</v>
      </c>
      <c r="E318" s="11" t="s">
        <v>1126</v>
      </c>
      <c r="F318" s="11"/>
      <c r="G318" s="11" t="s">
        <v>1126</v>
      </c>
      <c r="H318" s="11" t="s">
        <v>1126</v>
      </c>
      <c r="I318" s="11" t="s">
        <v>1126</v>
      </c>
      <c r="J318" s="11" t="s">
        <v>1126</v>
      </c>
      <c r="K318" s="11" t="s">
        <v>1126</v>
      </c>
      <c r="L318" s="11" t="s">
        <v>1126</v>
      </c>
      <c r="M318" s="11" t="s">
        <v>1126</v>
      </c>
      <c r="N318" s="11" t="s">
        <v>1126</v>
      </c>
      <c r="O318" s="11" t="s">
        <v>1126</v>
      </c>
      <c r="P318" s="11" t="s">
        <v>1126</v>
      </c>
      <c r="Q318" s="11" t="s">
        <v>1126</v>
      </c>
      <c r="R318" s="11" t="s">
        <v>1126</v>
      </c>
      <c r="S318" s="11" t="s">
        <v>1126</v>
      </c>
      <c r="T318" s="11" t="s">
        <v>1126</v>
      </c>
      <c r="U318" s="11" t="s">
        <v>1126</v>
      </c>
      <c r="V318" s="11" t="s">
        <v>1126</v>
      </c>
      <c r="W318" s="11" t="s">
        <v>1126</v>
      </c>
      <c r="X318" s="11" t="s">
        <v>1126</v>
      </c>
      <c r="Y318" s="11" t="s">
        <v>1126</v>
      </c>
      <c r="Z318" s="11" t="s">
        <v>1126</v>
      </c>
      <c r="AA318" s="11" t="s">
        <v>1126</v>
      </c>
      <c r="AB318" s="11" t="s">
        <v>1126</v>
      </c>
      <c r="AC318" s="11" t="s">
        <v>1126</v>
      </c>
      <c r="AD318" s="11" t="s">
        <v>1126</v>
      </c>
      <c r="AE318" s="11" t="s">
        <v>1126</v>
      </c>
      <c r="AF318" s="11" t="s">
        <v>1126</v>
      </c>
      <c r="AG318" s="11" t="s">
        <v>1126</v>
      </c>
      <c r="AH318" s="11" t="s">
        <v>1126</v>
      </c>
      <c r="AI318" s="11" t="s">
        <v>1126</v>
      </c>
      <c r="AJ318" s="11" t="s">
        <v>1126</v>
      </c>
      <c r="AK318" s="11" t="s">
        <v>1126</v>
      </c>
    </row>
    <row r="319" spans="1:37" x14ac:dyDescent="0.15">
      <c r="A319">
        <f>5/12</f>
        <v>0.41666666666666669</v>
      </c>
      <c r="B319" s="10" t="s">
        <v>1087</v>
      </c>
      <c r="C319" s="118" t="s">
        <v>1174</v>
      </c>
      <c r="E319" s="10">
        <v>269333</v>
      </c>
      <c r="F319" s="10" t="s">
        <v>1456</v>
      </c>
      <c r="G319" s="10">
        <v>1653906</v>
      </c>
      <c r="H319" s="10">
        <v>260000</v>
      </c>
      <c r="L319" s="96"/>
      <c r="N319" s="96"/>
      <c r="P319" s="96"/>
      <c r="R319" s="96"/>
      <c r="S319" s="10"/>
      <c r="T319" s="96"/>
      <c r="V319" s="96"/>
      <c r="X319" s="96"/>
      <c r="Z319" s="96"/>
      <c r="AB319" s="96"/>
      <c r="AD319" s="96"/>
      <c r="AF319" s="96"/>
      <c r="AI319" t="s">
        <v>1443</v>
      </c>
      <c r="AJ319" t="s">
        <v>1444</v>
      </c>
      <c r="AK319" t="s">
        <v>1445</v>
      </c>
    </row>
    <row r="320" spans="1:37" ht="28" customHeight="1" x14ac:dyDescent="0.15">
      <c r="B320" s="10" t="s">
        <v>1058</v>
      </c>
      <c r="C320" s="10" t="s">
        <v>1066</v>
      </c>
      <c r="D320" s="97" t="s">
        <v>1056</v>
      </c>
      <c r="E320" s="97" t="s">
        <v>1439</v>
      </c>
      <c r="F320" s="97" t="s">
        <v>1056</v>
      </c>
      <c r="G320" s="97" t="s">
        <v>1427</v>
      </c>
      <c r="H320" s="97" t="s">
        <v>1428</v>
      </c>
      <c r="I320" s="85" t="s">
        <v>918</v>
      </c>
      <c r="J320" s="85" t="s">
        <v>657</v>
      </c>
      <c r="K320" s="85" t="s">
        <v>919</v>
      </c>
      <c r="L320" s="10" t="s">
        <v>634</v>
      </c>
      <c r="M320" s="85" t="s">
        <v>947</v>
      </c>
      <c r="N320" s="10" t="s">
        <v>634</v>
      </c>
      <c r="O320" s="85" t="s">
        <v>779</v>
      </c>
      <c r="P320" s="10" t="s">
        <v>634</v>
      </c>
      <c r="Q320" s="85" t="s">
        <v>780</v>
      </c>
      <c r="R320" s="10" t="s">
        <v>634</v>
      </c>
      <c r="S320" s="85" t="s">
        <v>948</v>
      </c>
      <c r="T320" s="10" t="s">
        <v>634</v>
      </c>
      <c r="U320" s="85" t="s">
        <v>949</v>
      </c>
      <c r="V320" s="10" t="s">
        <v>634</v>
      </c>
      <c r="W320" s="85" t="s">
        <v>950</v>
      </c>
      <c r="X320" s="10" t="s">
        <v>634</v>
      </c>
      <c r="Y320" s="85" t="s">
        <v>783</v>
      </c>
      <c r="Z320" s="10" t="s">
        <v>634</v>
      </c>
      <c r="AA320" s="85" t="s">
        <v>784</v>
      </c>
      <c r="AB320" s="10" t="s">
        <v>634</v>
      </c>
      <c r="AC320" s="85" t="s">
        <v>785</v>
      </c>
      <c r="AD320" s="10" t="s">
        <v>634</v>
      </c>
      <c r="AE320" s="85" t="s">
        <v>1205</v>
      </c>
      <c r="AF320" s="10" t="s">
        <v>634</v>
      </c>
      <c r="AG320" s="85" t="s">
        <v>1060</v>
      </c>
      <c r="AH320" s="85" t="s">
        <v>1061</v>
      </c>
      <c r="AI320" s="10" t="s">
        <v>1455</v>
      </c>
      <c r="AJ320" s="10" t="s">
        <v>1455</v>
      </c>
      <c r="AK320" s="10" t="s">
        <v>1455</v>
      </c>
    </row>
    <row r="321" spans="1:37" x14ac:dyDescent="0.15">
      <c r="A321" s="10">
        <v>2014.5</v>
      </c>
      <c r="B321" s="10">
        <v>0</v>
      </c>
      <c r="C321" s="10">
        <v>269333</v>
      </c>
      <c r="D321" s="95">
        <f>5*A318</f>
        <v>2.916666666666667</v>
      </c>
      <c r="E321" s="122">
        <f>C321*D321</f>
        <v>785554.58333333337</v>
      </c>
      <c r="F321" s="96">
        <f>D321*0.8</f>
        <v>2.3333333333333335</v>
      </c>
      <c r="G321" s="122">
        <f>(C321*0.4*D321+G$319*0.6*F321)</f>
        <v>2629690.2333333334</v>
      </c>
      <c r="H321" s="122">
        <f>(C321*0.4+H$319*0.6)*D321</f>
        <v>769221.83333333349</v>
      </c>
      <c r="I321" s="94">
        <f>'Modell During mining'!$G315/1000000</f>
        <v>1.0170360000000001</v>
      </c>
      <c r="J321" s="121">
        <f>'Modell During mining'!$D315</f>
        <v>102.55813953488372</v>
      </c>
      <c r="K321" s="93">
        <v>0.95</v>
      </c>
      <c r="L321" s="93">
        <v>1</v>
      </c>
      <c r="M321" s="93">
        <v>0.31</v>
      </c>
      <c r="N321" s="93">
        <v>1</v>
      </c>
      <c r="O321" s="93">
        <v>1.26</v>
      </c>
      <c r="P321" s="93">
        <v>18.8</v>
      </c>
      <c r="Q321" s="93">
        <v>1.6</v>
      </c>
      <c r="R321" s="93">
        <v>0</v>
      </c>
      <c r="S321" s="93">
        <v>0.36</v>
      </c>
      <c r="T321" s="93">
        <f>$AF321</f>
        <v>461</v>
      </c>
      <c r="U321" s="93">
        <v>25.21</v>
      </c>
      <c r="V321" s="93">
        <f>$AF321</f>
        <v>461</v>
      </c>
      <c r="W321" s="93">
        <v>21.42</v>
      </c>
      <c r="X321" s="93">
        <f>$AF321</f>
        <v>461</v>
      </c>
      <c r="Y321" s="93">
        <v>0.11</v>
      </c>
      <c r="Z321" s="93">
        <f>$AF321</f>
        <v>461</v>
      </c>
      <c r="AA321" s="93">
        <v>5.8</v>
      </c>
      <c r="AB321" s="93">
        <f>$AF321</f>
        <v>461</v>
      </c>
      <c r="AC321" s="93">
        <v>1.7</v>
      </c>
      <c r="AD321" s="93">
        <f>$AF321</f>
        <v>461</v>
      </c>
      <c r="AE321" s="93">
        <v>1.84</v>
      </c>
      <c r="AF321" s="10">
        <v>461</v>
      </c>
      <c r="AG321" s="10">
        <f>S321+Y321+AA321+AC321</f>
        <v>7.97</v>
      </c>
      <c r="AH321" s="95">
        <f>I321+K321+M321+O321+Q321</f>
        <v>5.1370360000000002</v>
      </c>
      <c r="AI321" s="10">
        <v>461</v>
      </c>
      <c r="AJ321" s="10">
        <v>461</v>
      </c>
      <c r="AK321" s="10">
        <v>461</v>
      </c>
    </row>
    <row r="322" spans="1:37" x14ac:dyDescent="0.15">
      <c r="A322" s="10">
        <v>2015</v>
      </c>
      <c r="C322" s="10">
        <v>269333</v>
      </c>
      <c r="D322" s="95">
        <f>5*A$80</f>
        <v>2.0833333333333335</v>
      </c>
      <c r="E322" s="122">
        <f t="shared" ref="E322:E352" si="91">C322*D322</f>
        <v>561110.41666666674</v>
      </c>
      <c r="F322" s="96">
        <f t="shared" ref="F322:F352" si="92">D322*0.8</f>
        <v>1.666666666666667</v>
      </c>
      <c r="G322" s="122">
        <f t="shared" ref="G322:G352" si="93">(C322*0.4*D322+G$319*0.6*F322)</f>
        <v>1878350.166666667</v>
      </c>
      <c r="H322" s="122">
        <f t="shared" ref="H322:H352" si="94">(C322*0.4+H$319*0.6)*D322</f>
        <v>549444.16666666674</v>
      </c>
      <c r="I322" s="94">
        <f>'Modell During mining'!$G316/1000000</f>
        <v>0.59130000000000005</v>
      </c>
      <c r="J322" s="121">
        <f>'Modell During mining'!$D316</f>
        <v>126</v>
      </c>
      <c r="K322" s="93">
        <v>0</v>
      </c>
      <c r="L322" s="93">
        <v>1</v>
      </c>
      <c r="M322" s="93">
        <v>0.31</v>
      </c>
      <c r="N322" s="93">
        <v>1</v>
      </c>
      <c r="O322" s="93">
        <v>1.26</v>
      </c>
      <c r="P322" s="93">
        <v>18.8</v>
      </c>
      <c r="Q322" s="93">
        <v>0</v>
      </c>
      <c r="R322" s="93">
        <v>0</v>
      </c>
      <c r="S322" s="93">
        <v>0.36</v>
      </c>
      <c r="T322" s="98">
        <f t="shared" ref="T322:AD352" si="95">$AF322</f>
        <v>216.73531161697221</v>
      </c>
      <c r="U322" s="93">
        <v>25.21</v>
      </c>
      <c r="V322" s="98">
        <f t="shared" si="95"/>
        <v>216.73531161697221</v>
      </c>
      <c r="W322" s="93">
        <v>21.42</v>
      </c>
      <c r="X322" s="98">
        <f t="shared" si="95"/>
        <v>216.73531161697221</v>
      </c>
      <c r="Y322" s="93">
        <v>0.11</v>
      </c>
      <c r="Z322" s="98">
        <f t="shared" si="95"/>
        <v>216.73531161697221</v>
      </c>
      <c r="AA322" s="93">
        <v>5.8</v>
      </c>
      <c r="AB322" s="98">
        <f t="shared" si="95"/>
        <v>216.73531161697221</v>
      </c>
      <c r="AC322" s="93">
        <v>1.7</v>
      </c>
      <c r="AD322" s="98">
        <f t="shared" si="95"/>
        <v>216.73531161697221</v>
      </c>
      <c r="AE322" s="93">
        <v>1.84</v>
      </c>
      <c r="AF322" s="98">
        <f t="shared" ref="AF322:AF352" si="96">$AI322</f>
        <v>216.73531161697221</v>
      </c>
      <c r="AG322" s="10">
        <f t="shared" ref="AG322:AG352" si="97">S322+Y322+AA322+AC322</f>
        <v>7.97</v>
      </c>
      <c r="AH322" s="95">
        <f t="shared" ref="AH322:AH352" si="98">I322+K322+M322+O322+Q322</f>
        <v>2.1612999999999998</v>
      </c>
      <c r="AI322" s="122">
        <f>(($B321/1000+E321/1000+$I321*$J321+$K321*$L321+$M321*$N321+$O321*$P321-$S321*T321)/($I321+$K321+$M321+$O321+$Q321+$I321-$S321)*$AH321+$AE321*$AF321)/($AH321+$AE321)</f>
        <v>216.73531161697221</v>
      </c>
      <c r="AJ322" s="122">
        <f t="shared" ref="AJ322:AJ353" si="99">(($B321/1000+G321/1000+$I321*$J321+$K321*$L321+$M321*$N321+$O321*$P321-$S321*U321)/($I321+$K321+$M321+$O321+$Q321+$I321-$S321)*$AH321+$AE321*$AF321)/($AH321+$AE321)</f>
        <v>471.01355231680321</v>
      </c>
      <c r="AK322" s="122">
        <f t="shared" ref="AK322:AK353" si="100">(($B321/1000+H321/1000+$I321*$J321+$K321*$L321+$M321*$N321+$O321*$P321-$S321*V321)/($I321+$K321+$M321+$O321+$Q321+$I321-$S321)*$AH321+$AE321*$AF321)/($AH321+$AE321)</f>
        <v>214.65983869215563</v>
      </c>
    </row>
    <row r="323" spans="1:37" x14ac:dyDescent="0.15">
      <c r="A323" s="10">
        <v>2015.5</v>
      </c>
      <c r="B323" s="10">
        <v>0</v>
      </c>
      <c r="C323" s="10">
        <v>269333</v>
      </c>
      <c r="D323" s="95">
        <f>5.5*A318</f>
        <v>3.2083333333333335</v>
      </c>
      <c r="E323" s="122">
        <f t="shared" si="91"/>
        <v>864110.04166666674</v>
      </c>
      <c r="F323" s="96">
        <f t="shared" si="92"/>
        <v>2.5666666666666669</v>
      </c>
      <c r="G323" s="122">
        <f t="shared" si="93"/>
        <v>2892659.2566666668</v>
      </c>
      <c r="H323" s="122">
        <f t="shared" si="94"/>
        <v>846144.01666666672</v>
      </c>
      <c r="I323" s="94">
        <f>'Modell During mining'!$G317/1000000</f>
        <v>1.1187298666666667</v>
      </c>
      <c r="J323" s="121">
        <f>'Modell During mining'!$D317</f>
        <v>103.97866675947031</v>
      </c>
      <c r="K323" s="93">
        <v>0.95</v>
      </c>
      <c r="L323" s="93">
        <v>1</v>
      </c>
      <c r="M323" s="93">
        <v>0.31</v>
      </c>
      <c r="N323" s="93">
        <v>1</v>
      </c>
      <c r="O323" s="93">
        <v>1.26</v>
      </c>
      <c r="P323" s="93">
        <v>18.8</v>
      </c>
      <c r="Q323" s="93">
        <v>1.6</v>
      </c>
      <c r="R323" s="93">
        <v>0</v>
      </c>
      <c r="S323" s="93">
        <v>0.36</v>
      </c>
      <c r="T323" s="98">
        <f t="shared" si="95"/>
        <v>230.9640929788228</v>
      </c>
      <c r="U323" s="93">
        <v>25.21</v>
      </c>
      <c r="V323" s="98">
        <f t="shared" si="95"/>
        <v>230.9640929788228</v>
      </c>
      <c r="W323" s="93">
        <v>21.42</v>
      </c>
      <c r="X323" s="98">
        <f t="shared" si="95"/>
        <v>230.9640929788228</v>
      </c>
      <c r="Y323" s="93">
        <v>0.11</v>
      </c>
      <c r="Z323" s="98">
        <f t="shared" si="95"/>
        <v>230.9640929788228</v>
      </c>
      <c r="AA323" s="93">
        <v>5.8</v>
      </c>
      <c r="AB323" s="98">
        <f t="shared" si="95"/>
        <v>230.9640929788228</v>
      </c>
      <c r="AC323" s="93">
        <v>1.7</v>
      </c>
      <c r="AD323" s="98">
        <f t="shared" si="95"/>
        <v>230.9640929788228</v>
      </c>
      <c r="AE323" s="93">
        <v>1.84</v>
      </c>
      <c r="AF323" s="98">
        <f t="shared" si="96"/>
        <v>230.9640929788228</v>
      </c>
      <c r="AG323" s="10">
        <f t="shared" si="97"/>
        <v>7.97</v>
      </c>
      <c r="AH323" s="95">
        <f t="shared" si="98"/>
        <v>5.2387298666666666</v>
      </c>
      <c r="AI323" s="122">
        <f t="shared" ref="AI323:AI353" si="101">((B322/1000+E322/1000+I322*J322+K322*L322+M322*N322+O322*P322-S322*T322)/(I322+K322+M322+O322+Q322+I322-S322)*AH322+AE322*AF322)/(AH322+AE322)</f>
        <v>230.9640929788228</v>
      </c>
      <c r="AJ323" s="122">
        <f t="shared" si="99"/>
        <v>543.90781674529717</v>
      </c>
      <c r="AK323" s="122">
        <f t="shared" si="100"/>
        <v>228.33033951492362</v>
      </c>
    </row>
    <row r="324" spans="1:37" x14ac:dyDescent="0.15">
      <c r="A324" s="10">
        <f>A322+1</f>
        <v>2016</v>
      </c>
      <c r="C324" s="10">
        <v>269333</v>
      </c>
      <c r="D324" s="95">
        <f>5*A$80</f>
        <v>2.0833333333333335</v>
      </c>
      <c r="E324" s="122">
        <f t="shared" si="91"/>
        <v>561110.41666666674</v>
      </c>
      <c r="F324" s="96">
        <f t="shared" si="92"/>
        <v>1.666666666666667</v>
      </c>
      <c r="G324" s="122">
        <f t="shared" si="93"/>
        <v>1878350.166666667</v>
      </c>
      <c r="H324" s="122">
        <f t="shared" si="94"/>
        <v>549444.16666666674</v>
      </c>
      <c r="I324" s="94">
        <f>'Modell During mining'!$G318/1000000</f>
        <v>0.65943333333333343</v>
      </c>
      <c r="J324" s="121">
        <f>'Modell During mining'!$D318</f>
        <v>126</v>
      </c>
      <c r="K324" s="93">
        <v>0</v>
      </c>
      <c r="L324" s="93">
        <v>1</v>
      </c>
      <c r="M324" s="93">
        <v>0.31</v>
      </c>
      <c r="N324" s="93">
        <v>1</v>
      </c>
      <c r="O324" s="93">
        <v>1.26</v>
      </c>
      <c r="P324" s="93">
        <v>18.8</v>
      </c>
      <c r="Q324" s="93">
        <v>0</v>
      </c>
      <c r="R324" s="93">
        <v>0</v>
      </c>
      <c r="S324" s="93">
        <v>0.36</v>
      </c>
      <c r="T324" s="98">
        <f t="shared" si="95"/>
        <v>173.83603545348484</v>
      </c>
      <c r="U324" s="93">
        <v>25.21</v>
      </c>
      <c r="V324" s="98">
        <f t="shared" si="95"/>
        <v>173.83603545348484</v>
      </c>
      <c r="W324" s="93">
        <v>21.42</v>
      </c>
      <c r="X324" s="98">
        <f t="shared" si="95"/>
        <v>173.83603545348484</v>
      </c>
      <c r="Y324" s="93">
        <v>0.11</v>
      </c>
      <c r="Z324" s="98">
        <f t="shared" si="95"/>
        <v>173.83603545348484</v>
      </c>
      <c r="AA324" s="93">
        <v>5.8</v>
      </c>
      <c r="AB324" s="98">
        <f t="shared" si="95"/>
        <v>173.83603545348484</v>
      </c>
      <c r="AC324" s="93">
        <v>1.7</v>
      </c>
      <c r="AD324" s="98">
        <f t="shared" si="95"/>
        <v>173.83603545348484</v>
      </c>
      <c r="AE324" s="93">
        <v>1.84</v>
      </c>
      <c r="AF324" s="98">
        <f t="shared" si="96"/>
        <v>173.83603545348484</v>
      </c>
      <c r="AG324" s="10">
        <f t="shared" si="97"/>
        <v>7.97</v>
      </c>
      <c r="AH324" s="95">
        <f t="shared" si="98"/>
        <v>2.2294333333333336</v>
      </c>
      <c r="AI324" s="122">
        <f t="shared" si="101"/>
        <v>173.83603545348484</v>
      </c>
      <c r="AJ324" s="122">
        <f t="shared" si="99"/>
        <v>433.29235775506817</v>
      </c>
      <c r="AK324" s="122">
        <f t="shared" si="100"/>
        <v>171.61908838431808</v>
      </c>
    </row>
    <row r="325" spans="1:37" x14ac:dyDescent="0.15">
      <c r="A325" s="10">
        <v>2016.5</v>
      </c>
      <c r="B325" s="10">
        <v>0</v>
      </c>
      <c r="C325" s="10">
        <v>269333</v>
      </c>
      <c r="D325" s="95">
        <f>6.5*A318</f>
        <v>3.791666666666667</v>
      </c>
      <c r="E325" s="122">
        <f t="shared" si="91"/>
        <v>1021220.9583333334</v>
      </c>
      <c r="F325" s="96">
        <f t="shared" si="92"/>
        <v>3.0333333333333337</v>
      </c>
      <c r="G325" s="122">
        <f t="shared" si="93"/>
        <v>3418597.3033333337</v>
      </c>
      <c r="H325" s="122">
        <f t="shared" si="94"/>
        <v>999988.38333333342</v>
      </c>
      <c r="I325" s="94">
        <f>'Modell During mining'!$G319/1000000</f>
        <v>1.2204237333333334</v>
      </c>
      <c r="J325" s="121">
        <f>'Modell During mining'!$D319</f>
        <v>105.16245832868101</v>
      </c>
      <c r="K325" s="93">
        <v>0.95</v>
      </c>
      <c r="L325" s="93">
        <v>1</v>
      </c>
      <c r="M325" s="93">
        <v>0.31</v>
      </c>
      <c r="N325" s="93">
        <v>1</v>
      </c>
      <c r="O325" s="93">
        <v>1.26</v>
      </c>
      <c r="P325" s="93">
        <v>18.8</v>
      </c>
      <c r="Q325" s="93">
        <v>1.6</v>
      </c>
      <c r="R325" s="93">
        <v>0</v>
      </c>
      <c r="S325" s="93">
        <v>0.36</v>
      </c>
      <c r="T325" s="98">
        <f t="shared" si="95"/>
        <v>209.79965092387491</v>
      </c>
      <c r="U325" s="93">
        <v>25.21</v>
      </c>
      <c r="V325" s="98">
        <f t="shared" si="95"/>
        <v>209.79965092387491</v>
      </c>
      <c r="W325" s="93">
        <v>21.42</v>
      </c>
      <c r="X325" s="98">
        <f t="shared" si="95"/>
        <v>209.79965092387491</v>
      </c>
      <c r="Y325" s="93">
        <v>0.11</v>
      </c>
      <c r="Z325" s="98">
        <f t="shared" si="95"/>
        <v>209.79965092387491</v>
      </c>
      <c r="AA325" s="93">
        <v>5.8</v>
      </c>
      <c r="AB325" s="98">
        <f t="shared" si="95"/>
        <v>209.79965092387491</v>
      </c>
      <c r="AC325" s="93">
        <v>1.7</v>
      </c>
      <c r="AD325" s="98">
        <f t="shared" si="95"/>
        <v>209.79965092387491</v>
      </c>
      <c r="AE325" s="93">
        <v>1.84</v>
      </c>
      <c r="AF325" s="98">
        <f t="shared" si="96"/>
        <v>209.79965092387491</v>
      </c>
      <c r="AG325" s="10">
        <f t="shared" si="97"/>
        <v>7.97</v>
      </c>
      <c r="AH325" s="95">
        <f t="shared" si="98"/>
        <v>5.3404237333333331</v>
      </c>
      <c r="AI325" s="122">
        <f t="shared" si="101"/>
        <v>209.79965092387491</v>
      </c>
      <c r="AJ325" s="122">
        <f t="shared" si="99"/>
        <v>506.75512083650455</v>
      </c>
      <c r="AK325" s="122">
        <f t="shared" si="100"/>
        <v>207.27229795844212</v>
      </c>
    </row>
    <row r="326" spans="1:37" x14ac:dyDescent="0.15">
      <c r="A326" s="10">
        <f>A324+1</f>
        <v>2017</v>
      </c>
      <c r="C326" s="10">
        <v>269333</v>
      </c>
      <c r="D326" s="95">
        <f>5*A$80</f>
        <v>2.0833333333333335</v>
      </c>
      <c r="E326" s="122">
        <f t="shared" si="91"/>
        <v>561110.41666666674</v>
      </c>
      <c r="F326" s="96">
        <f t="shared" si="92"/>
        <v>1.666666666666667</v>
      </c>
      <c r="G326" s="122">
        <f t="shared" si="93"/>
        <v>1878350.166666667</v>
      </c>
      <c r="H326" s="122">
        <f t="shared" si="94"/>
        <v>549444.16666666674</v>
      </c>
      <c r="I326" s="94">
        <f>'Modell During mining'!$G320/1000000</f>
        <v>0.72756666666666669</v>
      </c>
      <c r="J326" s="121">
        <f>'Modell During mining'!$D320</f>
        <v>126</v>
      </c>
      <c r="K326" s="93">
        <v>0</v>
      </c>
      <c r="L326" s="93">
        <v>1</v>
      </c>
      <c r="M326" s="93">
        <v>0.31</v>
      </c>
      <c r="N326" s="93">
        <v>1</v>
      </c>
      <c r="O326" s="93">
        <v>1.26</v>
      </c>
      <c r="P326" s="93">
        <v>18.8</v>
      </c>
      <c r="Q326" s="93">
        <v>0</v>
      </c>
      <c r="R326" s="93">
        <v>0</v>
      </c>
      <c r="S326" s="93">
        <v>0.36</v>
      </c>
      <c r="T326" s="98">
        <f t="shared" si="95"/>
        <v>185.57696478252862</v>
      </c>
      <c r="U326" s="93">
        <v>25.21</v>
      </c>
      <c r="V326" s="98">
        <f t="shared" si="95"/>
        <v>185.57696478252862</v>
      </c>
      <c r="W326" s="93">
        <v>21.42</v>
      </c>
      <c r="X326" s="98">
        <f t="shared" si="95"/>
        <v>185.57696478252862</v>
      </c>
      <c r="Y326" s="93">
        <v>0.11</v>
      </c>
      <c r="Z326" s="98">
        <f t="shared" si="95"/>
        <v>185.57696478252862</v>
      </c>
      <c r="AA326" s="93">
        <v>5.8</v>
      </c>
      <c r="AB326" s="98">
        <f t="shared" si="95"/>
        <v>185.57696478252862</v>
      </c>
      <c r="AC326" s="93">
        <v>1.7</v>
      </c>
      <c r="AD326" s="98">
        <f t="shared" si="95"/>
        <v>185.57696478252862</v>
      </c>
      <c r="AE326" s="93">
        <v>1.84</v>
      </c>
      <c r="AF326" s="98">
        <f t="shared" si="96"/>
        <v>185.57696478252862</v>
      </c>
      <c r="AG326" s="10">
        <f t="shared" si="97"/>
        <v>7.97</v>
      </c>
      <c r="AH326" s="95">
        <f t="shared" si="98"/>
        <v>2.2975666666666665</v>
      </c>
      <c r="AI326" s="122">
        <f t="shared" si="101"/>
        <v>185.57696478252862</v>
      </c>
      <c r="AJ326" s="122">
        <f t="shared" si="99"/>
        <v>481.09574859942865</v>
      </c>
      <c r="AK326" s="122">
        <f t="shared" si="100"/>
        <v>183.03026786860093</v>
      </c>
    </row>
    <row r="327" spans="1:37" x14ac:dyDescent="0.15">
      <c r="A327" s="10">
        <f>A326+0.5</f>
        <v>2017.5</v>
      </c>
      <c r="B327" s="10">
        <v>0</v>
      </c>
      <c r="C327" s="10">
        <v>269333</v>
      </c>
      <c r="D327" s="95">
        <f>6.8*A$79</f>
        <v>3.9666666666666668</v>
      </c>
      <c r="E327" s="122">
        <f t="shared" si="91"/>
        <v>1068354.2333333334</v>
      </c>
      <c r="F327" s="96">
        <f t="shared" si="92"/>
        <v>3.1733333333333338</v>
      </c>
      <c r="G327" s="122">
        <f t="shared" si="93"/>
        <v>3576378.7173333336</v>
      </c>
      <c r="H327" s="122">
        <f t="shared" si="94"/>
        <v>1046141.6933333334</v>
      </c>
      <c r="I327" s="94">
        <f>'Modell During mining'!$G321/1000000</f>
        <v>1.3221176000000001</v>
      </c>
      <c r="J327" s="121">
        <f>'Modell During mining'!$D321</f>
        <v>106.16414152568576</v>
      </c>
      <c r="K327" s="93">
        <v>0.95</v>
      </c>
      <c r="L327" s="93">
        <v>1</v>
      </c>
      <c r="M327" s="93">
        <v>0.31</v>
      </c>
      <c r="N327" s="93">
        <v>1</v>
      </c>
      <c r="O327" s="93">
        <v>1.26</v>
      </c>
      <c r="P327" s="93">
        <v>18.8</v>
      </c>
      <c r="Q327" s="93">
        <v>1.6</v>
      </c>
      <c r="R327" s="93">
        <v>0</v>
      </c>
      <c r="S327" s="93">
        <v>0.36</v>
      </c>
      <c r="T327" s="98">
        <f t="shared" si="95"/>
        <v>209.61838584259687</v>
      </c>
      <c r="U327" s="93">
        <v>25.21</v>
      </c>
      <c r="V327" s="98">
        <f t="shared" si="95"/>
        <v>209.61838584259687</v>
      </c>
      <c r="W327" s="93">
        <v>21.42</v>
      </c>
      <c r="X327" s="98">
        <f t="shared" si="95"/>
        <v>209.61838584259687</v>
      </c>
      <c r="Y327" s="93">
        <v>0.11</v>
      </c>
      <c r="Z327" s="98">
        <f t="shared" si="95"/>
        <v>209.61838584259687</v>
      </c>
      <c r="AA327" s="93">
        <v>5.8</v>
      </c>
      <c r="AB327" s="98">
        <f t="shared" si="95"/>
        <v>209.61838584259687</v>
      </c>
      <c r="AC327" s="93">
        <v>1.7</v>
      </c>
      <c r="AD327" s="98">
        <f t="shared" si="95"/>
        <v>209.61838584259687</v>
      </c>
      <c r="AE327" s="93">
        <v>1.84</v>
      </c>
      <c r="AF327" s="98">
        <f t="shared" si="96"/>
        <v>209.61838584259687</v>
      </c>
      <c r="AG327" s="10">
        <f t="shared" si="97"/>
        <v>7.97</v>
      </c>
      <c r="AH327" s="95">
        <f t="shared" si="98"/>
        <v>5.4421175999999996</v>
      </c>
      <c r="AI327" s="122">
        <f t="shared" si="101"/>
        <v>209.61838584259687</v>
      </c>
      <c r="AJ327" s="122">
        <f t="shared" si="99"/>
        <v>496.10081167215753</v>
      </c>
      <c r="AK327" s="122">
        <f t="shared" si="100"/>
        <v>207.18766292813348</v>
      </c>
    </row>
    <row r="328" spans="1:37" x14ac:dyDescent="0.15">
      <c r="A328" s="10">
        <f>A326+1</f>
        <v>2018</v>
      </c>
      <c r="C328" s="10">
        <v>269333</v>
      </c>
      <c r="D328" s="95">
        <f>5*A$80</f>
        <v>2.0833333333333335</v>
      </c>
      <c r="E328" s="122">
        <f t="shared" si="91"/>
        <v>561110.41666666674</v>
      </c>
      <c r="F328" s="96">
        <f t="shared" si="92"/>
        <v>1.666666666666667</v>
      </c>
      <c r="G328" s="122">
        <f t="shared" si="93"/>
        <v>1878350.166666667</v>
      </c>
      <c r="H328" s="122">
        <f t="shared" si="94"/>
        <v>549444.16666666674</v>
      </c>
      <c r="I328" s="94">
        <f>'Modell During mining'!$G322/1000000</f>
        <v>0.79570000000000007</v>
      </c>
      <c r="J328" s="121">
        <f>'Modell During mining'!$D322</f>
        <v>126</v>
      </c>
      <c r="K328" s="93">
        <v>0</v>
      </c>
      <c r="L328" s="93">
        <v>1</v>
      </c>
      <c r="M328" s="93">
        <v>0.31</v>
      </c>
      <c r="N328" s="93">
        <v>1</v>
      </c>
      <c r="O328" s="93">
        <v>1.26</v>
      </c>
      <c r="P328" s="93">
        <v>18.8</v>
      </c>
      <c r="Q328" s="93">
        <v>0</v>
      </c>
      <c r="R328" s="93">
        <v>0</v>
      </c>
      <c r="S328" s="93">
        <v>0.36</v>
      </c>
      <c r="T328" s="98">
        <f t="shared" si="95"/>
        <v>188.11845111708789</v>
      </c>
      <c r="U328" s="93">
        <v>25.21</v>
      </c>
      <c r="V328" s="98">
        <f t="shared" si="95"/>
        <v>188.11845111708789</v>
      </c>
      <c r="W328" s="93">
        <v>21.42</v>
      </c>
      <c r="X328" s="98">
        <f t="shared" si="95"/>
        <v>188.11845111708789</v>
      </c>
      <c r="Y328" s="93">
        <v>0.11</v>
      </c>
      <c r="Z328" s="98">
        <f t="shared" si="95"/>
        <v>188.11845111708789</v>
      </c>
      <c r="AA328" s="93">
        <v>5.8</v>
      </c>
      <c r="AB328" s="98">
        <f t="shared" si="95"/>
        <v>188.11845111708789</v>
      </c>
      <c r="AC328" s="93">
        <v>1.7</v>
      </c>
      <c r="AD328" s="98">
        <f t="shared" si="95"/>
        <v>188.11845111708789</v>
      </c>
      <c r="AE328" s="93">
        <v>1.84</v>
      </c>
      <c r="AF328" s="98">
        <f t="shared" si="96"/>
        <v>188.11845111708789</v>
      </c>
      <c r="AG328" s="10">
        <f t="shared" si="97"/>
        <v>7.97</v>
      </c>
      <c r="AH328" s="95">
        <f t="shared" si="98"/>
        <v>2.3657000000000004</v>
      </c>
      <c r="AI328" s="122">
        <f t="shared" si="101"/>
        <v>188.11845111708789</v>
      </c>
      <c r="AJ328" s="122">
        <f t="shared" si="99"/>
        <v>488.5329769552352</v>
      </c>
      <c r="AK328" s="122">
        <f t="shared" si="100"/>
        <v>185.52641419360637</v>
      </c>
    </row>
    <row r="329" spans="1:37" x14ac:dyDescent="0.15">
      <c r="A329" s="10">
        <f>A328+0.5</f>
        <v>2018.5</v>
      </c>
      <c r="B329" s="10">
        <v>0</v>
      </c>
      <c r="C329" s="10">
        <v>269333</v>
      </c>
      <c r="D329" s="95">
        <f>6.8*A$79</f>
        <v>3.9666666666666668</v>
      </c>
      <c r="E329" s="122">
        <f t="shared" si="91"/>
        <v>1068354.2333333334</v>
      </c>
      <c r="F329" s="96">
        <f t="shared" si="92"/>
        <v>3.1733333333333338</v>
      </c>
      <c r="G329" s="122">
        <f t="shared" si="93"/>
        <v>3576378.7173333336</v>
      </c>
      <c r="H329" s="122">
        <f t="shared" si="94"/>
        <v>1046141.6933333334</v>
      </c>
      <c r="I329" s="94">
        <f>'Modell During mining'!$G323/1000000</f>
        <v>1.4238114666666668</v>
      </c>
      <c r="J329" s="121">
        <f>'Modell During mining'!$D323</f>
        <v>107.02273690542924</v>
      </c>
      <c r="K329" s="93">
        <v>0.95</v>
      </c>
      <c r="L329" s="93">
        <v>1</v>
      </c>
      <c r="M329" s="93">
        <v>0.31</v>
      </c>
      <c r="N329" s="93">
        <v>1</v>
      </c>
      <c r="O329" s="93">
        <v>1.26</v>
      </c>
      <c r="P329" s="93">
        <v>18.8</v>
      </c>
      <c r="Q329" s="93">
        <v>3.6</v>
      </c>
      <c r="R329" s="93">
        <v>0</v>
      </c>
      <c r="S329" s="93">
        <v>0.36</v>
      </c>
      <c r="T329" s="98">
        <f t="shared" si="95"/>
        <v>206.32002783682813</v>
      </c>
      <c r="U329" s="93">
        <v>25.21</v>
      </c>
      <c r="V329" s="98">
        <f t="shared" si="95"/>
        <v>206.32002783682813</v>
      </c>
      <c r="W329" s="93">
        <v>21.42</v>
      </c>
      <c r="X329" s="98">
        <f t="shared" si="95"/>
        <v>206.32002783682813</v>
      </c>
      <c r="Y329" s="93">
        <v>0.11</v>
      </c>
      <c r="Z329" s="98">
        <f t="shared" si="95"/>
        <v>206.32002783682813</v>
      </c>
      <c r="AA329" s="93">
        <v>5.8</v>
      </c>
      <c r="AB329" s="98">
        <f t="shared" si="95"/>
        <v>206.32002783682813</v>
      </c>
      <c r="AC329" s="93">
        <v>1.7</v>
      </c>
      <c r="AD329" s="98">
        <f t="shared" si="95"/>
        <v>206.32002783682813</v>
      </c>
      <c r="AE329" s="93">
        <v>1.84</v>
      </c>
      <c r="AF329" s="98">
        <f t="shared" si="96"/>
        <v>206.32002783682813</v>
      </c>
      <c r="AG329" s="10">
        <f t="shared" si="97"/>
        <v>7.97</v>
      </c>
      <c r="AH329" s="95">
        <f t="shared" si="98"/>
        <v>7.5438114666666678</v>
      </c>
      <c r="AI329" s="122">
        <f t="shared" si="101"/>
        <v>206.32002783682813</v>
      </c>
      <c r="AJ329" s="122">
        <f t="shared" si="99"/>
        <v>482.58699294375452</v>
      </c>
      <c r="AK329" s="122">
        <f t="shared" si="100"/>
        <v>203.97753897838678</v>
      </c>
    </row>
    <row r="330" spans="1:37" x14ac:dyDescent="0.15">
      <c r="A330" s="10">
        <f>A328+1</f>
        <v>2019</v>
      </c>
      <c r="C330" s="10">
        <v>269333</v>
      </c>
      <c r="D330" s="95">
        <f>5*A$80</f>
        <v>2.0833333333333335</v>
      </c>
      <c r="E330" s="122">
        <f t="shared" si="91"/>
        <v>561110.41666666674</v>
      </c>
      <c r="F330" s="96">
        <f t="shared" si="92"/>
        <v>1.666666666666667</v>
      </c>
      <c r="G330" s="122">
        <f t="shared" si="93"/>
        <v>1878350.166666667</v>
      </c>
      <c r="H330" s="122">
        <f t="shared" si="94"/>
        <v>549444.16666666674</v>
      </c>
      <c r="I330" s="94">
        <f>'Modell During mining'!$G324/1000000</f>
        <v>0.86383333333333345</v>
      </c>
      <c r="J330" s="121">
        <f>'Modell During mining'!$D324</f>
        <v>126</v>
      </c>
      <c r="K330" s="93">
        <v>0</v>
      </c>
      <c r="L330" s="93">
        <v>1</v>
      </c>
      <c r="M330" s="93">
        <v>0.31</v>
      </c>
      <c r="N330" s="93">
        <v>1</v>
      </c>
      <c r="O330" s="93">
        <v>1.26</v>
      </c>
      <c r="P330" s="93">
        <v>18.8</v>
      </c>
      <c r="Q330" s="93">
        <v>0</v>
      </c>
      <c r="R330" s="93">
        <v>0</v>
      </c>
      <c r="S330" s="93">
        <v>0.36</v>
      </c>
      <c r="T330" s="98">
        <f t="shared" si="95"/>
        <v>149.86047981044194</v>
      </c>
      <c r="U330" s="93">
        <v>25.21</v>
      </c>
      <c r="V330" s="98">
        <f t="shared" si="95"/>
        <v>149.86047981044194</v>
      </c>
      <c r="W330" s="93">
        <v>21.42</v>
      </c>
      <c r="X330" s="98">
        <f t="shared" si="95"/>
        <v>149.86047981044194</v>
      </c>
      <c r="Y330" s="93">
        <v>0.11</v>
      </c>
      <c r="Z330" s="98">
        <f t="shared" si="95"/>
        <v>149.86047981044194</v>
      </c>
      <c r="AA330" s="93">
        <v>5.8</v>
      </c>
      <c r="AB330" s="98">
        <f t="shared" si="95"/>
        <v>149.86047981044194</v>
      </c>
      <c r="AC330" s="93">
        <v>1.7</v>
      </c>
      <c r="AD330" s="98">
        <f t="shared" si="95"/>
        <v>149.86047981044194</v>
      </c>
      <c r="AE330" s="93">
        <v>1.84</v>
      </c>
      <c r="AF330" s="98">
        <f t="shared" si="96"/>
        <v>149.86047981044194</v>
      </c>
      <c r="AG330" s="10">
        <f t="shared" si="97"/>
        <v>7.97</v>
      </c>
      <c r="AH330" s="95">
        <f t="shared" si="98"/>
        <v>2.4338333333333333</v>
      </c>
      <c r="AI330" s="122">
        <f t="shared" si="101"/>
        <v>149.86047981044194</v>
      </c>
      <c r="AJ330" s="122">
        <f t="shared" si="99"/>
        <v>390.18934051418614</v>
      </c>
      <c r="AK330" s="122">
        <f t="shared" si="100"/>
        <v>147.78591722417528</v>
      </c>
    </row>
    <row r="331" spans="1:37" x14ac:dyDescent="0.15">
      <c r="A331" s="10">
        <f>A330+0.5</f>
        <v>2019.5</v>
      </c>
      <c r="B331" s="10">
        <v>0</v>
      </c>
      <c r="C331" s="10">
        <v>269333</v>
      </c>
      <c r="D331" s="95">
        <f>6.8*A$79</f>
        <v>3.9666666666666668</v>
      </c>
      <c r="E331" s="122">
        <f t="shared" si="91"/>
        <v>1068354.2333333334</v>
      </c>
      <c r="F331" s="96">
        <f t="shared" si="92"/>
        <v>3.1733333333333338</v>
      </c>
      <c r="G331" s="122">
        <f t="shared" si="93"/>
        <v>3576378.7173333336</v>
      </c>
      <c r="H331" s="122">
        <f t="shared" si="94"/>
        <v>1046141.6933333334</v>
      </c>
      <c r="I331" s="94">
        <f>'Modell During mining'!$G325/1000000</f>
        <v>1.5255053333333335</v>
      </c>
      <c r="J331" s="121">
        <f>'Modell During mining'!$D325</f>
        <v>107.76686020544888</v>
      </c>
      <c r="K331" s="93">
        <v>0.95</v>
      </c>
      <c r="L331" s="93">
        <v>1</v>
      </c>
      <c r="M331" s="93">
        <v>0.31</v>
      </c>
      <c r="N331" s="93">
        <v>1</v>
      </c>
      <c r="O331" s="93">
        <v>1.26</v>
      </c>
      <c r="P331" s="93">
        <v>18.8</v>
      </c>
      <c r="Q331" s="93">
        <v>1.6</v>
      </c>
      <c r="R331" s="93">
        <v>0</v>
      </c>
      <c r="S331" s="93">
        <v>0.36</v>
      </c>
      <c r="T331" s="98">
        <f t="shared" si="95"/>
        <v>188.58468785913036</v>
      </c>
      <c r="U331" s="93">
        <v>25.21</v>
      </c>
      <c r="V331" s="98">
        <f t="shared" si="95"/>
        <v>188.58468785913036</v>
      </c>
      <c r="W331" s="93">
        <v>21.42</v>
      </c>
      <c r="X331" s="98">
        <f t="shared" si="95"/>
        <v>188.58468785913036</v>
      </c>
      <c r="Y331" s="93">
        <v>0.11</v>
      </c>
      <c r="Z331" s="98">
        <f t="shared" si="95"/>
        <v>188.58468785913036</v>
      </c>
      <c r="AA331" s="93">
        <v>5.8</v>
      </c>
      <c r="AB331" s="98">
        <f t="shared" si="95"/>
        <v>188.58468785913036</v>
      </c>
      <c r="AC331" s="93">
        <v>1.7</v>
      </c>
      <c r="AD331" s="98">
        <f t="shared" si="95"/>
        <v>188.58468785913036</v>
      </c>
      <c r="AE331" s="93">
        <v>1.84</v>
      </c>
      <c r="AF331" s="98">
        <f t="shared" si="96"/>
        <v>188.58468785913036</v>
      </c>
      <c r="AG331" s="10">
        <f t="shared" si="97"/>
        <v>7.97</v>
      </c>
      <c r="AH331" s="95">
        <f t="shared" si="98"/>
        <v>5.6455053333333343</v>
      </c>
      <c r="AI331" s="122">
        <f t="shared" si="101"/>
        <v>188.58468785913036</v>
      </c>
      <c r="AJ331" s="122">
        <f t="shared" si="99"/>
        <v>452.63347045635624</v>
      </c>
      <c r="AK331" s="122">
        <f t="shared" si="100"/>
        <v>186.32315961353623</v>
      </c>
    </row>
    <row r="332" spans="1:37" x14ac:dyDescent="0.15">
      <c r="A332" s="10">
        <f>A330+1</f>
        <v>2020</v>
      </c>
      <c r="C332" s="10">
        <v>269333</v>
      </c>
      <c r="D332" s="95">
        <f>5*A$80</f>
        <v>2.0833333333333335</v>
      </c>
      <c r="E332" s="122">
        <f t="shared" si="91"/>
        <v>561110.41666666674</v>
      </c>
      <c r="F332" s="96">
        <f t="shared" si="92"/>
        <v>1.666666666666667</v>
      </c>
      <c r="G332" s="122">
        <f t="shared" si="93"/>
        <v>1878350.166666667</v>
      </c>
      <c r="H332" s="122">
        <f t="shared" si="94"/>
        <v>549444.16666666674</v>
      </c>
      <c r="I332" s="94">
        <f>'Modell During mining'!$G326/1000000</f>
        <v>0.93196666666666683</v>
      </c>
      <c r="J332" s="121">
        <f>'Modell During mining'!$D326</f>
        <v>126</v>
      </c>
      <c r="K332" s="93">
        <v>0</v>
      </c>
      <c r="L332" s="93">
        <v>1</v>
      </c>
      <c r="M332" s="93">
        <v>0.31</v>
      </c>
      <c r="N332" s="93">
        <v>1</v>
      </c>
      <c r="O332" s="93">
        <v>1.26</v>
      </c>
      <c r="P332" s="93">
        <v>18.8</v>
      </c>
      <c r="Q332" s="93">
        <v>0</v>
      </c>
      <c r="R332" s="93">
        <v>0</v>
      </c>
      <c r="S332" s="93">
        <v>0.36</v>
      </c>
      <c r="T332" s="98">
        <f t="shared" si="95"/>
        <v>178.10490068256985</v>
      </c>
      <c r="U332" s="93">
        <v>25.21</v>
      </c>
      <c r="V332" s="98">
        <f t="shared" si="95"/>
        <v>178.10490068256985</v>
      </c>
      <c r="W332" s="93">
        <v>21.42</v>
      </c>
      <c r="X332" s="98">
        <f t="shared" si="95"/>
        <v>178.10490068256985</v>
      </c>
      <c r="Y332" s="93">
        <v>0.11</v>
      </c>
      <c r="Z332" s="98">
        <f t="shared" si="95"/>
        <v>178.10490068256985</v>
      </c>
      <c r="AA332" s="93">
        <v>5.8</v>
      </c>
      <c r="AB332" s="98">
        <f t="shared" si="95"/>
        <v>178.10490068256985</v>
      </c>
      <c r="AC332" s="93">
        <v>1.7</v>
      </c>
      <c r="AD332" s="98">
        <f t="shared" si="95"/>
        <v>178.10490068256985</v>
      </c>
      <c r="AE332" s="93">
        <v>1.84</v>
      </c>
      <c r="AF332" s="98">
        <f t="shared" si="96"/>
        <v>178.10490068256985</v>
      </c>
      <c r="AG332" s="10">
        <f t="shared" si="97"/>
        <v>7.97</v>
      </c>
      <c r="AH332" s="95">
        <f t="shared" si="98"/>
        <v>2.5019666666666671</v>
      </c>
      <c r="AI332" s="122">
        <f t="shared" si="101"/>
        <v>178.10490068256985</v>
      </c>
      <c r="AJ332" s="122">
        <f t="shared" si="99"/>
        <v>462.33419027776722</v>
      </c>
      <c r="AK332" s="122">
        <f t="shared" si="100"/>
        <v>175.64527873112004</v>
      </c>
    </row>
    <row r="333" spans="1:37" x14ac:dyDescent="0.15">
      <c r="A333" s="10">
        <f>A332+0.5</f>
        <v>2020.5</v>
      </c>
      <c r="B333" s="10">
        <v>0</v>
      </c>
      <c r="C333" s="10">
        <v>269333</v>
      </c>
      <c r="D333" s="95">
        <f>6.8*A$79</f>
        <v>3.9666666666666668</v>
      </c>
      <c r="E333" s="122">
        <f t="shared" si="91"/>
        <v>1068354.2333333334</v>
      </c>
      <c r="F333" s="96">
        <f t="shared" si="92"/>
        <v>3.1733333333333338</v>
      </c>
      <c r="G333" s="122">
        <f t="shared" si="93"/>
        <v>3576378.7173333336</v>
      </c>
      <c r="H333" s="122">
        <f t="shared" si="94"/>
        <v>1046141.6933333334</v>
      </c>
      <c r="I333" s="94">
        <f>'Modell During mining'!$G327/1000000</f>
        <v>1.6271992000000002</v>
      </c>
      <c r="J333" s="121">
        <f>'Modell During mining'!$D327</f>
        <v>108.41797365682089</v>
      </c>
      <c r="K333" s="93">
        <v>0.95</v>
      </c>
      <c r="L333" s="93">
        <v>1</v>
      </c>
      <c r="M333" s="93">
        <v>0.31</v>
      </c>
      <c r="N333" s="93">
        <v>1</v>
      </c>
      <c r="O333" s="93">
        <v>1.26</v>
      </c>
      <c r="P333" s="93">
        <v>18.8</v>
      </c>
      <c r="Q333" s="93">
        <v>1.6</v>
      </c>
      <c r="R333" s="93">
        <v>0</v>
      </c>
      <c r="S333" s="93">
        <v>0.36</v>
      </c>
      <c r="T333" s="98">
        <f t="shared" si="95"/>
        <v>195.15142235169463</v>
      </c>
      <c r="U333" s="93">
        <v>25.21</v>
      </c>
      <c r="V333" s="98">
        <f t="shared" si="95"/>
        <v>195.15142235169463</v>
      </c>
      <c r="W333" s="93">
        <v>21.42</v>
      </c>
      <c r="X333" s="98">
        <f t="shared" si="95"/>
        <v>195.15142235169463</v>
      </c>
      <c r="Y333" s="93">
        <v>0.11</v>
      </c>
      <c r="Z333" s="98">
        <f t="shared" si="95"/>
        <v>195.15142235169463</v>
      </c>
      <c r="AA333" s="93">
        <v>5.8</v>
      </c>
      <c r="AB333" s="98">
        <f t="shared" si="95"/>
        <v>195.15142235169463</v>
      </c>
      <c r="AC333" s="93">
        <v>1.7</v>
      </c>
      <c r="AD333" s="98">
        <f t="shared" si="95"/>
        <v>195.15142235169463</v>
      </c>
      <c r="AE333" s="93">
        <v>1.84</v>
      </c>
      <c r="AF333" s="98">
        <f t="shared" si="96"/>
        <v>195.15142235169463</v>
      </c>
      <c r="AG333" s="10">
        <f t="shared" si="97"/>
        <v>7.97</v>
      </c>
      <c r="AH333" s="95">
        <f t="shared" si="98"/>
        <v>5.7471992000000007</v>
      </c>
      <c r="AI333" s="122">
        <f t="shared" si="101"/>
        <v>195.15142235169463</v>
      </c>
      <c r="AJ333" s="122">
        <f t="shared" si="99"/>
        <v>452.39463786238872</v>
      </c>
      <c r="AK333" s="122">
        <f t="shared" si="100"/>
        <v>192.96450752625137</v>
      </c>
    </row>
    <row r="334" spans="1:37" x14ac:dyDescent="0.15">
      <c r="A334" s="10">
        <f>A332+1</f>
        <v>2021</v>
      </c>
      <c r="C334" s="10">
        <v>269333</v>
      </c>
      <c r="D334" s="95">
        <f>5*A$80</f>
        <v>2.0833333333333335</v>
      </c>
      <c r="E334" s="122">
        <f t="shared" si="91"/>
        <v>561110.41666666674</v>
      </c>
      <c r="F334" s="96">
        <f t="shared" si="92"/>
        <v>1.666666666666667</v>
      </c>
      <c r="G334" s="122">
        <f t="shared" si="93"/>
        <v>1878350.166666667</v>
      </c>
      <c r="H334" s="122">
        <f t="shared" si="94"/>
        <v>549444.16666666674</v>
      </c>
      <c r="I334" s="94">
        <f>'Modell During mining'!$G328/1000000</f>
        <v>1.0001000000000002</v>
      </c>
      <c r="J334" s="121">
        <f>'Modell During mining'!$D328</f>
        <v>126</v>
      </c>
      <c r="K334" s="93">
        <v>0</v>
      </c>
      <c r="L334" s="93">
        <v>1</v>
      </c>
      <c r="M334" s="93">
        <v>0.31</v>
      </c>
      <c r="N334" s="93">
        <v>1</v>
      </c>
      <c r="O334" s="93">
        <v>1.26</v>
      </c>
      <c r="P334" s="93">
        <v>18.8</v>
      </c>
      <c r="Q334" s="93">
        <v>0</v>
      </c>
      <c r="R334" s="93">
        <v>0</v>
      </c>
      <c r="S334" s="93">
        <v>0.36</v>
      </c>
      <c r="T334" s="98">
        <f t="shared" si="95"/>
        <v>176.85740092462041</v>
      </c>
      <c r="U334" s="93">
        <v>25.21</v>
      </c>
      <c r="V334" s="98">
        <f t="shared" si="95"/>
        <v>176.85740092462041</v>
      </c>
      <c r="W334" s="93">
        <v>21.42</v>
      </c>
      <c r="X334" s="98">
        <f t="shared" si="95"/>
        <v>176.85740092462041</v>
      </c>
      <c r="Y334" s="93">
        <v>0.11</v>
      </c>
      <c r="Z334" s="98">
        <f t="shared" si="95"/>
        <v>176.85740092462041</v>
      </c>
      <c r="AA334" s="93">
        <v>5.8</v>
      </c>
      <c r="AB334" s="98">
        <f t="shared" si="95"/>
        <v>176.85740092462041</v>
      </c>
      <c r="AC334" s="93">
        <v>1.7</v>
      </c>
      <c r="AD334" s="98">
        <f t="shared" si="95"/>
        <v>176.85740092462041</v>
      </c>
      <c r="AE334" s="93">
        <v>1.84</v>
      </c>
      <c r="AF334" s="98">
        <f t="shared" si="96"/>
        <v>176.85740092462041</v>
      </c>
      <c r="AG334" s="10">
        <f t="shared" si="97"/>
        <v>7.97</v>
      </c>
      <c r="AH334" s="95">
        <f t="shared" si="98"/>
        <v>2.5701000000000001</v>
      </c>
      <c r="AI334" s="122">
        <f t="shared" si="101"/>
        <v>176.85740092462041</v>
      </c>
      <c r="AJ334" s="122">
        <f t="shared" si="99"/>
        <v>454.30618255868495</v>
      </c>
      <c r="AK334" s="122">
        <f t="shared" si="100"/>
        <v>174.45866434756263</v>
      </c>
    </row>
    <row r="335" spans="1:37" x14ac:dyDescent="0.15">
      <c r="A335" s="10">
        <f>A334+0.5</f>
        <v>2021.5</v>
      </c>
      <c r="B335" s="10">
        <v>0</v>
      </c>
      <c r="C335" s="10">
        <v>269333</v>
      </c>
      <c r="D335" s="95">
        <f>6.8*A$79</f>
        <v>3.9666666666666668</v>
      </c>
      <c r="E335" s="122">
        <f t="shared" si="91"/>
        <v>1068354.2333333334</v>
      </c>
      <c r="F335" s="96">
        <f t="shared" si="92"/>
        <v>3.1733333333333338</v>
      </c>
      <c r="G335" s="122">
        <f t="shared" si="93"/>
        <v>3576378.7173333336</v>
      </c>
      <c r="H335" s="122">
        <f t="shared" si="94"/>
        <v>1046141.6933333334</v>
      </c>
      <c r="I335" s="94">
        <f>'Modell During mining'!$G329/1000000</f>
        <v>1.7288930666666671</v>
      </c>
      <c r="J335" s="121">
        <f>'Modell During mining'!$D329</f>
        <v>108.99248983819936</v>
      </c>
      <c r="K335" s="93">
        <v>0.95</v>
      </c>
      <c r="L335" s="93">
        <v>1</v>
      </c>
      <c r="M335" s="93">
        <v>0.31</v>
      </c>
      <c r="N335" s="93">
        <v>1</v>
      </c>
      <c r="O335" s="93">
        <v>1.26</v>
      </c>
      <c r="P335" s="93">
        <v>18.8</v>
      </c>
      <c r="Q335" s="93">
        <v>1.6</v>
      </c>
      <c r="R335" s="93">
        <v>0</v>
      </c>
      <c r="S335" s="93">
        <v>0.36</v>
      </c>
      <c r="T335" s="98">
        <f t="shared" si="95"/>
        <v>191.32690197075587</v>
      </c>
      <c r="U335" s="93">
        <v>25.21</v>
      </c>
      <c r="V335" s="98">
        <f t="shared" si="95"/>
        <v>191.32690197075587</v>
      </c>
      <c r="W335" s="93">
        <v>21.42</v>
      </c>
      <c r="X335" s="98">
        <f t="shared" si="95"/>
        <v>191.32690197075587</v>
      </c>
      <c r="Y335" s="93">
        <v>0.11</v>
      </c>
      <c r="Z335" s="98">
        <f t="shared" si="95"/>
        <v>191.32690197075587</v>
      </c>
      <c r="AA335" s="93">
        <v>5.8</v>
      </c>
      <c r="AB335" s="98">
        <f t="shared" si="95"/>
        <v>191.32690197075587</v>
      </c>
      <c r="AC335" s="93">
        <v>1.7</v>
      </c>
      <c r="AD335" s="98">
        <f t="shared" si="95"/>
        <v>191.32690197075587</v>
      </c>
      <c r="AE335" s="93">
        <v>1.84</v>
      </c>
      <c r="AF335" s="98">
        <f t="shared" si="96"/>
        <v>191.32690197075587</v>
      </c>
      <c r="AG335" s="10">
        <f t="shared" si="97"/>
        <v>7.97</v>
      </c>
      <c r="AH335" s="95">
        <f t="shared" si="98"/>
        <v>5.8488930666666672</v>
      </c>
      <c r="AI335" s="122">
        <f t="shared" si="101"/>
        <v>191.32690197075587</v>
      </c>
      <c r="AJ335" s="122">
        <f t="shared" si="99"/>
        <v>440.36780412112131</v>
      </c>
      <c r="AK335" s="122">
        <f t="shared" si="100"/>
        <v>189.20902478167244</v>
      </c>
    </row>
    <row r="336" spans="1:37" x14ac:dyDescent="0.15">
      <c r="A336" s="10">
        <f>A334+1</f>
        <v>2022</v>
      </c>
      <c r="C336" s="10">
        <v>269333</v>
      </c>
      <c r="D336" s="95">
        <f>5*A$80</f>
        <v>2.0833333333333335</v>
      </c>
      <c r="E336" s="122">
        <f t="shared" si="91"/>
        <v>561110.41666666674</v>
      </c>
      <c r="F336" s="96">
        <f t="shared" si="92"/>
        <v>1.666666666666667</v>
      </c>
      <c r="G336" s="122">
        <f t="shared" si="93"/>
        <v>1878350.166666667</v>
      </c>
      <c r="H336" s="122">
        <f t="shared" si="94"/>
        <v>549444.16666666674</v>
      </c>
      <c r="I336" s="94">
        <f>'Modell During mining'!$G330/1000000</f>
        <v>1.0682333333333336</v>
      </c>
      <c r="J336" s="121">
        <f>'Modell During mining'!$D330</f>
        <v>126</v>
      </c>
      <c r="K336" s="93">
        <v>0</v>
      </c>
      <c r="L336" s="93">
        <v>1</v>
      </c>
      <c r="M336" s="93">
        <v>0.31</v>
      </c>
      <c r="N336" s="93">
        <v>1</v>
      </c>
      <c r="O336" s="93">
        <v>1.26</v>
      </c>
      <c r="P336" s="93">
        <v>18.8</v>
      </c>
      <c r="Q336" s="93">
        <v>0</v>
      </c>
      <c r="R336" s="93">
        <v>0</v>
      </c>
      <c r="S336" s="93">
        <v>0.36</v>
      </c>
      <c r="T336" s="98">
        <f t="shared" si="95"/>
        <v>173.61102777702521</v>
      </c>
      <c r="U336" s="93">
        <v>25.21</v>
      </c>
      <c r="V336" s="98">
        <f t="shared" si="95"/>
        <v>173.61102777702521</v>
      </c>
      <c r="W336" s="93">
        <v>21.42</v>
      </c>
      <c r="X336" s="98">
        <f t="shared" si="95"/>
        <v>173.61102777702521</v>
      </c>
      <c r="Y336" s="93">
        <v>0.11</v>
      </c>
      <c r="Z336" s="98">
        <f t="shared" si="95"/>
        <v>173.61102777702521</v>
      </c>
      <c r="AA336" s="93">
        <v>5.8</v>
      </c>
      <c r="AB336" s="98">
        <f t="shared" si="95"/>
        <v>173.61102777702521</v>
      </c>
      <c r="AC336" s="93">
        <v>1.7</v>
      </c>
      <c r="AD336" s="98">
        <f t="shared" si="95"/>
        <v>173.61102777702521</v>
      </c>
      <c r="AE336" s="93">
        <v>1.84</v>
      </c>
      <c r="AF336" s="98">
        <f t="shared" si="96"/>
        <v>173.61102777702521</v>
      </c>
      <c r="AG336" s="10">
        <f t="shared" si="97"/>
        <v>7.97</v>
      </c>
      <c r="AH336" s="95">
        <f t="shared" si="98"/>
        <v>2.6382333333333339</v>
      </c>
      <c r="AI336" s="122">
        <f t="shared" si="101"/>
        <v>173.61102777702521</v>
      </c>
      <c r="AJ336" s="122">
        <f t="shared" si="99"/>
        <v>444.23828680094022</v>
      </c>
      <c r="AK336" s="122">
        <f t="shared" si="100"/>
        <v>171.2700134385139</v>
      </c>
    </row>
    <row r="337" spans="1:37" x14ac:dyDescent="0.15">
      <c r="A337" s="10">
        <f>A336+0.5</f>
        <v>2022.5</v>
      </c>
      <c r="B337" s="10">
        <v>0</v>
      </c>
      <c r="C337" s="10">
        <v>269333</v>
      </c>
      <c r="D337" s="95">
        <f>6.8*A$79</f>
        <v>3.9666666666666668</v>
      </c>
      <c r="E337" s="122">
        <f t="shared" si="91"/>
        <v>1068354.2333333334</v>
      </c>
      <c r="F337" s="96">
        <f t="shared" si="92"/>
        <v>3.1733333333333338</v>
      </c>
      <c r="G337" s="122">
        <f t="shared" si="93"/>
        <v>3576378.7173333336</v>
      </c>
      <c r="H337" s="122">
        <f t="shared" si="94"/>
        <v>1046141.6933333334</v>
      </c>
      <c r="I337" s="94">
        <f>'Modell During mining'!$G331/1000000</f>
        <v>1.8305869333333338</v>
      </c>
      <c r="J337" s="121">
        <f>'Modell During mining'!$D331</f>
        <v>109.50317428246329</v>
      </c>
      <c r="K337" s="93">
        <v>0.95</v>
      </c>
      <c r="L337" s="93">
        <v>1</v>
      </c>
      <c r="M337" s="93">
        <v>0.31</v>
      </c>
      <c r="N337" s="93">
        <v>1</v>
      </c>
      <c r="O337" s="93">
        <v>1.26</v>
      </c>
      <c r="P337" s="93">
        <v>18.8</v>
      </c>
      <c r="Q337" s="93">
        <v>0.6</v>
      </c>
      <c r="R337" s="93">
        <v>0</v>
      </c>
      <c r="S337" s="93">
        <v>0.36</v>
      </c>
      <c r="T337" s="98">
        <f t="shared" si="95"/>
        <v>187.02947299773433</v>
      </c>
      <c r="U337" s="93">
        <v>25.21</v>
      </c>
      <c r="V337" s="98">
        <f t="shared" si="95"/>
        <v>187.02947299773433</v>
      </c>
      <c r="W337" s="93">
        <v>21.42</v>
      </c>
      <c r="X337" s="98">
        <f t="shared" si="95"/>
        <v>187.02947299773433</v>
      </c>
      <c r="Y337" s="93">
        <v>0.11</v>
      </c>
      <c r="Z337" s="98">
        <f t="shared" si="95"/>
        <v>187.02947299773433</v>
      </c>
      <c r="AA337" s="93">
        <v>5.8</v>
      </c>
      <c r="AB337" s="98">
        <f t="shared" si="95"/>
        <v>187.02947299773433</v>
      </c>
      <c r="AC337" s="93">
        <v>1.7</v>
      </c>
      <c r="AD337" s="98">
        <f t="shared" si="95"/>
        <v>187.02947299773433</v>
      </c>
      <c r="AE337" s="93">
        <v>1.84</v>
      </c>
      <c r="AF337" s="98">
        <f t="shared" si="96"/>
        <v>187.02947299773433</v>
      </c>
      <c r="AG337" s="10">
        <f t="shared" si="97"/>
        <v>7.97</v>
      </c>
      <c r="AH337" s="95">
        <f t="shared" si="98"/>
        <v>4.9505869333333337</v>
      </c>
      <c r="AI337" s="122">
        <f t="shared" si="101"/>
        <v>187.02947299773433</v>
      </c>
      <c r="AJ337" s="122">
        <f t="shared" si="99"/>
        <v>428.32597485348407</v>
      </c>
      <c r="AK337" s="122">
        <f t="shared" si="100"/>
        <v>184.97570557674487</v>
      </c>
    </row>
    <row r="338" spans="1:37" x14ac:dyDescent="0.15">
      <c r="A338" s="10">
        <f>A336+1</f>
        <v>2023</v>
      </c>
      <c r="C338" s="10">
        <v>269333</v>
      </c>
      <c r="D338" s="95">
        <f>5*A$80</f>
        <v>2.0833333333333335</v>
      </c>
      <c r="E338" s="122">
        <f t="shared" si="91"/>
        <v>561110.41666666674</v>
      </c>
      <c r="F338" s="96">
        <f t="shared" si="92"/>
        <v>1.666666666666667</v>
      </c>
      <c r="G338" s="122">
        <f t="shared" si="93"/>
        <v>1878350.166666667</v>
      </c>
      <c r="H338" s="122">
        <f t="shared" si="94"/>
        <v>549444.16666666674</v>
      </c>
      <c r="I338" s="94">
        <f>'Modell During mining'!$G332/1000000</f>
        <v>1.1363666666666667</v>
      </c>
      <c r="J338" s="121">
        <f>'Modell During mining'!$D332</f>
        <v>126</v>
      </c>
      <c r="K338" s="93">
        <v>0</v>
      </c>
      <c r="L338" s="93">
        <v>1</v>
      </c>
      <c r="M338" s="93">
        <v>0.31</v>
      </c>
      <c r="N338" s="93">
        <v>1</v>
      </c>
      <c r="O338" s="93">
        <v>1.26</v>
      </c>
      <c r="P338" s="93">
        <v>18.8</v>
      </c>
      <c r="Q338" s="93">
        <v>0</v>
      </c>
      <c r="R338" s="93">
        <v>0</v>
      </c>
      <c r="S338" s="93">
        <v>0.36</v>
      </c>
      <c r="T338" s="98">
        <f t="shared" si="95"/>
        <v>189.92214530143889</v>
      </c>
      <c r="U338" s="93">
        <v>25.21</v>
      </c>
      <c r="V338" s="98">
        <f t="shared" si="95"/>
        <v>189.92214530143889</v>
      </c>
      <c r="W338" s="93">
        <v>21.42</v>
      </c>
      <c r="X338" s="98">
        <f t="shared" si="95"/>
        <v>189.92214530143889</v>
      </c>
      <c r="Y338" s="93">
        <v>0.11</v>
      </c>
      <c r="Z338" s="98">
        <f t="shared" si="95"/>
        <v>189.92214530143889</v>
      </c>
      <c r="AA338" s="93">
        <v>5.8</v>
      </c>
      <c r="AB338" s="98">
        <f t="shared" si="95"/>
        <v>189.92214530143889</v>
      </c>
      <c r="AC338" s="93">
        <v>1.7</v>
      </c>
      <c r="AD338" s="98">
        <f t="shared" si="95"/>
        <v>189.92214530143889</v>
      </c>
      <c r="AE338" s="93">
        <v>1.84</v>
      </c>
      <c r="AF338" s="98">
        <f t="shared" si="96"/>
        <v>189.92214530143889</v>
      </c>
      <c r="AG338" s="10">
        <f t="shared" si="97"/>
        <v>7.97</v>
      </c>
      <c r="AH338" s="95">
        <f t="shared" si="98"/>
        <v>2.7063666666666668</v>
      </c>
      <c r="AI338" s="122">
        <f t="shared" si="101"/>
        <v>189.92214530143889</v>
      </c>
      <c r="AJ338" s="122">
        <f t="shared" si="99"/>
        <v>481.2881655695648</v>
      </c>
      <c r="AK338" s="122">
        <f t="shared" si="100"/>
        <v>187.40021446955788</v>
      </c>
    </row>
    <row r="339" spans="1:37" x14ac:dyDescent="0.15">
      <c r="A339" s="10">
        <f>A338+0.5</f>
        <v>2023.5</v>
      </c>
      <c r="B339" s="10">
        <v>0</v>
      </c>
      <c r="C339" s="10">
        <v>269333</v>
      </c>
      <c r="D339" s="95">
        <f>6.8*A$79</f>
        <v>3.9666666666666668</v>
      </c>
      <c r="E339" s="122">
        <f t="shared" si="91"/>
        <v>1068354.2333333334</v>
      </c>
      <c r="F339" s="96">
        <f t="shared" si="92"/>
        <v>3.1733333333333338</v>
      </c>
      <c r="G339" s="122">
        <f t="shared" si="93"/>
        <v>3576378.7173333336</v>
      </c>
      <c r="H339" s="122">
        <f t="shared" si="94"/>
        <v>1046141.6933333334</v>
      </c>
      <c r="I339" s="94">
        <f>'Modell During mining'!$G333/1000000</f>
        <v>1.9322808000000005</v>
      </c>
      <c r="J339" s="121">
        <f>'Modell During mining'!$D333</f>
        <v>109.96010517725995</v>
      </c>
      <c r="K339" s="93">
        <v>0.95</v>
      </c>
      <c r="L339" s="93">
        <v>1</v>
      </c>
      <c r="M339" s="93">
        <v>0.31</v>
      </c>
      <c r="N339" s="93">
        <v>1</v>
      </c>
      <c r="O339" s="93">
        <v>1.26</v>
      </c>
      <c r="P339" s="93">
        <v>18.8</v>
      </c>
      <c r="Q339" s="93">
        <v>1.6</v>
      </c>
      <c r="R339" s="93">
        <v>0</v>
      </c>
      <c r="S339" s="93">
        <v>0.36</v>
      </c>
      <c r="T339" s="98">
        <f t="shared" si="95"/>
        <v>189.66071055336215</v>
      </c>
      <c r="U339" s="93">
        <v>25.21</v>
      </c>
      <c r="V339" s="98">
        <f t="shared" si="95"/>
        <v>189.66071055336215</v>
      </c>
      <c r="W339" s="93">
        <v>21.42</v>
      </c>
      <c r="X339" s="98">
        <f t="shared" si="95"/>
        <v>189.66071055336215</v>
      </c>
      <c r="Y339" s="93">
        <v>0.11</v>
      </c>
      <c r="Z339" s="98">
        <f t="shared" si="95"/>
        <v>189.66071055336215</v>
      </c>
      <c r="AA339" s="93">
        <v>5.8</v>
      </c>
      <c r="AB339" s="98">
        <f t="shared" si="95"/>
        <v>189.66071055336215</v>
      </c>
      <c r="AC339" s="93">
        <v>1.7</v>
      </c>
      <c r="AD339" s="98">
        <f t="shared" si="95"/>
        <v>189.66071055336215</v>
      </c>
      <c r="AE339" s="93">
        <v>1.84</v>
      </c>
      <c r="AF339" s="98">
        <f t="shared" si="96"/>
        <v>189.66071055336215</v>
      </c>
      <c r="AG339" s="10">
        <f t="shared" si="97"/>
        <v>7.97</v>
      </c>
      <c r="AH339" s="95">
        <f t="shared" si="98"/>
        <v>6.0522808000000001</v>
      </c>
      <c r="AI339" s="122">
        <f t="shared" si="101"/>
        <v>189.66071055336215</v>
      </c>
      <c r="AJ339" s="122">
        <f t="shared" si="99"/>
        <v>424.94317836901337</v>
      </c>
      <c r="AK339" s="122">
        <f t="shared" si="100"/>
        <v>187.66667345860645</v>
      </c>
    </row>
    <row r="340" spans="1:37" x14ac:dyDescent="0.15">
      <c r="A340" s="10">
        <f>A338+1</f>
        <v>2024</v>
      </c>
      <c r="C340" s="10">
        <v>269333</v>
      </c>
      <c r="D340" s="95">
        <f>5*A$80</f>
        <v>2.0833333333333335</v>
      </c>
      <c r="E340" s="122">
        <f t="shared" si="91"/>
        <v>561110.41666666674</v>
      </c>
      <c r="F340" s="96">
        <f t="shared" si="92"/>
        <v>1.666666666666667</v>
      </c>
      <c r="G340" s="122">
        <f t="shared" si="93"/>
        <v>1878350.166666667</v>
      </c>
      <c r="H340" s="122">
        <f t="shared" si="94"/>
        <v>549444.16666666674</v>
      </c>
      <c r="I340" s="94">
        <f>'Modell During mining'!$G334/1000000</f>
        <v>1.2044999999999999</v>
      </c>
      <c r="J340" s="121">
        <f>'Modell During mining'!$D334</f>
        <v>126</v>
      </c>
      <c r="K340" s="93">
        <v>0</v>
      </c>
      <c r="L340" s="93">
        <v>1</v>
      </c>
      <c r="M340" s="93">
        <v>0.31</v>
      </c>
      <c r="N340" s="93">
        <v>1</v>
      </c>
      <c r="O340" s="93">
        <v>1.26</v>
      </c>
      <c r="P340" s="93">
        <v>18.8</v>
      </c>
      <c r="Q340" s="93">
        <v>0</v>
      </c>
      <c r="R340" s="93">
        <v>0</v>
      </c>
      <c r="S340" s="93">
        <v>0.36</v>
      </c>
      <c r="T340" s="98">
        <f t="shared" si="95"/>
        <v>168.68205543254317</v>
      </c>
      <c r="U340" s="93">
        <v>25.21</v>
      </c>
      <c r="V340" s="98">
        <f t="shared" si="95"/>
        <v>168.68205543254317</v>
      </c>
      <c r="W340" s="93">
        <v>21.42</v>
      </c>
      <c r="X340" s="98">
        <f t="shared" si="95"/>
        <v>168.68205543254317</v>
      </c>
      <c r="Y340" s="93">
        <v>0.11</v>
      </c>
      <c r="Z340" s="98">
        <f t="shared" si="95"/>
        <v>168.68205543254317</v>
      </c>
      <c r="AA340" s="93">
        <v>5.8</v>
      </c>
      <c r="AB340" s="98">
        <f t="shared" si="95"/>
        <v>168.68205543254317</v>
      </c>
      <c r="AC340" s="93">
        <v>1.7</v>
      </c>
      <c r="AD340" s="98">
        <f t="shared" si="95"/>
        <v>168.68205543254317</v>
      </c>
      <c r="AE340" s="93">
        <v>1.84</v>
      </c>
      <c r="AF340" s="98">
        <f t="shared" si="96"/>
        <v>168.68205543254317</v>
      </c>
      <c r="AG340" s="10">
        <f t="shared" si="97"/>
        <v>7.97</v>
      </c>
      <c r="AH340" s="95">
        <f t="shared" si="98"/>
        <v>2.7744999999999997</v>
      </c>
      <c r="AI340" s="122">
        <f t="shared" si="101"/>
        <v>168.68205543254317</v>
      </c>
      <c r="AJ340" s="122">
        <f t="shared" si="99"/>
        <v>426.88779434823869</v>
      </c>
      <c r="AK340" s="122">
        <f t="shared" si="100"/>
        <v>166.44796943811986</v>
      </c>
    </row>
    <row r="341" spans="1:37" x14ac:dyDescent="0.15">
      <c r="A341" s="10">
        <f>A340+0.5</f>
        <v>2024.5</v>
      </c>
      <c r="B341" s="10">
        <v>0</v>
      </c>
      <c r="C341" s="10">
        <v>269333</v>
      </c>
      <c r="D341" s="95">
        <f>6.8*A$79</f>
        <v>3.9666666666666668</v>
      </c>
      <c r="E341" s="122">
        <f t="shared" si="91"/>
        <v>1068354.2333333334</v>
      </c>
      <c r="F341" s="96">
        <f t="shared" si="92"/>
        <v>3.1733333333333338</v>
      </c>
      <c r="G341" s="122">
        <f t="shared" si="93"/>
        <v>3576378.7173333336</v>
      </c>
      <c r="H341" s="122">
        <f t="shared" si="94"/>
        <v>1046141.6933333334</v>
      </c>
      <c r="I341" s="94">
        <f>'Modell During mining'!$G335/1000000</f>
        <v>2.0339746666666674</v>
      </c>
      <c r="J341" s="121">
        <f>'Modell During mining'!$D335</f>
        <v>110.37134516916301</v>
      </c>
      <c r="K341" s="93">
        <v>0.95</v>
      </c>
      <c r="L341" s="93">
        <v>1</v>
      </c>
      <c r="M341" s="93">
        <v>0.31</v>
      </c>
      <c r="N341" s="93">
        <v>1</v>
      </c>
      <c r="O341" s="93">
        <v>1.26</v>
      </c>
      <c r="P341" s="93">
        <v>18.8</v>
      </c>
      <c r="Q341" s="93">
        <v>1.6</v>
      </c>
      <c r="R341" s="93">
        <v>0</v>
      </c>
      <c r="S341" s="93">
        <v>0.36</v>
      </c>
      <c r="T341" s="98">
        <f t="shared" si="95"/>
        <v>179.59564385840011</v>
      </c>
      <c r="U341" s="93">
        <v>25.21</v>
      </c>
      <c r="V341" s="98">
        <f t="shared" si="95"/>
        <v>179.59564385840011</v>
      </c>
      <c r="W341" s="93">
        <v>21.42</v>
      </c>
      <c r="X341" s="98">
        <f t="shared" si="95"/>
        <v>179.59564385840011</v>
      </c>
      <c r="Y341" s="93">
        <v>0.11</v>
      </c>
      <c r="Z341" s="98">
        <f t="shared" si="95"/>
        <v>179.59564385840011</v>
      </c>
      <c r="AA341" s="93">
        <v>5.8</v>
      </c>
      <c r="AB341" s="98">
        <f t="shared" si="95"/>
        <v>179.59564385840011</v>
      </c>
      <c r="AC341" s="93">
        <v>1.7</v>
      </c>
      <c r="AD341" s="98">
        <f t="shared" si="95"/>
        <v>179.59564385840011</v>
      </c>
      <c r="AE341" s="93">
        <v>1.84</v>
      </c>
      <c r="AF341" s="98">
        <f t="shared" si="96"/>
        <v>179.59564385840011</v>
      </c>
      <c r="AG341" s="10">
        <f t="shared" si="97"/>
        <v>7.97</v>
      </c>
      <c r="AH341" s="95">
        <f t="shared" si="98"/>
        <v>6.1539746666666684</v>
      </c>
      <c r="AI341" s="122">
        <f t="shared" si="101"/>
        <v>179.59564385840011</v>
      </c>
      <c r="AJ341" s="122">
        <f t="shared" si="99"/>
        <v>407.02155758944173</v>
      </c>
      <c r="AK341" s="122">
        <f t="shared" si="100"/>
        <v>177.65742517976386</v>
      </c>
    </row>
    <row r="342" spans="1:37" x14ac:dyDescent="0.15">
      <c r="A342" s="10">
        <f>A340+1</f>
        <v>2025</v>
      </c>
      <c r="C342" s="10">
        <v>269333</v>
      </c>
      <c r="D342" s="95">
        <f>5*A$80</f>
        <v>2.0833333333333335</v>
      </c>
      <c r="E342" s="122">
        <f t="shared" si="91"/>
        <v>561110.41666666674</v>
      </c>
      <c r="F342" s="96">
        <f t="shared" si="92"/>
        <v>1.666666666666667</v>
      </c>
      <c r="G342" s="122">
        <f t="shared" si="93"/>
        <v>1878350.166666667</v>
      </c>
      <c r="H342" s="122">
        <f t="shared" si="94"/>
        <v>549444.16666666674</v>
      </c>
      <c r="I342" s="94">
        <f>'Modell During mining'!$G336/1000000</f>
        <v>1.2726333333333333</v>
      </c>
      <c r="J342" s="121">
        <f>'Modell During mining'!$D336</f>
        <v>126</v>
      </c>
      <c r="K342" s="93">
        <v>0</v>
      </c>
      <c r="L342" s="93">
        <v>1</v>
      </c>
      <c r="M342" s="93">
        <v>0.31</v>
      </c>
      <c r="N342" s="93">
        <v>1</v>
      </c>
      <c r="O342" s="93">
        <v>1.26</v>
      </c>
      <c r="P342" s="93">
        <v>18.8</v>
      </c>
      <c r="Q342" s="93">
        <v>0</v>
      </c>
      <c r="R342" s="93">
        <v>0</v>
      </c>
      <c r="S342" s="93">
        <v>0.36</v>
      </c>
      <c r="T342" s="98">
        <f t="shared" si="95"/>
        <v>164.57613062598259</v>
      </c>
      <c r="U342" s="93">
        <v>25.21</v>
      </c>
      <c r="V342" s="98">
        <f t="shared" si="95"/>
        <v>164.57613062598259</v>
      </c>
      <c r="W342" s="93">
        <v>21.42</v>
      </c>
      <c r="X342" s="98">
        <f t="shared" si="95"/>
        <v>164.57613062598259</v>
      </c>
      <c r="Y342" s="93">
        <v>0.11</v>
      </c>
      <c r="Z342" s="98">
        <f t="shared" si="95"/>
        <v>164.57613062598259</v>
      </c>
      <c r="AA342" s="93">
        <v>5.8</v>
      </c>
      <c r="AB342" s="98">
        <f t="shared" si="95"/>
        <v>164.57613062598259</v>
      </c>
      <c r="AC342" s="93">
        <v>1.7</v>
      </c>
      <c r="AD342" s="98">
        <f t="shared" si="95"/>
        <v>164.57613062598259</v>
      </c>
      <c r="AE342" s="93">
        <v>1.84</v>
      </c>
      <c r="AF342" s="98">
        <f t="shared" si="96"/>
        <v>164.57613062598259</v>
      </c>
      <c r="AG342" s="10">
        <f t="shared" si="97"/>
        <v>7.97</v>
      </c>
      <c r="AH342" s="95">
        <f t="shared" si="98"/>
        <v>2.8426333333333336</v>
      </c>
      <c r="AI342" s="122">
        <f t="shared" si="101"/>
        <v>164.57613062598259</v>
      </c>
      <c r="AJ342" s="122">
        <f t="shared" si="99"/>
        <v>416.68942948180393</v>
      </c>
      <c r="AK342" s="122">
        <f t="shared" si="100"/>
        <v>162.39167537080462</v>
      </c>
    </row>
    <row r="343" spans="1:37" x14ac:dyDescent="0.15">
      <c r="A343" s="10">
        <f>A342+0.5</f>
        <v>2025.5</v>
      </c>
      <c r="B343" s="10">
        <v>0</v>
      </c>
      <c r="C343" s="10">
        <v>269333</v>
      </c>
      <c r="D343" s="95">
        <f>6.8*A$79</f>
        <v>3.9666666666666668</v>
      </c>
      <c r="E343" s="122">
        <f t="shared" si="91"/>
        <v>1068354.2333333334</v>
      </c>
      <c r="F343" s="96">
        <f t="shared" si="92"/>
        <v>3.1733333333333338</v>
      </c>
      <c r="G343" s="122">
        <f t="shared" si="93"/>
        <v>3576378.7173333336</v>
      </c>
      <c r="H343" s="122">
        <f t="shared" si="94"/>
        <v>1046141.6933333334</v>
      </c>
      <c r="I343" s="94">
        <f>'Modell During mining'!$G337/1000000</f>
        <v>2.1356685333333343</v>
      </c>
      <c r="J343" s="121">
        <f>'Modell During mining'!$D337</f>
        <v>110.74342123253334</v>
      </c>
      <c r="K343" s="93">
        <v>0.95</v>
      </c>
      <c r="L343" s="93">
        <v>1</v>
      </c>
      <c r="M343" s="93">
        <v>0.31</v>
      </c>
      <c r="N343" s="93">
        <v>1</v>
      </c>
      <c r="O343" s="93">
        <v>1.26</v>
      </c>
      <c r="P343" s="93">
        <v>18.8</v>
      </c>
      <c r="Q343" s="93">
        <v>1.6</v>
      </c>
      <c r="R343" s="93">
        <v>0</v>
      </c>
      <c r="S343" s="93">
        <v>0.36</v>
      </c>
      <c r="T343" s="98">
        <f t="shared" si="95"/>
        <v>175.59868555038568</v>
      </c>
      <c r="U343" s="93">
        <v>25.21</v>
      </c>
      <c r="V343" s="98">
        <f t="shared" si="95"/>
        <v>175.59868555038568</v>
      </c>
      <c r="W343" s="93">
        <v>21.42</v>
      </c>
      <c r="X343" s="98">
        <f t="shared" si="95"/>
        <v>175.59868555038568</v>
      </c>
      <c r="Y343" s="93">
        <v>0.11</v>
      </c>
      <c r="Z343" s="98">
        <f t="shared" si="95"/>
        <v>175.59868555038568</v>
      </c>
      <c r="AA343" s="93">
        <v>5.8</v>
      </c>
      <c r="AB343" s="98">
        <f t="shared" si="95"/>
        <v>175.59868555038568</v>
      </c>
      <c r="AC343" s="93">
        <v>1.7</v>
      </c>
      <c r="AD343" s="98">
        <f t="shared" si="95"/>
        <v>175.59868555038568</v>
      </c>
      <c r="AE343" s="93">
        <v>1.84</v>
      </c>
      <c r="AF343" s="98">
        <f t="shared" si="96"/>
        <v>175.59868555038568</v>
      </c>
      <c r="AG343" s="10">
        <f t="shared" si="97"/>
        <v>7.97</v>
      </c>
      <c r="AH343" s="95">
        <f t="shared" si="98"/>
        <v>6.2556685333333348</v>
      </c>
      <c r="AI343" s="122">
        <f t="shared" si="101"/>
        <v>175.59868555038568</v>
      </c>
      <c r="AJ343" s="122">
        <f t="shared" si="99"/>
        <v>396.64799161784288</v>
      </c>
      <c r="AK343" s="122">
        <f t="shared" si="100"/>
        <v>173.71277457233356</v>
      </c>
    </row>
    <row r="344" spans="1:37" x14ac:dyDescent="0.15">
      <c r="A344" s="10">
        <f>A342+1</f>
        <v>2026</v>
      </c>
      <c r="C344" s="10">
        <v>269333</v>
      </c>
      <c r="D344" s="95">
        <f>5*A$80</f>
        <v>2.0833333333333335</v>
      </c>
      <c r="E344" s="122">
        <f t="shared" si="91"/>
        <v>561110.41666666674</v>
      </c>
      <c r="F344" s="96">
        <f t="shared" si="92"/>
        <v>1.666666666666667</v>
      </c>
      <c r="G344" s="122">
        <f t="shared" si="93"/>
        <v>1878350.166666667</v>
      </c>
      <c r="H344" s="122">
        <f t="shared" si="94"/>
        <v>549444.16666666674</v>
      </c>
      <c r="I344" s="94">
        <f>'Modell During mining'!$G338/1000000</f>
        <v>1.3407666666666664</v>
      </c>
      <c r="J344" s="121">
        <f>'Modell During mining'!$D338</f>
        <v>126</v>
      </c>
      <c r="K344" s="93">
        <v>0</v>
      </c>
      <c r="L344" s="93">
        <v>1</v>
      </c>
      <c r="M344" s="93">
        <v>0.31</v>
      </c>
      <c r="N344" s="93">
        <v>1</v>
      </c>
      <c r="O344" s="93">
        <v>1.26</v>
      </c>
      <c r="P344" s="93">
        <v>18.8</v>
      </c>
      <c r="Q344" s="93">
        <v>0</v>
      </c>
      <c r="R344" s="93">
        <v>0</v>
      </c>
      <c r="S344" s="93">
        <v>0.36</v>
      </c>
      <c r="T344" s="98">
        <f t="shared" si="95"/>
        <v>161.77344632150277</v>
      </c>
      <c r="U344" s="93">
        <v>25.21</v>
      </c>
      <c r="V344" s="98">
        <f t="shared" si="95"/>
        <v>161.77344632150277</v>
      </c>
      <c r="W344" s="93">
        <v>21.42</v>
      </c>
      <c r="X344" s="98">
        <f t="shared" si="95"/>
        <v>161.77344632150277</v>
      </c>
      <c r="Y344" s="93">
        <v>0.11</v>
      </c>
      <c r="Z344" s="98">
        <f t="shared" si="95"/>
        <v>161.77344632150277</v>
      </c>
      <c r="AA344" s="93">
        <v>5.8</v>
      </c>
      <c r="AB344" s="98">
        <f t="shared" si="95"/>
        <v>161.77344632150277</v>
      </c>
      <c r="AC344" s="93">
        <v>1.7</v>
      </c>
      <c r="AD344" s="98">
        <f t="shared" si="95"/>
        <v>161.77344632150277</v>
      </c>
      <c r="AE344" s="93">
        <v>1.84</v>
      </c>
      <c r="AF344" s="98">
        <f t="shared" si="96"/>
        <v>161.77344632150277</v>
      </c>
      <c r="AG344" s="10">
        <f t="shared" si="97"/>
        <v>7.97</v>
      </c>
      <c r="AH344" s="95">
        <f t="shared" si="98"/>
        <v>2.9107666666666665</v>
      </c>
      <c r="AI344" s="122">
        <f t="shared" si="101"/>
        <v>161.77344632150277</v>
      </c>
      <c r="AJ344" s="122">
        <f t="shared" si="99"/>
        <v>408.28663074744014</v>
      </c>
      <c r="AK344" s="122">
        <f t="shared" si="100"/>
        <v>159.63631415835528</v>
      </c>
    </row>
    <row r="345" spans="1:37" x14ac:dyDescent="0.15">
      <c r="A345" s="10">
        <f>A344+0.5</f>
        <v>2026.5</v>
      </c>
      <c r="B345" s="10">
        <v>0</v>
      </c>
      <c r="C345" s="10">
        <v>269333</v>
      </c>
      <c r="D345" s="95">
        <f>6.8*A$79</f>
        <v>3.9666666666666668</v>
      </c>
      <c r="E345" s="122">
        <f t="shared" si="91"/>
        <v>1068354.2333333334</v>
      </c>
      <c r="F345" s="96">
        <f t="shared" si="92"/>
        <v>3.1733333333333338</v>
      </c>
      <c r="G345" s="122">
        <f t="shared" si="93"/>
        <v>3576378.7173333336</v>
      </c>
      <c r="H345" s="122">
        <f t="shared" si="94"/>
        <v>1046141.6933333334</v>
      </c>
      <c r="I345" s="94">
        <f>'Modell During mining'!$G339/1000000</f>
        <v>2.2373624000000008</v>
      </c>
      <c r="J345" s="121">
        <f>'Modell During mining'!$D339</f>
        <v>111.08167367074729</v>
      </c>
      <c r="K345" s="93">
        <v>0.95</v>
      </c>
      <c r="L345" s="93">
        <v>1</v>
      </c>
      <c r="M345" s="93">
        <v>0.31</v>
      </c>
      <c r="N345" s="93">
        <v>1</v>
      </c>
      <c r="O345" s="93">
        <v>1.26</v>
      </c>
      <c r="P345" s="93">
        <v>18.8</v>
      </c>
      <c r="Q345" s="93">
        <v>1.6</v>
      </c>
      <c r="R345" s="93">
        <v>0</v>
      </c>
      <c r="S345" s="93">
        <v>0.36</v>
      </c>
      <c r="T345" s="98">
        <f t="shared" si="95"/>
        <v>172.20558065338074</v>
      </c>
      <c r="U345" s="93">
        <v>25.21</v>
      </c>
      <c r="V345" s="98">
        <f t="shared" si="95"/>
        <v>172.20558065338074</v>
      </c>
      <c r="W345" s="93">
        <v>21.42</v>
      </c>
      <c r="X345" s="98">
        <f t="shared" si="95"/>
        <v>172.20558065338074</v>
      </c>
      <c r="Y345" s="93">
        <v>0.11</v>
      </c>
      <c r="Z345" s="98">
        <f t="shared" si="95"/>
        <v>172.20558065338074</v>
      </c>
      <c r="AA345" s="93">
        <v>5.8</v>
      </c>
      <c r="AB345" s="98">
        <f t="shared" si="95"/>
        <v>172.20558065338074</v>
      </c>
      <c r="AC345" s="93">
        <v>1.7</v>
      </c>
      <c r="AD345" s="98">
        <f t="shared" si="95"/>
        <v>172.20558065338074</v>
      </c>
      <c r="AE345" s="93">
        <v>1.84</v>
      </c>
      <c r="AF345" s="98">
        <f t="shared" si="96"/>
        <v>172.20558065338074</v>
      </c>
      <c r="AG345" s="10">
        <f t="shared" si="97"/>
        <v>7.97</v>
      </c>
      <c r="AH345" s="95">
        <f t="shared" si="98"/>
        <v>6.3573624000000013</v>
      </c>
      <c r="AI345" s="122">
        <f t="shared" si="101"/>
        <v>172.20558065338074</v>
      </c>
      <c r="AJ345" s="122">
        <f t="shared" si="99"/>
        <v>387.33589618195208</v>
      </c>
      <c r="AK345" s="122">
        <f t="shared" si="100"/>
        <v>170.36881302672251</v>
      </c>
    </row>
    <row r="346" spans="1:37" x14ac:dyDescent="0.15">
      <c r="A346" s="10">
        <f>A344+1</f>
        <v>2027</v>
      </c>
      <c r="C346" s="10">
        <v>269333</v>
      </c>
      <c r="D346" s="95">
        <f>5*A$80</f>
        <v>2.0833333333333335</v>
      </c>
      <c r="E346" s="122">
        <f t="shared" si="91"/>
        <v>561110.41666666674</v>
      </c>
      <c r="F346" s="96">
        <f t="shared" si="92"/>
        <v>1.666666666666667</v>
      </c>
      <c r="G346" s="122">
        <f t="shared" si="93"/>
        <v>1878350.166666667</v>
      </c>
      <c r="H346" s="122">
        <f t="shared" si="94"/>
        <v>549444.16666666674</v>
      </c>
      <c r="I346" s="94">
        <f>'Modell During mining'!$G340/1000000</f>
        <v>1.4088999999999998</v>
      </c>
      <c r="J346" s="121">
        <f>'Modell During mining'!$D340</f>
        <v>126</v>
      </c>
      <c r="K346" s="93">
        <v>0</v>
      </c>
      <c r="L346" s="93">
        <v>1</v>
      </c>
      <c r="M346" s="93">
        <v>0.31</v>
      </c>
      <c r="N346" s="93">
        <v>1</v>
      </c>
      <c r="O346" s="93">
        <v>1.26</v>
      </c>
      <c r="P346" s="93">
        <v>18.8</v>
      </c>
      <c r="Q346" s="93">
        <v>0</v>
      </c>
      <c r="R346" s="93">
        <v>0</v>
      </c>
      <c r="S346" s="93">
        <v>0.36</v>
      </c>
      <c r="T346" s="98">
        <f t="shared" si="95"/>
        <v>159.18747402208436</v>
      </c>
      <c r="U346" s="93">
        <v>25.21</v>
      </c>
      <c r="V346" s="98">
        <f t="shared" si="95"/>
        <v>159.18747402208436</v>
      </c>
      <c r="W346" s="93">
        <v>21.42</v>
      </c>
      <c r="X346" s="98">
        <f t="shared" si="95"/>
        <v>159.18747402208436</v>
      </c>
      <c r="Y346" s="93">
        <v>0.11</v>
      </c>
      <c r="Z346" s="98">
        <f t="shared" si="95"/>
        <v>159.18747402208436</v>
      </c>
      <c r="AA346" s="93">
        <v>5.8</v>
      </c>
      <c r="AB346" s="98">
        <f t="shared" si="95"/>
        <v>159.18747402208436</v>
      </c>
      <c r="AC346" s="93">
        <v>1.7</v>
      </c>
      <c r="AD346" s="98">
        <f t="shared" si="95"/>
        <v>159.18747402208436</v>
      </c>
      <c r="AE346" s="93">
        <v>1.84</v>
      </c>
      <c r="AF346" s="98">
        <f t="shared" si="96"/>
        <v>159.18747402208436</v>
      </c>
      <c r="AG346" s="10">
        <f t="shared" si="97"/>
        <v>7.97</v>
      </c>
      <c r="AH346" s="95">
        <f t="shared" si="98"/>
        <v>2.9788999999999999</v>
      </c>
      <c r="AI346" s="122">
        <f t="shared" si="101"/>
        <v>159.18747402208436</v>
      </c>
      <c r="AJ346" s="122">
        <f t="shared" si="99"/>
        <v>400.37433091628844</v>
      </c>
      <c r="AK346" s="122">
        <f t="shared" si="100"/>
        <v>157.09552081187931</v>
      </c>
    </row>
    <row r="347" spans="1:37" x14ac:dyDescent="0.15">
      <c r="A347" s="10">
        <f>A346+0.5</f>
        <v>2027.5</v>
      </c>
      <c r="B347" s="10">
        <v>0</v>
      </c>
      <c r="C347" s="10">
        <v>269333</v>
      </c>
      <c r="D347" s="95">
        <f>6.8*A$79</f>
        <v>3.9666666666666668</v>
      </c>
      <c r="E347" s="122">
        <f t="shared" si="91"/>
        <v>1068354.2333333334</v>
      </c>
      <c r="F347" s="96">
        <f t="shared" si="92"/>
        <v>3.1733333333333338</v>
      </c>
      <c r="G347" s="122">
        <f t="shared" si="93"/>
        <v>3576378.7173333336</v>
      </c>
      <c r="H347" s="122">
        <f t="shared" si="94"/>
        <v>1046141.6933333334</v>
      </c>
      <c r="I347" s="94">
        <f>'Modell During mining'!$G341/1000000</f>
        <v>2.3390562666666677</v>
      </c>
      <c r="J347" s="121">
        <f>'Modell During mining'!$D341</f>
        <v>111.39051407741538</v>
      </c>
      <c r="K347" s="93">
        <v>0.95</v>
      </c>
      <c r="L347" s="93">
        <v>1</v>
      </c>
      <c r="M347" s="93">
        <v>0.31</v>
      </c>
      <c r="N347" s="93">
        <v>1</v>
      </c>
      <c r="O347" s="93">
        <v>1.26</v>
      </c>
      <c r="P347" s="93">
        <v>18.8</v>
      </c>
      <c r="Q347" s="93">
        <v>1.6</v>
      </c>
      <c r="R347" s="93">
        <v>0</v>
      </c>
      <c r="S347" s="93">
        <v>0.36</v>
      </c>
      <c r="T347" s="98">
        <f t="shared" si="95"/>
        <v>169.03249364203813</v>
      </c>
      <c r="U347" s="93">
        <v>25.21</v>
      </c>
      <c r="V347" s="98">
        <f t="shared" si="95"/>
        <v>169.03249364203813</v>
      </c>
      <c r="W347" s="93">
        <v>21.42</v>
      </c>
      <c r="X347" s="98">
        <f t="shared" si="95"/>
        <v>169.03249364203813</v>
      </c>
      <c r="Y347" s="93">
        <v>0.11</v>
      </c>
      <c r="Z347" s="98">
        <f t="shared" si="95"/>
        <v>169.03249364203813</v>
      </c>
      <c r="AA347" s="93">
        <v>5.8</v>
      </c>
      <c r="AB347" s="98">
        <f t="shared" si="95"/>
        <v>169.03249364203813</v>
      </c>
      <c r="AC347" s="93">
        <v>1.7</v>
      </c>
      <c r="AD347" s="98">
        <f t="shared" si="95"/>
        <v>169.03249364203813</v>
      </c>
      <c r="AE347" s="93">
        <v>1.84</v>
      </c>
      <c r="AF347" s="98">
        <f t="shared" si="96"/>
        <v>169.03249364203813</v>
      </c>
      <c r="AG347" s="10">
        <f t="shared" si="97"/>
        <v>7.97</v>
      </c>
      <c r="AH347" s="95">
        <f t="shared" si="98"/>
        <v>6.4590562666666678</v>
      </c>
      <c r="AI347" s="122">
        <f t="shared" si="101"/>
        <v>169.03249364203813</v>
      </c>
      <c r="AJ347" s="122">
        <f t="shared" si="99"/>
        <v>378.59944593118325</v>
      </c>
      <c r="AK347" s="122">
        <f t="shared" si="100"/>
        <v>167.24200573708018</v>
      </c>
    </row>
    <row r="348" spans="1:37" x14ac:dyDescent="0.15">
      <c r="A348" s="10">
        <f>A346+1</f>
        <v>2028</v>
      </c>
      <c r="C348" s="10">
        <v>269333</v>
      </c>
      <c r="D348" s="95">
        <f>5*A$80</f>
        <v>2.0833333333333335</v>
      </c>
      <c r="E348" s="122">
        <f t="shared" si="91"/>
        <v>561110.41666666674</v>
      </c>
      <c r="F348" s="96">
        <f t="shared" si="92"/>
        <v>1.666666666666667</v>
      </c>
      <c r="G348" s="122">
        <f t="shared" si="93"/>
        <v>1878350.166666667</v>
      </c>
      <c r="H348" s="122">
        <f t="shared" si="94"/>
        <v>549444.16666666674</v>
      </c>
      <c r="I348" s="94">
        <f>'Modell During mining'!$G342/1000000</f>
        <v>1.477033333333333</v>
      </c>
      <c r="J348" s="121">
        <f>'Modell During mining'!$D342</f>
        <v>126</v>
      </c>
      <c r="K348" s="93">
        <v>0</v>
      </c>
      <c r="L348" s="93">
        <v>1</v>
      </c>
      <c r="M348" s="93">
        <v>0.31</v>
      </c>
      <c r="N348" s="93">
        <v>1</v>
      </c>
      <c r="O348" s="93">
        <v>1.26</v>
      </c>
      <c r="P348" s="93">
        <v>18.8</v>
      </c>
      <c r="Q348" s="93">
        <v>0</v>
      </c>
      <c r="R348" s="93">
        <v>0</v>
      </c>
      <c r="S348" s="93">
        <v>0.36</v>
      </c>
      <c r="T348" s="98">
        <f t="shared" si="95"/>
        <v>156.73611353147783</v>
      </c>
      <c r="U348" s="93">
        <v>25.21</v>
      </c>
      <c r="V348" s="98">
        <f t="shared" si="95"/>
        <v>156.73611353147783</v>
      </c>
      <c r="W348" s="93">
        <v>21.42</v>
      </c>
      <c r="X348" s="98">
        <f t="shared" si="95"/>
        <v>156.73611353147783</v>
      </c>
      <c r="Y348" s="93">
        <v>0.11</v>
      </c>
      <c r="Z348" s="98">
        <f t="shared" si="95"/>
        <v>156.73611353147783</v>
      </c>
      <c r="AA348" s="93">
        <v>5.8</v>
      </c>
      <c r="AB348" s="98">
        <f t="shared" si="95"/>
        <v>156.73611353147783</v>
      </c>
      <c r="AC348" s="93">
        <v>1.7</v>
      </c>
      <c r="AD348" s="98">
        <f t="shared" si="95"/>
        <v>156.73611353147783</v>
      </c>
      <c r="AE348" s="93">
        <v>1.84</v>
      </c>
      <c r="AF348" s="98">
        <f t="shared" si="96"/>
        <v>156.73611353147783</v>
      </c>
      <c r="AG348" s="10">
        <f t="shared" si="97"/>
        <v>7.97</v>
      </c>
      <c r="AH348" s="95">
        <f t="shared" si="98"/>
        <v>3.0470333333333333</v>
      </c>
      <c r="AI348" s="122">
        <f t="shared" si="101"/>
        <v>156.73611353147783</v>
      </c>
      <c r="AJ348" s="122">
        <f t="shared" si="99"/>
        <v>392.83893619859384</v>
      </c>
      <c r="AK348" s="122">
        <f t="shared" si="100"/>
        <v>154.68734323660564</v>
      </c>
    </row>
    <row r="349" spans="1:37" x14ac:dyDescent="0.15">
      <c r="A349" s="10">
        <f>A348+0.5</f>
        <v>2028.5</v>
      </c>
      <c r="B349" s="10">
        <v>0</v>
      </c>
      <c r="C349" s="10">
        <v>269333</v>
      </c>
      <c r="D349" s="95">
        <f>6.8*A$79</f>
        <v>3.9666666666666668</v>
      </c>
      <c r="E349" s="122">
        <f t="shared" si="91"/>
        <v>1068354.2333333334</v>
      </c>
      <c r="F349" s="96">
        <f t="shared" si="92"/>
        <v>3.1733333333333338</v>
      </c>
      <c r="G349" s="122">
        <f t="shared" si="93"/>
        <v>3576378.7173333336</v>
      </c>
      <c r="H349" s="122">
        <f t="shared" si="94"/>
        <v>1046141.6933333334</v>
      </c>
      <c r="I349" s="94">
        <f>'Modell During mining'!$G343/1000000</f>
        <v>2.4407501333333341</v>
      </c>
      <c r="J349" s="121">
        <f>'Modell During mining'!$D343</f>
        <v>111.67361880986752</v>
      </c>
      <c r="K349" s="93">
        <v>0.95</v>
      </c>
      <c r="L349" s="93">
        <v>1</v>
      </c>
      <c r="M349" s="93">
        <v>0.31</v>
      </c>
      <c r="N349" s="93">
        <v>1</v>
      </c>
      <c r="O349" s="93">
        <v>1.26</v>
      </c>
      <c r="P349" s="93">
        <v>18.8</v>
      </c>
      <c r="Q349" s="93">
        <v>1.6</v>
      </c>
      <c r="R349" s="93">
        <v>0</v>
      </c>
      <c r="S349" s="93">
        <v>0.36</v>
      </c>
      <c r="T349" s="98">
        <f t="shared" si="95"/>
        <v>166.03895271807755</v>
      </c>
      <c r="U349" s="93">
        <v>25.21</v>
      </c>
      <c r="V349" s="98">
        <f t="shared" si="95"/>
        <v>166.03895271807755</v>
      </c>
      <c r="W349" s="93">
        <v>21.42</v>
      </c>
      <c r="X349" s="98">
        <f t="shared" si="95"/>
        <v>166.03895271807755</v>
      </c>
      <c r="Y349" s="93">
        <v>0.11</v>
      </c>
      <c r="Z349" s="98">
        <f t="shared" si="95"/>
        <v>166.03895271807755</v>
      </c>
      <c r="AA349" s="93">
        <v>5.8</v>
      </c>
      <c r="AB349" s="98">
        <f t="shared" si="95"/>
        <v>166.03895271807755</v>
      </c>
      <c r="AC349" s="93">
        <v>1.7</v>
      </c>
      <c r="AD349" s="98">
        <f t="shared" si="95"/>
        <v>166.03895271807755</v>
      </c>
      <c r="AE349" s="93">
        <v>1.84</v>
      </c>
      <c r="AF349" s="98">
        <f t="shared" si="96"/>
        <v>166.03895271807755</v>
      </c>
      <c r="AG349" s="10">
        <f t="shared" si="97"/>
        <v>7.97</v>
      </c>
      <c r="AH349" s="95">
        <f t="shared" si="98"/>
        <v>6.5607501333333342</v>
      </c>
      <c r="AI349" s="122">
        <f t="shared" si="101"/>
        <v>166.03895271807755</v>
      </c>
      <c r="AJ349" s="122">
        <f t="shared" si="99"/>
        <v>370.36142937119092</v>
      </c>
      <c r="AK349" s="122">
        <f t="shared" si="100"/>
        <v>164.29214336397101</v>
      </c>
    </row>
    <row r="350" spans="1:37" x14ac:dyDescent="0.15">
      <c r="A350" s="10">
        <f>A348+1</f>
        <v>2029</v>
      </c>
      <c r="C350" s="10">
        <v>269333</v>
      </c>
      <c r="D350" s="95">
        <f>5*A$80</f>
        <v>2.0833333333333335</v>
      </c>
      <c r="E350" s="122">
        <f t="shared" si="91"/>
        <v>561110.41666666674</v>
      </c>
      <c r="F350" s="96">
        <f t="shared" si="92"/>
        <v>1.666666666666667</v>
      </c>
      <c r="G350" s="122">
        <f t="shared" si="93"/>
        <v>1878350.166666667</v>
      </c>
      <c r="H350" s="122">
        <f t="shared" si="94"/>
        <v>549444.16666666674</v>
      </c>
      <c r="I350" s="94">
        <f>'Modell During mining'!$G344/1000000</f>
        <v>1.5451666666666664</v>
      </c>
      <c r="J350" s="121">
        <f>'Modell During mining'!$D344</f>
        <v>126</v>
      </c>
      <c r="K350" s="93">
        <v>0</v>
      </c>
      <c r="L350" s="93">
        <v>1</v>
      </c>
      <c r="M350" s="93">
        <v>0.31</v>
      </c>
      <c r="N350" s="93">
        <v>1</v>
      </c>
      <c r="O350" s="93">
        <v>1.26</v>
      </c>
      <c r="P350" s="93">
        <v>18.8</v>
      </c>
      <c r="Q350" s="93">
        <v>0</v>
      </c>
      <c r="R350" s="93">
        <v>0</v>
      </c>
      <c r="S350" s="93">
        <v>0.36</v>
      </c>
      <c r="T350" s="98">
        <f t="shared" si="95"/>
        <v>154.40502932130397</v>
      </c>
      <c r="U350" s="93">
        <v>25.21</v>
      </c>
      <c r="V350" s="98">
        <f t="shared" si="95"/>
        <v>154.40502932130397</v>
      </c>
      <c r="W350" s="93">
        <v>21.42</v>
      </c>
      <c r="X350" s="98">
        <f t="shared" si="95"/>
        <v>154.40502932130397</v>
      </c>
      <c r="Y350" s="93">
        <v>0.11</v>
      </c>
      <c r="Z350" s="98">
        <f t="shared" si="95"/>
        <v>154.40502932130397</v>
      </c>
      <c r="AA350" s="93">
        <v>5.8</v>
      </c>
      <c r="AB350" s="98">
        <f t="shared" si="95"/>
        <v>154.40502932130397</v>
      </c>
      <c r="AC350" s="93">
        <v>1.7</v>
      </c>
      <c r="AD350" s="98">
        <f t="shared" si="95"/>
        <v>154.40502932130397</v>
      </c>
      <c r="AE350" s="93">
        <v>1.84</v>
      </c>
      <c r="AF350" s="98">
        <f t="shared" si="96"/>
        <v>154.40502932130397</v>
      </c>
      <c r="AG350" s="10">
        <f t="shared" si="97"/>
        <v>7.97</v>
      </c>
      <c r="AH350" s="95">
        <f t="shared" si="98"/>
        <v>3.1151666666666662</v>
      </c>
      <c r="AI350" s="122">
        <f t="shared" si="101"/>
        <v>154.40502932130397</v>
      </c>
      <c r="AJ350" s="122">
        <f t="shared" si="99"/>
        <v>385.6485324416654</v>
      </c>
      <c r="AK350" s="122">
        <f t="shared" si="100"/>
        <v>152.39758039090509</v>
      </c>
    </row>
    <row r="351" spans="1:37" x14ac:dyDescent="0.15">
      <c r="A351" s="10">
        <f>A350+0.5</f>
        <v>2029.5</v>
      </c>
      <c r="B351" s="10">
        <v>0</v>
      </c>
      <c r="C351" s="10">
        <v>269333</v>
      </c>
      <c r="D351" s="95">
        <f>6.8*A$79</f>
        <v>3.9666666666666668</v>
      </c>
      <c r="E351" s="122">
        <f t="shared" si="91"/>
        <v>1068354.2333333334</v>
      </c>
      <c r="F351" s="96">
        <f t="shared" si="92"/>
        <v>3.1733333333333338</v>
      </c>
      <c r="G351" s="122">
        <f t="shared" si="93"/>
        <v>3576378.7173333336</v>
      </c>
      <c r="H351" s="122">
        <f t="shared" si="94"/>
        <v>1046141.6933333334</v>
      </c>
      <c r="I351" s="94">
        <f>'Modell During mining'!$G345/1000000</f>
        <v>2.5424440000000001</v>
      </c>
      <c r="J351" s="121">
        <f>'Modell During mining'!$D345</f>
        <v>111.93407603077983</v>
      </c>
      <c r="K351" s="93">
        <v>0.95</v>
      </c>
      <c r="L351" s="93">
        <v>1</v>
      </c>
      <c r="M351" s="93">
        <v>0.31</v>
      </c>
      <c r="N351" s="93">
        <v>1</v>
      </c>
      <c r="O351" s="93">
        <v>1.26</v>
      </c>
      <c r="P351" s="93">
        <v>18.8</v>
      </c>
      <c r="Q351" s="93">
        <v>1.6</v>
      </c>
      <c r="R351" s="93">
        <v>0</v>
      </c>
      <c r="S351" s="93">
        <v>0.36</v>
      </c>
      <c r="T351" s="98">
        <f t="shared" si="95"/>
        <v>163.20873148094276</v>
      </c>
      <c r="U351" s="93">
        <v>25.21</v>
      </c>
      <c r="V351" s="98">
        <f t="shared" si="95"/>
        <v>163.20873148094276</v>
      </c>
      <c r="W351" s="93">
        <v>21.42</v>
      </c>
      <c r="X351" s="98">
        <f t="shared" si="95"/>
        <v>163.20873148094276</v>
      </c>
      <c r="Y351" s="93">
        <v>0.11</v>
      </c>
      <c r="Z351" s="98">
        <f t="shared" si="95"/>
        <v>163.20873148094276</v>
      </c>
      <c r="AA351" s="93">
        <v>5.8</v>
      </c>
      <c r="AB351" s="98">
        <f t="shared" si="95"/>
        <v>163.20873148094276</v>
      </c>
      <c r="AC351" s="93">
        <v>1.7</v>
      </c>
      <c r="AD351" s="98">
        <f t="shared" si="95"/>
        <v>163.20873148094276</v>
      </c>
      <c r="AE351" s="93">
        <v>1.84</v>
      </c>
      <c r="AF351" s="98">
        <f t="shared" si="96"/>
        <v>163.20873148094276</v>
      </c>
      <c r="AG351" s="10">
        <f t="shared" si="97"/>
        <v>7.97</v>
      </c>
      <c r="AH351" s="95">
        <f t="shared" si="98"/>
        <v>6.6624440000000007</v>
      </c>
      <c r="AI351" s="122">
        <f t="shared" si="101"/>
        <v>163.20873148094276</v>
      </c>
      <c r="AJ351" s="122">
        <f t="shared" si="99"/>
        <v>362.57682279667898</v>
      </c>
      <c r="AK351" s="122">
        <f t="shared" si="100"/>
        <v>161.5032296935297</v>
      </c>
    </row>
    <row r="352" spans="1:37" x14ac:dyDescent="0.15">
      <c r="A352" s="10">
        <f>A350+1</f>
        <v>2030</v>
      </c>
      <c r="C352" s="10">
        <v>269333</v>
      </c>
      <c r="D352" s="95">
        <f>5*A$80</f>
        <v>2.0833333333333335</v>
      </c>
      <c r="E352" s="122">
        <f t="shared" si="91"/>
        <v>561110.41666666674</v>
      </c>
      <c r="F352" s="96">
        <f t="shared" si="92"/>
        <v>1.666666666666667</v>
      </c>
      <c r="G352" s="122">
        <f t="shared" si="93"/>
        <v>1878350.166666667</v>
      </c>
      <c r="H352" s="122">
        <f t="shared" si="94"/>
        <v>549444.16666666674</v>
      </c>
      <c r="I352" s="94">
        <f>'Modell During mining'!$G346/1000000</f>
        <v>1.6133</v>
      </c>
      <c r="J352" s="121">
        <f>'Modell During mining'!$D346</f>
        <v>126</v>
      </c>
      <c r="K352" s="93">
        <v>0</v>
      </c>
      <c r="L352" s="93">
        <v>1</v>
      </c>
      <c r="M352" s="93">
        <v>0.31</v>
      </c>
      <c r="N352" s="93">
        <v>1</v>
      </c>
      <c r="O352" s="93">
        <v>1.26</v>
      </c>
      <c r="P352" s="93">
        <v>18.8</v>
      </c>
      <c r="Q352" s="93">
        <v>0</v>
      </c>
      <c r="R352" s="93">
        <v>0</v>
      </c>
      <c r="S352" s="93">
        <v>0.36</v>
      </c>
      <c r="T352" s="98">
        <f t="shared" si="95"/>
        <v>152.18517709302805</v>
      </c>
      <c r="U352" s="93">
        <v>25.21</v>
      </c>
      <c r="V352" s="98">
        <f t="shared" si="95"/>
        <v>152.18517709302805</v>
      </c>
      <c r="W352" s="93">
        <v>21.42</v>
      </c>
      <c r="X352" s="98">
        <f t="shared" si="95"/>
        <v>152.18517709302805</v>
      </c>
      <c r="Y352" s="93">
        <v>0.11</v>
      </c>
      <c r="Z352" s="98">
        <f t="shared" si="95"/>
        <v>152.18517709302805</v>
      </c>
      <c r="AA352" s="93">
        <v>5.8</v>
      </c>
      <c r="AB352" s="98">
        <f t="shared" si="95"/>
        <v>152.18517709302805</v>
      </c>
      <c r="AC352" s="93">
        <v>1.7</v>
      </c>
      <c r="AD352" s="98">
        <f t="shared" si="95"/>
        <v>152.18517709302805</v>
      </c>
      <c r="AE352" s="93">
        <v>1.84</v>
      </c>
      <c r="AF352" s="98">
        <f t="shared" si="96"/>
        <v>152.18517709302805</v>
      </c>
      <c r="AG352" s="10">
        <f t="shared" si="97"/>
        <v>7.97</v>
      </c>
      <c r="AH352" s="95">
        <f t="shared" si="98"/>
        <v>3.1833</v>
      </c>
      <c r="AI352" s="122">
        <f t="shared" si="101"/>
        <v>152.18517709302805</v>
      </c>
      <c r="AJ352" s="122">
        <f t="shared" si="99"/>
        <v>378.77883005856052</v>
      </c>
      <c r="AK352" s="122">
        <f t="shared" si="100"/>
        <v>150.21731039443625</v>
      </c>
    </row>
    <row r="353" spans="1:37" x14ac:dyDescent="0.15">
      <c r="A353" s="10">
        <f>A352+0.5</f>
        <v>2030.5</v>
      </c>
      <c r="AI353" s="122">
        <f t="shared" si="101"/>
        <v>160.52863684082305</v>
      </c>
      <c r="AJ353" s="122">
        <f t="shared" si="99"/>
        <v>355.2073029589389</v>
      </c>
      <c r="AK353" s="122">
        <f t="shared" si="100"/>
        <v>158.86227444118092</v>
      </c>
    </row>
    <row r="358" spans="1:37" x14ac:dyDescent="0.15">
      <c r="A358" s="10">
        <f>7/12</f>
        <v>0.58333333333333337</v>
      </c>
      <c r="B358" s="10" t="s">
        <v>1086</v>
      </c>
      <c r="C358" s="11" t="s">
        <v>1127</v>
      </c>
      <c r="D358" s="11" t="s">
        <v>1127</v>
      </c>
      <c r="E358" s="11" t="s">
        <v>1127</v>
      </c>
      <c r="F358" s="11"/>
      <c r="G358" s="11" t="s">
        <v>1127</v>
      </c>
      <c r="H358" s="11" t="s">
        <v>1127</v>
      </c>
      <c r="I358" s="11" t="s">
        <v>1127</v>
      </c>
      <c r="J358" s="11" t="s">
        <v>1127</v>
      </c>
      <c r="K358" s="11" t="s">
        <v>1127</v>
      </c>
      <c r="L358" s="11" t="s">
        <v>1127</v>
      </c>
      <c r="M358" s="11" t="s">
        <v>1127</v>
      </c>
      <c r="N358" s="11" t="s">
        <v>1127</v>
      </c>
      <c r="O358" s="11" t="s">
        <v>1127</v>
      </c>
      <c r="P358" s="11" t="s">
        <v>1127</v>
      </c>
      <c r="Q358" s="11" t="s">
        <v>1127</v>
      </c>
      <c r="R358" s="11" t="s">
        <v>1127</v>
      </c>
      <c r="S358" s="11" t="s">
        <v>1127</v>
      </c>
      <c r="T358" s="11" t="s">
        <v>1127</v>
      </c>
      <c r="U358" s="11" t="s">
        <v>1127</v>
      </c>
      <c r="V358" s="11" t="s">
        <v>1127</v>
      </c>
      <c r="W358" s="11" t="s">
        <v>1127</v>
      </c>
      <c r="X358" s="11" t="s">
        <v>1127</v>
      </c>
      <c r="Y358" s="11" t="s">
        <v>1127</v>
      </c>
      <c r="Z358" s="11" t="s">
        <v>1127</v>
      </c>
      <c r="AA358" s="11" t="s">
        <v>1127</v>
      </c>
      <c r="AB358" s="11" t="s">
        <v>1127</v>
      </c>
      <c r="AC358" s="11" t="s">
        <v>1127</v>
      </c>
      <c r="AD358" s="11" t="s">
        <v>1127</v>
      </c>
      <c r="AE358" s="11" t="s">
        <v>1127</v>
      </c>
      <c r="AF358" s="11" t="s">
        <v>1127</v>
      </c>
      <c r="AG358" s="11" t="s">
        <v>1127</v>
      </c>
      <c r="AH358" s="11" t="s">
        <v>1127</v>
      </c>
      <c r="AI358" s="11" t="s">
        <v>1127</v>
      </c>
      <c r="AJ358" s="11" t="s">
        <v>1127</v>
      </c>
      <c r="AK358" s="11" t="s">
        <v>1127</v>
      </c>
    </row>
    <row r="359" spans="1:37" x14ac:dyDescent="0.15">
      <c r="A359">
        <f>5/12</f>
        <v>0.41666666666666669</v>
      </c>
      <c r="B359" s="10" t="s">
        <v>1087</v>
      </c>
      <c r="C359" s="118" t="s">
        <v>1174</v>
      </c>
      <c r="E359" s="10">
        <v>83773</v>
      </c>
      <c r="F359" s="10" t="s">
        <v>1456</v>
      </c>
      <c r="G359" s="10">
        <v>581426</v>
      </c>
      <c r="H359" s="10">
        <v>141778</v>
      </c>
      <c r="L359" s="96"/>
      <c r="N359" s="96"/>
      <c r="P359" s="96"/>
      <c r="R359" s="96"/>
      <c r="S359" s="10"/>
      <c r="T359" s="96"/>
      <c r="V359" s="96"/>
      <c r="X359" s="96"/>
      <c r="Z359" s="96"/>
      <c r="AB359" s="96"/>
      <c r="AD359" s="96"/>
      <c r="AF359" s="96"/>
      <c r="AI359" t="s">
        <v>1443</v>
      </c>
      <c r="AJ359" t="s">
        <v>1444</v>
      </c>
      <c r="AK359" t="s">
        <v>1445</v>
      </c>
    </row>
    <row r="360" spans="1:37" ht="27" customHeight="1" x14ac:dyDescent="0.15">
      <c r="B360" s="10" t="s">
        <v>1058</v>
      </c>
      <c r="C360" s="10" t="s">
        <v>1066</v>
      </c>
      <c r="D360" s="97" t="s">
        <v>1056</v>
      </c>
      <c r="E360" s="97" t="s">
        <v>1439</v>
      </c>
      <c r="F360" s="97" t="s">
        <v>1056</v>
      </c>
      <c r="G360" s="97" t="s">
        <v>1427</v>
      </c>
      <c r="H360" s="97" t="s">
        <v>1428</v>
      </c>
      <c r="I360" s="85" t="s">
        <v>918</v>
      </c>
      <c r="J360" s="85" t="s">
        <v>657</v>
      </c>
      <c r="K360" s="85" t="s">
        <v>919</v>
      </c>
      <c r="L360" s="10" t="s">
        <v>634</v>
      </c>
      <c r="M360" s="85" t="s">
        <v>947</v>
      </c>
      <c r="N360" s="10" t="s">
        <v>634</v>
      </c>
      <c r="O360" s="85" t="s">
        <v>779</v>
      </c>
      <c r="P360" s="10" t="s">
        <v>634</v>
      </c>
      <c r="Q360" s="85" t="s">
        <v>780</v>
      </c>
      <c r="R360" s="10" t="s">
        <v>634</v>
      </c>
      <c r="S360" s="85" t="s">
        <v>948</v>
      </c>
      <c r="T360" s="10" t="s">
        <v>634</v>
      </c>
      <c r="U360" s="85" t="s">
        <v>949</v>
      </c>
      <c r="V360" s="10" t="s">
        <v>634</v>
      </c>
      <c r="W360" s="85" t="s">
        <v>950</v>
      </c>
      <c r="X360" s="10" t="s">
        <v>634</v>
      </c>
      <c r="Y360" s="85" t="s">
        <v>783</v>
      </c>
      <c r="Z360" s="10" t="s">
        <v>634</v>
      </c>
      <c r="AA360" s="85" t="s">
        <v>784</v>
      </c>
      <c r="AB360" s="10" t="s">
        <v>634</v>
      </c>
      <c r="AC360" s="85" t="s">
        <v>785</v>
      </c>
      <c r="AD360" s="10" t="s">
        <v>634</v>
      </c>
      <c r="AE360" s="85" t="s">
        <v>1205</v>
      </c>
      <c r="AF360" s="10" t="s">
        <v>634</v>
      </c>
      <c r="AG360" s="85" t="s">
        <v>1060</v>
      </c>
      <c r="AH360" s="85" t="s">
        <v>1061</v>
      </c>
      <c r="AI360" s="10" t="s">
        <v>1455</v>
      </c>
      <c r="AJ360" s="10" t="s">
        <v>1455</v>
      </c>
      <c r="AK360" s="10" t="s">
        <v>1455</v>
      </c>
    </row>
    <row r="361" spans="1:37" x14ac:dyDescent="0.15">
      <c r="A361" s="10">
        <v>2014.5</v>
      </c>
      <c r="B361" s="10">
        <v>0</v>
      </c>
      <c r="C361" s="10">
        <v>83773</v>
      </c>
      <c r="D361" s="95">
        <f>5*A358</f>
        <v>2.916666666666667</v>
      </c>
      <c r="E361" s="122">
        <f>C361*D361</f>
        <v>244337.91666666669</v>
      </c>
      <c r="F361" s="96">
        <f>D361*0.8</f>
        <v>2.3333333333333335</v>
      </c>
      <c r="G361" s="122">
        <f>(C361*0.4*D361+G$359*0.6*F361)</f>
        <v>911731.56666666665</v>
      </c>
      <c r="H361" s="122">
        <f>(C361*0.4+H$359*0.6)*D361</f>
        <v>345846.66666666669</v>
      </c>
      <c r="I361" s="94">
        <f>'Modell During mining'!$G355/1000000</f>
        <v>1.0170360000000001</v>
      </c>
      <c r="J361" s="121">
        <f>'Modell During mining'!$D355</f>
        <v>76.129934436932416</v>
      </c>
      <c r="K361" s="93">
        <v>0.95</v>
      </c>
      <c r="L361" s="93">
        <v>1.6</v>
      </c>
      <c r="M361" s="93">
        <v>0.31</v>
      </c>
      <c r="N361" s="93">
        <v>1.6</v>
      </c>
      <c r="O361" s="93">
        <v>1.26</v>
      </c>
      <c r="P361" s="93">
        <v>35.5</v>
      </c>
      <c r="Q361" s="93">
        <v>1.6</v>
      </c>
      <c r="R361" s="93">
        <v>0</v>
      </c>
      <c r="S361" s="93">
        <v>0.36</v>
      </c>
      <c r="T361" s="93">
        <f>$AF361</f>
        <v>174</v>
      </c>
      <c r="U361" s="93">
        <v>25.21</v>
      </c>
      <c r="V361" s="93">
        <f>$AF361</f>
        <v>174</v>
      </c>
      <c r="W361" s="93">
        <v>21.42</v>
      </c>
      <c r="X361" s="93">
        <f>$AF361</f>
        <v>174</v>
      </c>
      <c r="Y361" s="93">
        <v>0.11</v>
      </c>
      <c r="Z361" s="93">
        <f>$AF361</f>
        <v>174</v>
      </c>
      <c r="AA361" s="93">
        <v>5.8</v>
      </c>
      <c r="AB361" s="93">
        <f>$AF361</f>
        <v>174</v>
      </c>
      <c r="AC361" s="93">
        <v>1.7</v>
      </c>
      <c r="AD361" s="93">
        <f>$AF361</f>
        <v>174</v>
      </c>
      <c r="AE361" s="93">
        <v>1.84</v>
      </c>
      <c r="AF361" s="10">
        <v>174</v>
      </c>
      <c r="AG361" s="10">
        <f>S361+Y361+AA361+AC361</f>
        <v>7.97</v>
      </c>
      <c r="AH361" s="95">
        <f>I361+K361+M361+O361+Q361</f>
        <v>5.1370360000000002</v>
      </c>
      <c r="AI361" s="10">
        <v>174</v>
      </c>
      <c r="AJ361" s="10">
        <v>174</v>
      </c>
      <c r="AK361" s="10">
        <v>174</v>
      </c>
    </row>
    <row r="362" spans="1:37" x14ac:dyDescent="0.15">
      <c r="A362" s="10">
        <v>2015</v>
      </c>
      <c r="C362" s="10">
        <v>83773</v>
      </c>
      <c r="D362" s="95">
        <f>5*A$80</f>
        <v>2.0833333333333335</v>
      </c>
      <c r="E362" s="122">
        <f t="shared" ref="E362:E392" si="102">C362*D362</f>
        <v>174527.08333333334</v>
      </c>
      <c r="F362" s="96">
        <f t="shared" ref="F362:F392" si="103">D362*0.8</f>
        <v>1.666666666666667</v>
      </c>
      <c r="G362" s="122">
        <f t="shared" ref="G362:G392" si="104">(C362*0.4*D362+G$359*0.6*F362)</f>
        <v>651236.83333333349</v>
      </c>
      <c r="H362" s="122">
        <f t="shared" ref="H362:H392" si="105">(C362*0.4+H$359*0.6)*D362</f>
        <v>247033.33333333334</v>
      </c>
      <c r="I362" s="94">
        <f>'Modell During mining'!$G356/1000000</f>
        <v>0.59130000000000005</v>
      </c>
      <c r="J362" s="121">
        <f>'Modell During mining'!$D356</f>
        <v>68.200000000000017</v>
      </c>
      <c r="K362" s="93">
        <v>0</v>
      </c>
      <c r="L362" s="93">
        <v>1</v>
      </c>
      <c r="M362" s="93">
        <v>0.31</v>
      </c>
      <c r="N362" s="93">
        <v>1</v>
      </c>
      <c r="O362" s="93">
        <v>1.26</v>
      </c>
      <c r="P362" s="93">
        <v>35.5</v>
      </c>
      <c r="Q362" s="93">
        <v>0</v>
      </c>
      <c r="R362" s="93">
        <v>0</v>
      </c>
      <c r="S362" s="93">
        <v>0.36</v>
      </c>
      <c r="T362" s="98">
        <f t="shared" ref="T362:AD392" si="106">$AF362</f>
        <v>84.756001393484468</v>
      </c>
      <c r="U362" s="93">
        <v>25.21</v>
      </c>
      <c r="V362" s="98">
        <f t="shared" si="106"/>
        <v>84.756001393484468</v>
      </c>
      <c r="W362" s="93">
        <v>21.42</v>
      </c>
      <c r="X362" s="98">
        <f t="shared" si="106"/>
        <v>84.756001393484468</v>
      </c>
      <c r="Y362" s="93">
        <v>0.11</v>
      </c>
      <c r="Z362" s="98">
        <f t="shared" si="106"/>
        <v>84.756001393484468</v>
      </c>
      <c r="AA362" s="93">
        <v>5.8</v>
      </c>
      <c r="AB362" s="98">
        <f t="shared" si="106"/>
        <v>84.756001393484468</v>
      </c>
      <c r="AC362" s="93">
        <v>1.7</v>
      </c>
      <c r="AD362" s="98">
        <f t="shared" si="106"/>
        <v>84.756001393484468</v>
      </c>
      <c r="AE362" s="93">
        <v>1.84</v>
      </c>
      <c r="AF362" s="98">
        <f t="shared" ref="AF362:AF392" si="107">$AI362</f>
        <v>84.756001393484468</v>
      </c>
      <c r="AG362" s="10">
        <f t="shared" ref="AG362:AG392" si="108">S362+Y362+AA362+AC362</f>
        <v>7.97</v>
      </c>
      <c r="AH362" s="95">
        <f t="shared" ref="AH362:AH392" si="109">I362+K362+M362+O362+Q362</f>
        <v>2.1612999999999998</v>
      </c>
      <c r="AI362" s="96">
        <f>(($B361/1000+E361/1000+$I361*$J361+$K361*$L361+$M361*$N361+$O361*$P361-$S361*$T361)/($I361+$K361+$M361+$O361+$Q361+$I361-$S361)*$AH361+$AE361*$AF361)/($AH361+$AE361)</f>
        <v>84.756001393484468</v>
      </c>
      <c r="AJ362" s="96">
        <f>(($B361/1000+G361/1000+$I361*$J361+$K361*$L361+$M361*$N361+$O361*$P361-$S361*$T361)/($I361+$K361+$M361+$O361+$Q361+$I361-$S361)*$AH361+$AE361*$AF361)/($AH361+$AE361)</f>
        <v>169.56458848197403</v>
      </c>
      <c r="AK362" s="96">
        <f>(($B361/1000+H361/1000+$I361*$J361+$K361*$L361+$M361*$N361+$O361*$P361-$S361*$T361)/($I361+$K361+$M361+$O361+$Q361+$I361-$S361)*$AH361+$AE361*$AF361)/($AH361+$AE361)</f>
        <v>97.655155685136364</v>
      </c>
    </row>
    <row r="363" spans="1:37" x14ac:dyDescent="0.15">
      <c r="A363" s="10">
        <v>2015.5</v>
      </c>
      <c r="B363" s="10">
        <v>0</v>
      </c>
      <c r="C363" s="10">
        <v>83773</v>
      </c>
      <c r="D363" s="95">
        <f>5.5*A358</f>
        <v>3.2083333333333335</v>
      </c>
      <c r="E363" s="122">
        <f t="shared" si="102"/>
        <v>268771.70833333337</v>
      </c>
      <c r="F363" s="96">
        <f t="shared" si="103"/>
        <v>2.5666666666666669</v>
      </c>
      <c r="G363" s="122">
        <f t="shared" si="104"/>
        <v>1002904.7233333334</v>
      </c>
      <c r="H363" s="122">
        <f t="shared" si="105"/>
        <v>380431.33333333337</v>
      </c>
      <c r="I363" s="94">
        <f>'Modell During mining'!$G357/1000000</f>
        <v>1.1187298666666667</v>
      </c>
      <c r="J363" s="121">
        <f>'Modell During mining'!$D357</f>
        <v>75.120618930468041</v>
      </c>
      <c r="K363" s="93">
        <v>0.95</v>
      </c>
      <c r="L363" s="93">
        <v>1</v>
      </c>
      <c r="M363" s="93">
        <v>0.31</v>
      </c>
      <c r="N363" s="93">
        <v>1</v>
      </c>
      <c r="O363" s="93">
        <v>1.26</v>
      </c>
      <c r="P363" s="93">
        <v>35.5</v>
      </c>
      <c r="Q363" s="93">
        <v>1.6</v>
      </c>
      <c r="R363" s="93">
        <v>0</v>
      </c>
      <c r="S363" s="93">
        <v>0.36</v>
      </c>
      <c r="T363" s="98">
        <f t="shared" si="106"/>
        <v>90.759903621973351</v>
      </c>
      <c r="U363" s="93">
        <v>25.21</v>
      </c>
      <c r="V363" s="98">
        <f t="shared" si="106"/>
        <v>90.759903621973351</v>
      </c>
      <c r="W363" s="93">
        <v>21.42</v>
      </c>
      <c r="X363" s="98">
        <f t="shared" si="106"/>
        <v>90.759903621973351</v>
      </c>
      <c r="Y363" s="93">
        <v>0.11</v>
      </c>
      <c r="Z363" s="98">
        <f t="shared" si="106"/>
        <v>90.759903621973351</v>
      </c>
      <c r="AA363" s="93">
        <v>5.8</v>
      </c>
      <c r="AB363" s="98">
        <f t="shared" si="106"/>
        <v>90.759903621973351</v>
      </c>
      <c r="AC363" s="93">
        <v>1.7</v>
      </c>
      <c r="AD363" s="98">
        <f t="shared" si="106"/>
        <v>90.759903621973351</v>
      </c>
      <c r="AE363" s="93">
        <v>1.84</v>
      </c>
      <c r="AF363" s="98">
        <f t="shared" si="107"/>
        <v>90.759903621973351</v>
      </c>
      <c r="AG363" s="10">
        <f t="shared" si="108"/>
        <v>7.97</v>
      </c>
      <c r="AH363" s="95">
        <f t="shared" si="109"/>
        <v>5.2387298666666666</v>
      </c>
      <c r="AI363" s="96">
        <f t="shared" ref="AI363:AI393" si="110">((B362/1000+E362/1000+I362*J362+K362*L362+M362*N362+O362*P362-S362*T362)/(I362+K362+M362+O362+Q362+I362-S362)*AH362+AE362*AF362)/(AH362+AE362)</f>
        <v>90.759903621973351</v>
      </c>
      <c r="AJ363" s="96">
        <f t="shared" ref="AJ363:AJ393" si="111">(($B362/1000+G362/1000+$I362*$J362+$K362*$L362+$M362*$N362+$O362*$P362-$S362*$T362)/($I362+$K362+$M362+$O362+$Q362+$I362-$S362)*$AH362+$AE362*$AF362)/($AH362+$AE362)</f>
        <v>198.38111483697605</v>
      </c>
      <c r="AK363" s="96">
        <f t="shared" ref="AK363:AK393" si="112">(($B362/1000+H362/1000+$I362*$J362+$K362*$L362+$M362*$N362+$O362*$P362-$S362*$T362)/($I362+$K362+$M362+$O362+$Q362+$I362-$S362)*$AH362+$AE362*$AF362)/($AH362+$AE362)</f>
        <v>107.12879569027652</v>
      </c>
    </row>
    <row r="364" spans="1:37" x14ac:dyDescent="0.15">
      <c r="A364" s="10">
        <f>A362+1</f>
        <v>2016</v>
      </c>
      <c r="C364" s="10">
        <v>83773</v>
      </c>
      <c r="D364" s="95">
        <f>5*A$80</f>
        <v>2.0833333333333335</v>
      </c>
      <c r="E364" s="122">
        <f t="shared" si="102"/>
        <v>174527.08333333334</v>
      </c>
      <c r="F364" s="96">
        <f t="shared" si="103"/>
        <v>1.666666666666667</v>
      </c>
      <c r="G364" s="122">
        <f t="shared" si="104"/>
        <v>651236.83333333349</v>
      </c>
      <c r="H364" s="122">
        <f t="shared" si="105"/>
        <v>247033.33333333334</v>
      </c>
      <c r="I364" s="94">
        <f>'Modell During mining'!$G358/1000000</f>
        <v>0.65943333333333343</v>
      </c>
      <c r="J364" s="121">
        <f>'Modell During mining'!$D358</f>
        <v>68.2</v>
      </c>
      <c r="K364" s="93">
        <v>0</v>
      </c>
      <c r="L364" s="93">
        <v>1</v>
      </c>
      <c r="M364" s="93">
        <v>0.31</v>
      </c>
      <c r="N364" s="93">
        <v>1</v>
      </c>
      <c r="O364" s="93">
        <v>1.26</v>
      </c>
      <c r="P364" s="93">
        <v>35.5</v>
      </c>
      <c r="Q364" s="93">
        <v>0</v>
      </c>
      <c r="R364" s="93">
        <v>0</v>
      </c>
      <c r="S364" s="93">
        <v>0.36</v>
      </c>
      <c r="T364" s="98">
        <f t="shared" si="106"/>
        <v>68.770494001193541</v>
      </c>
      <c r="U364" s="93">
        <v>25.21</v>
      </c>
      <c r="V364" s="98">
        <f t="shared" si="106"/>
        <v>68.770494001193541</v>
      </c>
      <c r="W364" s="93">
        <v>21.42</v>
      </c>
      <c r="X364" s="98">
        <f t="shared" si="106"/>
        <v>68.770494001193541</v>
      </c>
      <c r="Y364" s="93">
        <v>0.11</v>
      </c>
      <c r="Z364" s="98">
        <f t="shared" si="106"/>
        <v>68.770494001193541</v>
      </c>
      <c r="AA364" s="93">
        <v>5.8</v>
      </c>
      <c r="AB364" s="98">
        <f t="shared" si="106"/>
        <v>68.770494001193541</v>
      </c>
      <c r="AC364" s="93">
        <v>1.7</v>
      </c>
      <c r="AD364" s="98">
        <f t="shared" si="106"/>
        <v>68.770494001193541</v>
      </c>
      <c r="AE364" s="93">
        <v>1.84</v>
      </c>
      <c r="AF364" s="98">
        <f t="shared" si="107"/>
        <v>68.770494001193541</v>
      </c>
      <c r="AG364" s="10">
        <f t="shared" si="108"/>
        <v>7.97</v>
      </c>
      <c r="AH364" s="95">
        <f t="shared" si="109"/>
        <v>2.2294333333333336</v>
      </c>
      <c r="AI364" s="96">
        <f t="shared" si="110"/>
        <v>68.770494001193541</v>
      </c>
      <c r="AJ364" s="96">
        <f t="shared" si="111"/>
        <v>159.36003932258953</v>
      </c>
      <c r="AK364" s="96">
        <f t="shared" si="112"/>
        <v>82.548916239168463</v>
      </c>
    </row>
    <row r="365" spans="1:37" x14ac:dyDescent="0.15">
      <c r="A365" s="10">
        <v>2016.5</v>
      </c>
      <c r="B365" s="10">
        <v>0</v>
      </c>
      <c r="C365" s="10">
        <v>83773</v>
      </c>
      <c r="D365" s="95">
        <f>6.5*A358</f>
        <v>3.791666666666667</v>
      </c>
      <c r="E365" s="122">
        <f t="shared" si="102"/>
        <v>317639.29166666669</v>
      </c>
      <c r="F365" s="96">
        <f t="shared" si="103"/>
        <v>3.0333333333333337</v>
      </c>
      <c r="G365" s="122">
        <f t="shared" si="104"/>
        <v>1185251.0366666669</v>
      </c>
      <c r="H365" s="122">
        <f t="shared" si="105"/>
        <v>449600.66666666669</v>
      </c>
      <c r="I365" s="94">
        <f>'Modell During mining'!$G359/1000000</f>
        <v>1.2204237333333334</v>
      </c>
      <c r="J365" s="121">
        <f>'Modell During mining'!$D359</f>
        <v>74.279509258969938</v>
      </c>
      <c r="K365" s="93">
        <v>0.95</v>
      </c>
      <c r="L365" s="93">
        <v>1</v>
      </c>
      <c r="M365" s="93">
        <v>0.31</v>
      </c>
      <c r="N365" s="93">
        <v>1</v>
      </c>
      <c r="O365" s="93">
        <v>1.26</v>
      </c>
      <c r="P365" s="93">
        <v>35.5</v>
      </c>
      <c r="Q365" s="93">
        <v>1.6</v>
      </c>
      <c r="R365" s="93">
        <v>0</v>
      </c>
      <c r="S365" s="93">
        <v>0.36</v>
      </c>
      <c r="T365" s="98">
        <f t="shared" si="106"/>
        <v>83.040795698509285</v>
      </c>
      <c r="U365" s="93">
        <v>25.21</v>
      </c>
      <c r="V365" s="98">
        <f t="shared" si="106"/>
        <v>83.040795698509285</v>
      </c>
      <c r="W365" s="93">
        <v>21.42</v>
      </c>
      <c r="X365" s="98">
        <f t="shared" si="106"/>
        <v>83.040795698509285</v>
      </c>
      <c r="Y365" s="93">
        <v>0.11</v>
      </c>
      <c r="Z365" s="98">
        <f t="shared" si="106"/>
        <v>83.040795698509285</v>
      </c>
      <c r="AA365" s="93">
        <v>5.8</v>
      </c>
      <c r="AB365" s="98">
        <f t="shared" si="106"/>
        <v>83.040795698509285</v>
      </c>
      <c r="AC365" s="93">
        <v>1.7</v>
      </c>
      <c r="AD365" s="98">
        <f t="shared" si="106"/>
        <v>83.040795698509285</v>
      </c>
      <c r="AE365" s="93">
        <v>1.84</v>
      </c>
      <c r="AF365" s="98">
        <f t="shared" si="107"/>
        <v>83.040795698509285</v>
      </c>
      <c r="AG365" s="10">
        <f t="shared" si="108"/>
        <v>7.97</v>
      </c>
      <c r="AH365" s="95">
        <f t="shared" si="109"/>
        <v>5.3404237333333331</v>
      </c>
      <c r="AI365" s="96">
        <f t="shared" si="110"/>
        <v>83.040795698509285</v>
      </c>
      <c r="AJ365" s="96">
        <f t="shared" si="111"/>
        <v>186.31423834830798</v>
      </c>
      <c r="AK365" s="96">
        <f t="shared" si="112"/>
        <v>98.748404051657019</v>
      </c>
    </row>
    <row r="366" spans="1:37" x14ac:dyDescent="0.15">
      <c r="A366" s="10">
        <f>A364+1</f>
        <v>2017</v>
      </c>
      <c r="C366" s="10">
        <v>83773</v>
      </c>
      <c r="D366" s="95">
        <f>5*A$80</f>
        <v>2.0833333333333335</v>
      </c>
      <c r="E366" s="122">
        <f t="shared" si="102"/>
        <v>174527.08333333334</v>
      </c>
      <c r="F366" s="96">
        <f t="shared" si="103"/>
        <v>1.666666666666667</v>
      </c>
      <c r="G366" s="122">
        <f t="shared" si="104"/>
        <v>651236.83333333349</v>
      </c>
      <c r="H366" s="122">
        <f t="shared" si="105"/>
        <v>247033.33333333334</v>
      </c>
      <c r="I366" s="94">
        <f>'Modell During mining'!$G360/1000000</f>
        <v>0.72756666666666669</v>
      </c>
      <c r="J366" s="121">
        <f>'Modell During mining'!$D360</f>
        <v>68.2</v>
      </c>
      <c r="K366" s="93">
        <v>0</v>
      </c>
      <c r="L366" s="93">
        <v>1</v>
      </c>
      <c r="M366" s="93">
        <v>0.31</v>
      </c>
      <c r="N366" s="93">
        <v>1</v>
      </c>
      <c r="O366" s="93">
        <v>1.26</v>
      </c>
      <c r="P366" s="93">
        <v>35.5</v>
      </c>
      <c r="Q366" s="93">
        <v>0</v>
      </c>
      <c r="R366" s="93">
        <v>0</v>
      </c>
      <c r="S366" s="93">
        <v>0.36</v>
      </c>
      <c r="T366" s="98">
        <f t="shared" si="106"/>
        <v>72.181616892958459</v>
      </c>
      <c r="U366" s="93">
        <v>25.21</v>
      </c>
      <c r="V366" s="98">
        <f t="shared" si="106"/>
        <v>72.181616892958459</v>
      </c>
      <c r="W366" s="93">
        <v>21.42</v>
      </c>
      <c r="X366" s="98">
        <f t="shared" si="106"/>
        <v>72.181616892958459</v>
      </c>
      <c r="Y366" s="93">
        <v>0.11</v>
      </c>
      <c r="Z366" s="98">
        <f t="shared" si="106"/>
        <v>72.181616892958459</v>
      </c>
      <c r="AA366" s="93">
        <v>5.8</v>
      </c>
      <c r="AB366" s="98">
        <f t="shared" si="106"/>
        <v>72.181616892958459</v>
      </c>
      <c r="AC366" s="93">
        <v>1.7</v>
      </c>
      <c r="AD366" s="98">
        <f t="shared" si="106"/>
        <v>72.181616892958459</v>
      </c>
      <c r="AE366" s="93">
        <v>1.84</v>
      </c>
      <c r="AF366" s="98">
        <f t="shared" si="107"/>
        <v>72.181616892958459</v>
      </c>
      <c r="AG366" s="10">
        <f t="shared" si="108"/>
        <v>7.97</v>
      </c>
      <c r="AH366" s="95">
        <f t="shared" si="109"/>
        <v>2.2975666666666665</v>
      </c>
      <c r="AI366" s="96">
        <f t="shared" si="110"/>
        <v>72.181616892958459</v>
      </c>
      <c r="AJ366" s="96">
        <f t="shared" si="111"/>
        <v>176.24549767420822</v>
      </c>
      <c r="AK366" s="96">
        <f t="shared" si="112"/>
        <v>88.009448725421478</v>
      </c>
    </row>
    <row r="367" spans="1:37" x14ac:dyDescent="0.15">
      <c r="A367" s="10">
        <f>A366+0.5</f>
        <v>2017.5</v>
      </c>
      <c r="B367" s="10">
        <v>0</v>
      </c>
      <c r="C367" s="10">
        <v>83773</v>
      </c>
      <c r="D367" s="95">
        <f>6.8*A$79</f>
        <v>3.9666666666666668</v>
      </c>
      <c r="E367" s="122">
        <f t="shared" si="102"/>
        <v>332299.56666666665</v>
      </c>
      <c r="F367" s="96">
        <f t="shared" si="103"/>
        <v>3.1733333333333338</v>
      </c>
      <c r="G367" s="122">
        <f t="shared" si="104"/>
        <v>1239954.9306666667</v>
      </c>
      <c r="H367" s="122">
        <f t="shared" si="105"/>
        <v>470351.46666666667</v>
      </c>
      <c r="I367" s="94">
        <f>'Modell During mining'!$G361/1000000</f>
        <v>1.3221176000000001</v>
      </c>
      <c r="J367" s="121">
        <f>'Modell During mining'!$D361</f>
        <v>73.567791548951462</v>
      </c>
      <c r="K367" s="93">
        <v>0.95</v>
      </c>
      <c r="L367" s="93">
        <v>1</v>
      </c>
      <c r="M367" s="93">
        <v>0.31</v>
      </c>
      <c r="N367" s="93">
        <v>1</v>
      </c>
      <c r="O367" s="93">
        <v>1.26</v>
      </c>
      <c r="P367" s="93">
        <v>35.5</v>
      </c>
      <c r="Q367" s="93">
        <v>1.6</v>
      </c>
      <c r="R367" s="93">
        <v>0</v>
      </c>
      <c r="S367" s="93">
        <v>0.36</v>
      </c>
      <c r="T367" s="98">
        <f t="shared" si="106"/>
        <v>82.77191480869503</v>
      </c>
      <c r="U367" s="93">
        <v>25.21</v>
      </c>
      <c r="V367" s="98">
        <f t="shared" si="106"/>
        <v>82.77191480869503</v>
      </c>
      <c r="W367" s="93">
        <v>21.42</v>
      </c>
      <c r="X367" s="98">
        <f t="shared" si="106"/>
        <v>82.77191480869503</v>
      </c>
      <c r="Y367" s="93">
        <v>0.11</v>
      </c>
      <c r="Z367" s="98">
        <f t="shared" si="106"/>
        <v>82.77191480869503</v>
      </c>
      <c r="AA367" s="93">
        <v>5.8</v>
      </c>
      <c r="AB367" s="98">
        <f t="shared" si="106"/>
        <v>82.77191480869503</v>
      </c>
      <c r="AC367" s="93">
        <v>1.7</v>
      </c>
      <c r="AD367" s="98">
        <f t="shared" si="106"/>
        <v>82.77191480869503</v>
      </c>
      <c r="AE367" s="93">
        <v>1.84</v>
      </c>
      <c r="AF367" s="98">
        <f t="shared" si="107"/>
        <v>82.77191480869503</v>
      </c>
      <c r="AG367" s="10">
        <f t="shared" si="108"/>
        <v>7.97</v>
      </c>
      <c r="AH367" s="95">
        <f t="shared" si="109"/>
        <v>5.4421175999999996</v>
      </c>
      <c r="AI367" s="96">
        <f t="shared" si="110"/>
        <v>82.77191480869503</v>
      </c>
      <c r="AJ367" s="96">
        <f t="shared" si="111"/>
        <v>182.09683180199573</v>
      </c>
      <c r="AK367" s="96">
        <f t="shared" si="112"/>
        <v>97.878963201864039</v>
      </c>
    </row>
    <row r="368" spans="1:37" x14ac:dyDescent="0.15">
      <c r="A368" s="10">
        <f>A366+1</f>
        <v>2018</v>
      </c>
      <c r="C368" s="10">
        <v>83773</v>
      </c>
      <c r="D368" s="95">
        <f>5*A$80</f>
        <v>2.0833333333333335</v>
      </c>
      <c r="E368" s="122">
        <f t="shared" si="102"/>
        <v>174527.08333333334</v>
      </c>
      <c r="F368" s="96">
        <f t="shared" si="103"/>
        <v>1.666666666666667</v>
      </c>
      <c r="G368" s="122">
        <f t="shared" si="104"/>
        <v>651236.83333333349</v>
      </c>
      <c r="H368" s="122">
        <f t="shared" si="105"/>
        <v>247033.33333333334</v>
      </c>
      <c r="I368" s="94">
        <f>'Modell During mining'!$G362/1000000</f>
        <v>0.79570000000000007</v>
      </c>
      <c r="J368" s="121">
        <f>'Modell During mining'!$D362</f>
        <v>68.2</v>
      </c>
      <c r="K368" s="93">
        <v>0</v>
      </c>
      <c r="L368" s="93">
        <v>1</v>
      </c>
      <c r="M368" s="93">
        <v>0.31</v>
      </c>
      <c r="N368" s="93">
        <v>1</v>
      </c>
      <c r="O368" s="93">
        <v>1.26</v>
      </c>
      <c r="P368" s="93">
        <v>35.5</v>
      </c>
      <c r="Q368" s="93">
        <v>0</v>
      </c>
      <c r="R368" s="93">
        <v>0</v>
      </c>
      <c r="S368" s="93">
        <v>0.36</v>
      </c>
      <c r="T368" s="98">
        <f t="shared" si="106"/>
        <v>72.930785349796096</v>
      </c>
      <c r="U368" s="93">
        <v>25.21</v>
      </c>
      <c r="V368" s="98">
        <f t="shared" si="106"/>
        <v>72.930785349796096</v>
      </c>
      <c r="W368" s="93">
        <v>21.42</v>
      </c>
      <c r="X368" s="98">
        <f t="shared" si="106"/>
        <v>72.930785349796096</v>
      </c>
      <c r="Y368" s="93">
        <v>0.11</v>
      </c>
      <c r="Z368" s="98">
        <f t="shared" si="106"/>
        <v>72.930785349796096</v>
      </c>
      <c r="AA368" s="93">
        <v>5.8</v>
      </c>
      <c r="AB368" s="98">
        <f t="shared" si="106"/>
        <v>72.930785349796096</v>
      </c>
      <c r="AC368" s="93">
        <v>1.7</v>
      </c>
      <c r="AD368" s="98">
        <f t="shared" si="106"/>
        <v>72.930785349796096</v>
      </c>
      <c r="AE368" s="93">
        <v>1.84</v>
      </c>
      <c r="AF368" s="98">
        <f t="shared" si="107"/>
        <v>72.930785349796096</v>
      </c>
      <c r="AG368" s="10">
        <f t="shared" si="108"/>
        <v>7.97</v>
      </c>
      <c r="AH368" s="95">
        <f t="shared" si="109"/>
        <v>2.3657000000000004</v>
      </c>
      <c r="AI368" s="96">
        <f t="shared" si="110"/>
        <v>72.930785349796096</v>
      </c>
      <c r="AJ368" s="96">
        <f t="shared" si="111"/>
        <v>178.84736298045064</v>
      </c>
      <c r="AK368" s="96">
        <f t="shared" si="112"/>
        <v>89.04040730913853</v>
      </c>
    </row>
    <row r="369" spans="1:37" x14ac:dyDescent="0.15">
      <c r="A369" s="10">
        <f>A368+0.5</f>
        <v>2018.5</v>
      </c>
      <c r="B369" s="10">
        <v>0</v>
      </c>
      <c r="C369" s="10">
        <v>83773</v>
      </c>
      <c r="D369" s="95">
        <f>6.8*A$79</f>
        <v>3.9666666666666668</v>
      </c>
      <c r="E369" s="122">
        <f t="shared" si="102"/>
        <v>332299.56666666665</v>
      </c>
      <c r="F369" s="96">
        <f t="shared" si="103"/>
        <v>3.1733333333333338</v>
      </c>
      <c r="G369" s="122">
        <f t="shared" si="104"/>
        <v>1239954.9306666667</v>
      </c>
      <c r="H369" s="122">
        <f t="shared" si="105"/>
        <v>470351.46666666667</v>
      </c>
      <c r="I369" s="94">
        <f>'Modell During mining'!$G363/1000000</f>
        <v>1.4238114666666668</v>
      </c>
      <c r="J369" s="121">
        <f>'Modell During mining'!$D363</f>
        <v>72.957740846962324</v>
      </c>
      <c r="K369" s="93">
        <v>0.95</v>
      </c>
      <c r="L369" s="93">
        <v>1</v>
      </c>
      <c r="M369" s="93">
        <v>0.31</v>
      </c>
      <c r="N369" s="93">
        <v>1</v>
      </c>
      <c r="O369" s="93">
        <v>1.26</v>
      </c>
      <c r="P369" s="93">
        <v>35.5</v>
      </c>
      <c r="Q369" s="93">
        <v>3.6</v>
      </c>
      <c r="R369" s="93">
        <v>0</v>
      </c>
      <c r="S369" s="93">
        <v>0.36</v>
      </c>
      <c r="T369" s="98">
        <f t="shared" si="106"/>
        <v>81.619140232715225</v>
      </c>
      <c r="U369" s="93">
        <v>25.21</v>
      </c>
      <c r="V369" s="98">
        <f t="shared" si="106"/>
        <v>81.619140232715225</v>
      </c>
      <c r="W369" s="93">
        <v>21.42</v>
      </c>
      <c r="X369" s="98">
        <f t="shared" si="106"/>
        <v>81.619140232715225</v>
      </c>
      <c r="Y369" s="93">
        <v>0.11</v>
      </c>
      <c r="Z369" s="98">
        <f t="shared" si="106"/>
        <v>81.619140232715225</v>
      </c>
      <c r="AA369" s="93">
        <v>5.8</v>
      </c>
      <c r="AB369" s="98">
        <f t="shared" si="106"/>
        <v>81.619140232715225</v>
      </c>
      <c r="AC369" s="93">
        <v>1.7</v>
      </c>
      <c r="AD369" s="98">
        <f t="shared" si="106"/>
        <v>81.619140232715225</v>
      </c>
      <c r="AE369" s="93">
        <v>1.84</v>
      </c>
      <c r="AF369" s="98">
        <f t="shared" si="107"/>
        <v>81.619140232715225</v>
      </c>
      <c r="AG369" s="10">
        <f t="shared" si="108"/>
        <v>7.97</v>
      </c>
      <c r="AH369" s="95">
        <f t="shared" si="109"/>
        <v>7.5438114666666678</v>
      </c>
      <c r="AI369" s="96">
        <f t="shared" si="110"/>
        <v>81.619140232715225</v>
      </c>
      <c r="AJ369" s="96">
        <f t="shared" si="111"/>
        <v>177.33861119256716</v>
      </c>
      <c r="AK369" s="96">
        <f t="shared" si="112"/>
        <v>96.177810138843142</v>
      </c>
    </row>
    <row r="370" spans="1:37" x14ac:dyDescent="0.15">
      <c r="A370" s="10">
        <f>A368+1</f>
        <v>2019</v>
      </c>
      <c r="C370" s="10">
        <v>83773</v>
      </c>
      <c r="D370" s="95">
        <f>5*A$80</f>
        <v>2.0833333333333335</v>
      </c>
      <c r="E370" s="122">
        <f t="shared" si="102"/>
        <v>174527.08333333334</v>
      </c>
      <c r="F370" s="96">
        <f t="shared" si="103"/>
        <v>1.666666666666667</v>
      </c>
      <c r="G370" s="122">
        <f t="shared" si="104"/>
        <v>651236.83333333349</v>
      </c>
      <c r="H370" s="122">
        <f t="shared" si="105"/>
        <v>247033.33333333334</v>
      </c>
      <c r="I370" s="94">
        <f>'Modell During mining'!$G364/1000000</f>
        <v>0.86383333333333345</v>
      </c>
      <c r="J370" s="121">
        <f>'Modell During mining'!$D364</f>
        <v>68.2</v>
      </c>
      <c r="K370" s="93">
        <v>0</v>
      </c>
      <c r="L370" s="93">
        <v>1</v>
      </c>
      <c r="M370" s="93">
        <v>0.31</v>
      </c>
      <c r="N370" s="93">
        <v>1</v>
      </c>
      <c r="O370" s="93">
        <v>1.26</v>
      </c>
      <c r="P370" s="93">
        <v>35.5</v>
      </c>
      <c r="Q370" s="93">
        <v>0</v>
      </c>
      <c r="R370" s="93">
        <v>0</v>
      </c>
      <c r="S370" s="93">
        <v>0.36</v>
      </c>
      <c r="T370" s="98">
        <f t="shared" si="106"/>
        <v>58.292362576867291</v>
      </c>
      <c r="U370" s="93">
        <v>25.21</v>
      </c>
      <c r="V370" s="98">
        <f t="shared" si="106"/>
        <v>58.292362576867291</v>
      </c>
      <c r="W370" s="93">
        <v>21.42</v>
      </c>
      <c r="X370" s="98">
        <f t="shared" si="106"/>
        <v>58.292362576867291</v>
      </c>
      <c r="Y370" s="93">
        <v>0.11</v>
      </c>
      <c r="Z370" s="98">
        <f t="shared" si="106"/>
        <v>58.292362576867291</v>
      </c>
      <c r="AA370" s="93">
        <v>5.8</v>
      </c>
      <c r="AB370" s="98">
        <f t="shared" si="106"/>
        <v>58.292362576867291</v>
      </c>
      <c r="AC370" s="93">
        <v>1.7</v>
      </c>
      <c r="AD370" s="98">
        <f t="shared" si="106"/>
        <v>58.292362576867291</v>
      </c>
      <c r="AE370" s="93">
        <v>1.84</v>
      </c>
      <c r="AF370" s="98">
        <f t="shared" si="107"/>
        <v>58.292362576867291</v>
      </c>
      <c r="AG370" s="10">
        <f t="shared" si="108"/>
        <v>7.97</v>
      </c>
      <c r="AH370" s="95">
        <f t="shared" si="109"/>
        <v>2.4338333333333333</v>
      </c>
      <c r="AI370" s="96">
        <f t="shared" si="110"/>
        <v>58.292362576867291</v>
      </c>
      <c r="AJ370" s="96">
        <f t="shared" si="111"/>
        <v>143.06375114290336</v>
      </c>
      <c r="AK370" s="96">
        <f t="shared" si="112"/>
        <v>71.185859074927492</v>
      </c>
    </row>
    <row r="371" spans="1:37" x14ac:dyDescent="0.15">
      <c r="A371" s="10">
        <f>A370+0.5</f>
        <v>2019.5</v>
      </c>
      <c r="B371" s="10">
        <v>0</v>
      </c>
      <c r="C371" s="10">
        <v>83773</v>
      </c>
      <c r="D371" s="95">
        <f>6.8*A$79</f>
        <v>3.9666666666666668</v>
      </c>
      <c r="E371" s="122">
        <f t="shared" si="102"/>
        <v>332299.56666666665</v>
      </c>
      <c r="F371" s="96">
        <f t="shared" si="103"/>
        <v>3.1733333333333338</v>
      </c>
      <c r="G371" s="122">
        <f t="shared" si="104"/>
        <v>1239954.9306666667</v>
      </c>
      <c r="H371" s="122">
        <f t="shared" si="105"/>
        <v>470351.46666666667</v>
      </c>
      <c r="I371" s="94">
        <f>'Modell During mining'!$G365/1000000</f>
        <v>1.5255053333333335</v>
      </c>
      <c r="J371" s="121">
        <f>'Modell During mining'!$D365</f>
        <v>72.429025048748869</v>
      </c>
      <c r="K371" s="93">
        <v>0.95</v>
      </c>
      <c r="L371" s="93">
        <v>1</v>
      </c>
      <c r="M371" s="93">
        <v>0.31</v>
      </c>
      <c r="N371" s="93">
        <v>1</v>
      </c>
      <c r="O371" s="93">
        <v>1.26</v>
      </c>
      <c r="P371" s="93">
        <v>35.5</v>
      </c>
      <c r="Q371" s="93">
        <v>1.6</v>
      </c>
      <c r="R371" s="93">
        <v>0</v>
      </c>
      <c r="S371" s="93">
        <v>0.36</v>
      </c>
      <c r="T371" s="98">
        <f t="shared" si="106"/>
        <v>75.012451419646894</v>
      </c>
      <c r="U371" s="93">
        <v>25.21</v>
      </c>
      <c r="V371" s="98">
        <f t="shared" si="106"/>
        <v>75.012451419646894</v>
      </c>
      <c r="W371" s="93">
        <v>21.42</v>
      </c>
      <c r="X371" s="98">
        <f t="shared" si="106"/>
        <v>75.012451419646894</v>
      </c>
      <c r="Y371" s="93">
        <v>0.11</v>
      </c>
      <c r="Z371" s="98">
        <f t="shared" si="106"/>
        <v>75.012451419646894</v>
      </c>
      <c r="AA371" s="93">
        <v>5.8</v>
      </c>
      <c r="AB371" s="98">
        <f t="shared" si="106"/>
        <v>75.012451419646894</v>
      </c>
      <c r="AC371" s="93">
        <v>1.7</v>
      </c>
      <c r="AD371" s="98">
        <f t="shared" si="106"/>
        <v>75.012451419646894</v>
      </c>
      <c r="AE371" s="93">
        <v>1.84</v>
      </c>
      <c r="AF371" s="98">
        <f t="shared" si="107"/>
        <v>75.012451419646894</v>
      </c>
      <c r="AG371" s="10">
        <f t="shared" si="108"/>
        <v>7.97</v>
      </c>
      <c r="AH371" s="95">
        <f t="shared" si="109"/>
        <v>5.6455053333333343</v>
      </c>
      <c r="AI371" s="96">
        <f t="shared" si="110"/>
        <v>75.012451419646894</v>
      </c>
      <c r="AJ371" s="96">
        <f t="shared" si="111"/>
        <v>167.42368592731765</v>
      </c>
      <c r="AK371" s="96">
        <f t="shared" si="112"/>
        <v>89.067947603691394</v>
      </c>
    </row>
    <row r="372" spans="1:37" x14ac:dyDescent="0.15">
      <c r="A372" s="10">
        <f>A370+1</f>
        <v>2020</v>
      </c>
      <c r="C372" s="10">
        <v>83773</v>
      </c>
      <c r="D372" s="95">
        <f>5*A$80</f>
        <v>2.0833333333333335</v>
      </c>
      <c r="E372" s="122">
        <f t="shared" si="102"/>
        <v>174527.08333333334</v>
      </c>
      <c r="F372" s="96">
        <f t="shared" si="103"/>
        <v>1.666666666666667</v>
      </c>
      <c r="G372" s="122">
        <f t="shared" si="104"/>
        <v>651236.83333333349</v>
      </c>
      <c r="H372" s="122">
        <f t="shared" si="105"/>
        <v>247033.33333333334</v>
      </c>
      <c r="I372" s="94">
        <f>'Modell During mining'!$G366/1000000</f>
        <v>0.93196666666666683</v>
      </c>
      <c r="J372" s="121">
        <f>'Modell During mining'!$D366</f>
        <v>68.2</v>
      </c>
      <c r="K372" s="93">
        <v>0</v>
      </c>
      <c r="L372" s="93">
        <v>1</v>
      </c>
      <c r="M372" s="93">
        <v>0.31</v>
      </c>
      <c r="N372" s="93">
        <v>1</v>
      </c>
      <c r="O372" s="93">
        <v>1.26</v>
      </c>
      <c r="P372" s="93">
        <v>35.5</v>
      </c>
      <c r="Q372" s="93">
        <v>0</v>
      </c>
      <c r="R372" s="93">
        <v>0</v>
      </c>
      <c r="S372" s="93">
        <v>0.36</v>
      </c>
      <c r="T372" s="98">
        <f t="shared" si="106"/>
        <v>69.571710069905507</v>
      </c>
      <c r="U372" s="93">
        <v>25.21</v>
      </c>
      <c r="V372" s="98">
        <f t="shared" si="106"/>
        <v>69.571710069905507</v>
      </c>
      <c r="W372" s="93">
        <v>21.42</v>
      </c>
      <c r="X372" s="98">
        <f t="shared" si="106"/>
        <v>69.571710069905507</v>
      </c>
      <c r="Y372" s="93">
        <v>0.11</v>
      </c>
      <c r="Z372" s="98">
        <f t="shared" si="106"/>
        <v>69.571710069905507</v>
      </c>
      <c r="AA372" s="93">
        <v>5.8</v>
      </c>
      <c r="AB372" s="98">
        <f t="shared" si="106"/>
        <v>69.571710069905507</v>
      </c>
      <c r="AC372" s="93">
        <v>1.7</v>
      </c>
      <c r="AD372" s="98">
        <f t="shared" si="106"/>
        <v>69.571710069905507</v>
      </c>
      <c r="AE372" s="93">
        <v>1.84</v>
      </c>
      <c r="AF372" s="98">
        <f t="shared" si="107"/>
        <v>69.571710069905507</v>
      </c>
      <c r="AG372" s="10">
        <f t="shared" si="108"/>
        <v>7.97</v>
      </c>
      <c r="AH372" s="95">
        <f t="shared" si="109"/>
        <v>2.5019666666666671</v>
      </c>
      <c r="AI372" s="96">
        <f t="shared" si="110"/>
        <v>69.571710069905507</v>
      </c>
      <c r="AJ372" s="96">
        <f t="shared" si="111"/>
        <v>170.07750804012971</v>
      </c>
      <c r="AK372" s="96">
        <f t="shared" si="112"/>
        <v>84.858367232001669</v>
      </c>
    </row>
    <row r="373" spans="1:37" x14ac:dyDescent="0.15">
      <c r="A373" s="10">
        <f>A372+0.5</f>
        <v>2020.5</v>
      </c>
      <c r="B373" s="10">
        <v>0</v>
      </c>
      <c r="C373" s="10">
        <v>83773</v>
      </c>
      <c r="D373" s="95">
        <f>6.8*A$79</f>
        <v>3.9666666666666668</v>
      </c>
      <c r="E373" s="122">
        <f t="shared" si="102"/>
        <v>332299.56666666665</v>
      </c>
      <c r="F373" s="96">
        <f t="shared" si="103"/>
        <v>3.1733333333333338</v>
      </c>
      <c r="G373" s="122">
        <f t="shared" si="104"/>
        <v>1239954.9306666667</v>
      </c>
      <c r="H373" s="122">
        <f t="shared" si="105"/>
        <v>470351.46666666667</v>
      </c>
      <c r="I373" s="94">
        <f>'Modell During mining'!$G367/1000000</f>
        <v>1.6271992000000002</v>
      </c>
      <c r="J373" s="121">
        <f>'Modell During mining'!$D367</f>
        <v>71.96639477207215</v>
      </c>
      <c r="K373" s="93">
        <v>0.95</v>
      </c>
      <c r="L373" s="93">
        <v>1</v>
      </c>
      <c r="M373" s="93">
        <v>0.31</v>
      </c>
      <c r="N373" s="93">
        <v>1</v>
      </c>
      <c r="O373" s="93">
        <v>1.26</v>
      </c>
      <c r="P373" s="93">
        <v>35.5</v>
      </c>
      <c r="Q373" s="93">
        <v>1.6</v>
      </c>
      <c r="R373" s="93">
        <v>0</v>
      </c>
      <c r="S373" s="93">
        <v>0.36</v>
      </c>
      <c r="T373" s="98">
        <f t="shared" si="106"/>
        <v>77.861524725870993</v>
      </c>
      <c r="U373" s="93">
        <v>25.21</v>
      </c>
      <c r="V373" s="98">
        <f t="shared" si="106"/>
        <v>77.861524725870993</v>
      </c>
      <c r="W373" s="93">
        <v>21.42</v>
      </c>
      <c r="X373" s="98">
        <f t="shared" si="106"/>
        <v>77.861524725870993</v>
      </c>
      <c r="Y373" s="93">
        <v>0.11</v>
      </c>
      <c r="Z373" s="98">
        <f t="shared" si="106"/>
        <v>77.861524725870993</v>
      </c>
      <c r="AA373" s="93">
        <v>5.8</v>
      </c>
      <c r="AB373" s="98">
        <f t="shared" si="106"/>
        <v>77.861524725870993</v>
      </c>
      <c r="AC373" s="93">
        <v>1.7</v>
      </c>
      <c r="AD373" s="98">
        <f t="shared" si="106"/>
        <v>77.861524725870993</v>
      </c>
      <c r="AE373" s="93">
        <v>1.84</v>
      </c>
      <c r="AF373" s="98">
        <f t="shared" si="107"/>
        <v>77.861524725870993</v>
      </c>
      <c r="AG373" s="10">
        <f t="shared" si="108"/>
        <v>7.97</v>
      </c>
      <c r="AH373" s="95">
        <f t="shared" si="109"/>
        <v>5.7471992000000007</v>
      </c>
      <c r="AI373" s="96">
        <f t="shared" si="110"/>
        <v>77.861524725870993</v>
      </c>
      <c r="AJ373" s="96">
        <f t="shared" si="111"/>
        <v>167.22388364226234</v>
      </c>
      <c r="AK373" s="96">
        <f t="shared" si="112"/>
        <v>91.45329526587274</v>
      </c>
    </row>
    <row r="374" spans="1:37" x14ac:dyDescent="0.15">
      <c r="A374" s="10">
        <f>A372+1</f>
        <v>2021</v>
      </c>
      <c r="C374" s="10">
        <v>83773</v>
      </c>
      <c r="D374" s="95">
        <f>5*A$80</f>
        <v>2.0833333333333335</v>
      </c>
      <c r="E374" s="122">
        <f t="shared" si="102"/>
        <v>174527.08333333334</v>
      </c>
      <c r="F374" s="96">
        <f t="shared" si="103"/>
        <v>1.666666666666667</v>
      </c>
      <c r="G374" s="122">
        <f t="shared" si="104"/>
        <v>651236.83333333349</v>
      </c>
      <c r="H374" s="122">
        <f t="shared" si="105"/>
        <v>247033.33333333334</v>
      </c>
      <c r="I374" s="94">
        <f>'Modell During mining'!$G368/1000000</f>
        <v>1.0001000000000002</v>
      </c>
      <c r="J374" s="121">
        <f>'Modell During mining'!$D368</f>
        <v>68.200000000000017</v>
      </c>
      <c r="K374" s="93">
        <v>0</v>
      </c>
      <c r="L374" s="93">
        <v>1</v>
      </c>
      <c r="M374" s="93">
        <v>0.31</v>
      </c>
      <c r="N374" s="93">
        <v>1</v>
      </c>
      <c r="O374" s="93">
        <v>1.26</v>
      </c>
      <c r="P374" s="93">
        <v>35.5</v>
      </c>
      <c r="Q374" s="93">
        <v>0</v>
      </c>
      <c r="R374" s="93">
        <v>0</v>
      </c>
      <c r="S374" s="93">
        <v>0.36</v>
      </c>
      <c r="T374" s="98">
        <f t="shared" si="106"/>
        <v>69.353119985020541</v>
      </c>
      <c r="U374" s="93">
        <v>25.21</v>
      </c>
      <c r="V374" s="98">
        <f t="shared" si="106"/>
        <v>69.353119985020541</v>
      </c>
      <c r="W374" s="93">
        <v>21.42</v>
      </c>
      <c r="X374" s="98">
        <f t="shared" si="106"/>
        <v>69.353119985020541</v>
      </c>
      <c r="Y374" s="93">
        <v>0.11</v>
      </c>
      <c r="Z374" s="98">
        <f t="shared" si="106"/>
        <v>69.353119985020541</v>
      </c>
      <c r="AA374" s="93">
        <v>5.8</v>
      </c>
      <c r="AB374" s="98">
        <f t="shared" si="106"/>
        <v>69.353119985020541</v>
      </c>
      <c r="AC374" s="93">
        <v>1.7</v>
      </c>
      <c r="AD374" s="98">
        <f t="shared" si="106"/>
        <v>69.353119985020541</v>
      </c>
      <c r="AE374" s="93">
        <v>1.84</v>
      </c>
      <c r="AF374" s="98">
        <f t="shared" si="107"/>
        <v>69.353119985020541</v>
      </c>
      <c r="AG374" s="10">
        <f t="shared" si="108"/>
        <v>7.97</v>
      </c>
      <c r="AH374" s="95">
        <f t="shared" si="109"/>
        <v>2.5701000000000001</v>
      </c>
      <c r="AI374" s="96">
        <f t="shared" si="110"/>
        <v>69.353119985020541</v>
      </c>
      <c r="AJ374" s="96">
        <f t="shared" si="111"/>
        <v>167.37100182066123</v>
      </c>
      <c r="AK374" s="96">
        <f t="shared" si="112"/>
        <v>84.261371903185477</v>
      </c>
    </row>
    <row r="375" spans="1:37" x14ac:dyDescent="0.15">
      <c r="A375" s="10">
        <f>A374+0.5</f>
        <v>2021.5</v>
      </c>
      <c r="B375" s="10">
        <v>0</v>
      </c>
      <c r="C375" s="10">
        <v>83773</v>
      </c>
      <c r="D375" s="95">
        <f>6.8*A$79</f>
        <v>3.9666666666666668</v>
      </c>
      <c r="E375" s="122">
        <f t="shared" si="102"/>
        <v>332299.56666666665</v>
      </c>
      <c r="F375" s="96">
        <f t="shared" si="103"/>
        <v>3.1733333333333338</v>
      </c>
      <c r="G375" s="122">
        <f t="shared" si="104"/>
        <v>1239954.9306666667</v>
      </c>
      <c r="H375" s="122">
        <f t="shared" si="105"/>
        <v>470351.46666666667</v>
      </c>
      <c r="I375" s="94">
        <f>'Modell During mining'!$G369/1000000</f>
        <v>1.7288930666666671</v>
      </c>
      <c r="J375" s="121">
        <f>'Modell During mining'!$D369</f>
        <v>71.558188522629266</v>
      </c>
      <c r="K375" s="93">
        <v>0.95</v>
      </c>
      <c r="L375" s="93">
        <v>1</v>
      </c>
      <c r="M375" s="93">
        <v>0.31</v>
      </c>
      <c r="N375" s="93">
        <v>1</v>
      </c>
      <c r="O375" s="93">
        <v>1.26</v>
      </c>
      <c r="P375" s="93">
        <v>35.5</v>
      </c>
      <c r="Q375" s="93">
        <v>1.6</v>
      </c>
      <c r="R375" s="93">
        <v>0</v>
      </c>
      <c r="S375" s="93">
        <v>0.36</v>
      </c>
      <c r="T375" s="98">
        <f t="shared" si="106"/>
        <v>76.645424197625147</v>
      </c>
      <c r="U375" s="93">
        <v>25.21</v>
      </c>
      <c r="V375" s="98">
        <f t="shared" si="106"/>
        <v>76.645424197625147</v>
      </c>
      <c r="W375" s="93">
        <v>21.42</v>
      </c>
      <c r="X375" s="98">
        <f t="shared" si="106"/>
        <v>76.645424197625147</v>
      </c>
      <c r="Y375" s="93">
        <v>0.11</v>
      </c>
      <c r="Z375" s="98">
        <f t="shared" si="106"/>
        <v>76.645424197625147</v>
      </c>
      <c r="AA375" s="93">
        <v>5.8</v>
      </c>
      <c r="AB375" s="98">
        <f t="shared" si="106"/>
        <v>76.645424197625147</v>
      </c>
      <c r="AC375" s="93">
        <v>1.7</v>
      </c>
      <c r="AD375" s="98">
        <f t="shared" si="106"/>
        <v>76.645424197625147</v>
      </c>
      <c r="AE375" s="93">
        <v>1.84</v>
      </c>
      <c r="AF375" s="98">
        <f t="shared" si="107"/>
        <v>76.645424197625147</v>
      </c>
      <c r="AG375" s="10">
        <f t="shared" si="108"/>
        <v>7.97</v>
      </c>
      <c r="AH375" s="95">
        <f t="shared" si="109"/>
        <v>5.8488930666666672</v>
      </c>
      <c r="AI375" s="96">
        <f t="shared" si="110"/>
        <v>76.645424197625147</v>
      </c>
      <c r="AJ375" s="96">
        <f t="shared" si="111"/>
        <v>163.18674684531968</v>
      </c>
      <c r="AK375" s="96">
        <f t="shared" si="112"/>
        <v>89.808122831803274</v>
      </c>
    </row>
    <row r="376" spans="1:37" x14ac:dyDescent="0.15">
      <c r="A376" s="10">
        <f>A374+1</f>
        <v>2022</v>
      </c>
      <c r="C376" s="10">
        <v>83773</v>
      </c>
      <c r="D376" s="95">
        <f>5*A$80</f>
        <v>2.0833333333333335</v>
      </c>
      <c r="E376" s="122">
        <f t="shared" si="102"/>
        <v>174527.08333333334</v>
      </c>
      <c r="F376" s="96">
        <f t="shared" si="103"/>
        <v>1.666666666666667</v>
      </c>
      <c r="G376" s="122">
        <f t="shared" si="104"/>
        <v>651236.83333333349</v>
      </c>
      <c r="H376" s="122">
        <f t="shared" si="105"/>
        <v>247033.33333333334</v>
      </c>
      <c r="I376" s="94">
        <f>'Modell During mining'!$G370/1000000</f>
        <v>1.0682333333333336</v>
      </c>
      <c r="J376" s="121">
        <f>'Modell During mining'!$D370</f>
        <v>68.200000000000017</v>
      </c>
      <c r="K376" s="93">
        <v>0</v>
      </c>
      <c r="L376" s="93">
        <v>1</v>
      </c>
      <c r="M376" s="93">
        <v>0.31</v>
      </c>
      <c r="N376" s="93">
        <v>1</v>
      </c>
      <c r="O376" s="93">
        <v>1.26</v>
      </c>
      <c r="P376" s="93">
        <v>35.5</v>
      </c>
      <c r="Q376" s="93">
        <v>0</v>
      </c>
      <c r="R376" s="93">
        <v>0</v>
      </c>
      <c r="S376" s="93">
        <v>0.36</v>
      </c>
      <c r="T376" s="98">
        <f t="shared" si="106"/>
        <v>68.340926205063056</v>
      </c>
      <c r="U376" s="93">
        <v>25.21</v>
      </c>
      <c r="V376" s="98">
        <f t="shared" si="106"/>
        <v>68.340926205063056</v>
      </c>
      <c r="W376" s="93">
        <v>21.42</v>
      </c>
      <c r="X376" s="98">
        <f t="shared" si="106"/>
        <v>68.340926205063056</v>
      </c>
      <c r="Y376" s="93">
        <v>0.11</v>
      </c>
      <c r="Z376" s="98">
        <f t="shared" si="106"/>
        <v>68.340926205063056</v>
      </c>
      <c r="AA376" s="93">
        <v>5.8</v>
      </c>
      <c r="AB376" s="98">
        <f t="shared" si="106"/>
        <v>68.340926205063056</v>
      </c>
      <c r="AC376" s="93">
        <v>1.7</v>
      </c>
      <c r="AD376" s="98">
        <f t="shared" si="106"/>
        <v>68.340926205063056</v>
      </c>
      <c r="AE376" s="93">
        <v>1.84</v>
      </c>
      <c r="AF376" s="98">
        <f t="shared" si="107"/>
        <v>68.340926205063056</v>
      </c>
      <c r="AG376" s="10">
        <f t="shared" si="108"/>
        <v>7.97</v>
      </c>
      <c r="AH376" s="95">
        <f t="shared" si="109"/>
        <v>2.6382333333333339</v>
      </c>
      <c r="AI376" s="96">
        <f t="shared" si="110"/>
        <v>68.340926205063056</v>
      </c>
      <c r="AJ376" s="96">
        <f t="shared" si="111"/>
        <v>164.00014489642695</v>
      </c>
      <c r="AK376" s="96">
        <f t="shared" si="112"/>
        <v>82.890431905839492</v>
      </c>
    </row>
    <row r="377" spans="1:37" x14ac:dyDescent="0.15">
      <c r="A377" s="10">
        <f>A376+0.5</f>
        <v>2022.5</v>
      </c>
      <c r="B377" s="10">
        <v>0</v>
      </c>
      <c r="C377" s="10">
        <v>83773</v>
      </c>
      <c r="D377" s="95">
        <f>6.8*A$79</f>
        <v>3.9666666666666668</v>
      </c>
      <c r="E377" s="122">
        <f t="shared" si="102"/>
        <v>332299.56666666665</v>
      </c>
      <c r="F377" s="96">
        <f t="shared" si="103"/>
        <v>3.1733333333333338</v>
      </c>
      <c r="G377" s="122">
        <f t="shared" si="104"/>
        <v>1239954.9306666667</v>
      </c>
      <c r="H377" s="122">
        <f t="shared" si="105"/>
        <v>470351.46666666667</v>
      </c>
      <c r="I377" s="94">
        <f>'Modell During mining'!$G371/1000000</f>
        <v>1.8305869333333338</v>
      </c>
      <c r="J377" s="121">
        <f>'Modell During mining'!$D371</f>
        <v>71.19533611150726</v>
      </c>
      <c r="K377" s="93">
        <v>0.95</v>
      </c>
      <c r="L377" s="93">
        <v>1</v>
      </c>
      <c r="M377" s="93">
        <v>0.31</v>
      </c>
      <c r="N377" s="93">
        <v>1</v>
      </c>
      <c r="O377" s="93">
        <v>1.26</v>
      </c>
      <c r="P377" s="93">
        <v>35.5</v>
      </c>
      <c r="Q377" s="93">
        <v>0.6</v>
      </c>
      <c r="R377" s="93">
        <v>0</v>
      </c>
      <c r="S377" s="93">
        <v>0.36</v>
      </c>
      <c r="T377" s="98">
        <f t="shared" si="106"/>
        <v>75.227260382943484</v>
      </c>
      <c r="U377" s="93">
        <v>25.21</v>
      </c>
      <c r="V377" s="98">
        <f t="shared" si="106"/>
        <v>75.227260382943484</v>
      </c>
      <c r="W377" s="93">
        <v>21.42</v>
      </c>
      <c r="X377" s="98">
        <f t="shared" si="106"/>
        <v>75.227260382943484</v>
      </c>
      <c r="Y377" s="93">
        <v>0.11</v>
      </c>
      <c r="Z377" s="98">
        <f t="shared" si="106"/>
        <v>75.227260382943484</v>
      </c>
      <c r="AA377" s="93">
        <v>5.8</v>
      </c>
      <c r="AB377" s="98">
        <f t="shared" si="106"/>
        <v>75.227260382943484</v>
      </c>
      <c r="AC377" s="93">
        <v>1.7</v>
      </c>
      <c r="AD377" s="98">
        <f t="shared" si="106"/>
        <v>75.227260382943484</v>
      </c>
      <c r="AE377" s="93">
        <v>1.84</v>
      </c>
      <c r="AF377" s="98">
        <f t="shared" si="107"/>
        <v>75.227260382943484</v>
      </c>
      <c r="AG377" s="10">
        <f t="shared" si="108"/>
        <v>7.97</v>
      </c>
      <c r="AH377" s="95">
        <f t="shared" si="109"/>
        <v>4.9505869333333337</v>
      </c>
      <c r="AI377" s="96">
        <f t="shared" si="110"/>
        <v>75.227260382943484</v>
      </c>
      <c r="AJ377" s="96">
        <f t="shared" si="111"/>
        <v>159.14891076914583</v>
      </c>
      <c r="AK377" s="96">
        <f t="shared" si="112"/>
        <v>87.991514026412247</v>
      </c>
    </row>
    <row r="378" spans="1:37" x14ac:dyDescent="0.15">
      <c r="A378" s="10">
        <f>A376+1</f>
        <v>2023</v>
      </c>
      <c r="C378" s="10">
        <v>83773</v>
      </c>
      <c r="D378" s="95">
        <f>5*A$80</f>
        <v>2.0833333333333335</v>
      </c>
      <c r="E378" s="122">
        <f t="shared" si="102"/>
        <v>174527.08333333334</v>
      </c>
      <c r="F378" s="96">
        <f t="shared" si="103"/>
        <v>1.666666666666667</v>
      </c>
      <c r="G378" s="122">
        <f t="shared" si="104"/>
        <v>651236.83333333349</v>
      </c>
      <c r="H378" s="122">
        <f t="shared" si="105"/>
        <v>247033.33333333334</v>
      </c>
      <c r="I378" s="94">
        <f>'Modell During mining'!$G372/1000000</f>
        <v>1.1363666666666667</v>
      </c>
      <c r="J378" s="121">
        <f>'Modell During mining'!$D372</f>
        <v>68.2</v>
      </c>
      <c r="K378" s="93">
        <v>0</v>
      </c>
      <c r="L378" s="93">
        <v>1</v>
      </c>
      <c r="M378" s="93">
        <v>0.31</v>
      </c>
      <c r="N378" s="93">
        <v>1</v>
      </c>
      <c r="O378" s="93">
        <v>1.26</v>
      </c>
      <c r="P378" s="93">
        <v>35.5</v>
      </c>
      <c r="Q378" s="93">
        <v>0</v>
      </c>
      <c r="R378" s="93">
        <v>0</v>
      </c>
      <c r="S378" s="93">
        <v>0.36</v>
      </c>
      <c r="T378" s="98">
        <f t="shared" si="106"/>
        <v>75.055784892557469</v>
      </c>
      <c r="U378" s="93">
        <v>25.21</v>
      </c>
      <c r="V378" s="98">
        <f t="shared" si="106"/>
        <v>75.055784892557469</v>
      </c>
      <c r="W378" s="93">
        <v>21.42</v>
      </c>
      <c r="X378" s="98">
        <f t="shared" si="106"/>
        <v>75.055784892557469</v>
      </c>
      <c r="Y378" s="93">
        <v>0.11</v>
      </c>
      <c r="Z378" s="98">
        <f t="shared" si="106"/>
        <v>75.055784892557469</v>
      </c>
      <c r="AA378" s="93">
        <v>5.8</v>
      </c>
      <c r="AB378" s="98">
        <f t="shared" si="106"/>
        <v>75.055784892557469</v>
      </c>
      <c r="AC378" s="93">
        <v>1.7</v>
      </c>
      <c r="AD378" s="98">
        <f t="shared" si="106"/>
        <v>75.055784892557469</v>
      </c>
      <c r="AE378" s="93">
        <v>1.84</v>
      </c>
      <c r="AF378" s="98">
        <f t="shared" si="107"/>
        <v>75.055784892557469</v>
      </c>
      <c r="AG378" s="10">
        <f t="shared" si="108"/>
        <v>7.97</v>
      </c>
      <c r="AH378" s="95">
        <f t="shared" si="109"/>
        <v>2.7063666666666668</v>
      </c>
      <c r="AI378" s="96">
        <f t="shared" si="110"/>
        <v>75.055784892557469</v>
      </c>
      <c r="AJ378" s="96">
        <f t="shared" si="111"/>
        <v>178.10766672118842</v>
      </c>
      <c r="AK378" s="96">
        <f t="shared" si="112"/>
        <v>90.72969445039044</v>
      </c>
    </row>
    <row r="379" spans="1:37" x14ac:dyDescent="0.15">
      <c r="A379" s="10">
        <f>A378+0.5</f>
        <v>2023.5</v>
      </c>
      <c r="B379" s="10">
        <v>0</v>
      </c>
      <c r="C379" s="10">
        <v>83773</v>
      </c>
      <c r="D379" s="95">
        <f>6.8*A$79</f>
        <v>3.9666666666666668</v>
      </c>
      <c r="E379" s="122">
        <f t="shared" si="102"/>
        <v>332299.56666666665</v>
      </c>
      <c r="F379" s="96">
        <f t="shared" si="103"/>
        <v>3.1733333333333338</v>
      </c>
      <c r="G379" s="122">
        <f t="shared" si="104"/>
        <v>1239954.9306666667</v>
      </c>
      <c r="H379" s="122">
        <f t="shared" si="105"/>
        <v>470351.46666666667</v>
      </c>
      <c r="I379" s="94">
        <f>'Modell During mining'!$G373/1000000</f>
        <v>1.9322808000000005</v>
      </c>
      <c r="J379" s="121">
        <f>'Modell During mining'!$D373</f>
        <v>70.870676767062008</v>
      </c>
      <c r="K379" s="93">
        <v>0.95</v>
      </c>
      <c r="L379" s="93">
        <v>1</v>
      </c>
      <c r="M379" s="93">
        <v>0.31</v>
      </c>
      <c r="N379" s="93">
        <v>1</v>
      </c>
      <c r="O379" s="93">
        <v>1.26</v>
      </c>
      <c r="P379" s="93">
        <v>35.5</v>
      </c>
      <c r="Q379" s="93">
        <v>1.6</v>
      </c>
      <c r="R379" s="93">
        <v>0</v>
      </c>
      <c r="S379" s="93">
        <v>0.36</v>
      </c>
      <c r="T379" s="98">
        <f t="shared" si="106"/>
        <v>76.533918853269228</v>
      </c>
      <c r="U379" s="93">
        <v>25.21</v>
      </c>
      <c r="V379" s="98">
        <f t="shared" si="106"/>
        <v>76.533918853269228</v>
      </c>
      <c r="W379" s="93">
        <v>21.42</v>
      </c>
      <c r="X379" s="98">
        <f t="shared" si="106"/>
        <v>76.533918853269228</v>
      </c>
      <c r="Y379" s="93">
        <v>0.11</v>
      </c>
      <c r="Z379" s="98">
        <f t="shared" si="106"/>
        <v>76.533918853269228</v>
      </c>
      <c r="AA379" s="93">
        <v>5.8</v>
      </c>
      <c r="AB379" s="98">
        <f t="shared" si="106"/>
        <v>76.533918853269228</v>
      </c>
      <c r="AC379" s="93">
        <v>1.7</v>
      </c>
      <c r="AD379" s="98">
        <f t="shared" si="106"/>
        <v>76.533918853269228</v>
      </c>
      <c r="AE379" s="93">
        <v>1.84</v>
      </c>
      <c r="AF379" s="98">
        <f t="shared" si="107"/>
        <v>76.533918853269228</v>
      </c>
      <c r="AG379" s="10">
        <f t="shared" si="108"/>
        <v>7.97</v>
      </c>
      <c r="AH379" s="95">
        <f t="shared" si="109"/>
        <v>6.0522808000000001</v>
      </c>
      <c r="AI379" s="96">
        <f t="shared" si="110"/>
        <v>76.533918853269228</v>
      </c>
      <c r="AJ379" s="96">
        <f t="shared" si="111"/>
        <v>158.01485102356489</v>
      </c>
      <c r="AK379" s="96">
        <f t="shared" si="112"/>
        <v>88.926945927232978</v>
      </c>
    </row>
    <row r="380" spans="1:37" x14ac:dyDescent="0.15">
      <c r="A380" s="10">
        <f>A378+1</f>
        <v>2024</v>
      </c>
      <c r="C380" s="10">
        <v>83773</v>
      </c>
      <c r="D380" s="95">
        <f>5*A$80</f>
        <v>2.0833333333333335</v>
      </c>
      <c r="E380" s="122">
        <f t="shared" si="102"/>
        <v>174527.08333333334</v>
      </c>
      <c r="F380" s="96">
        <f t="shared" si="103"/>
        <v>1.666666666666667</v>
      </c>
      <c r="G380" s="122">
        <f t="shared" si="104"/>
        <v>651236.83333333349</v>
      </c>
      <c r="H380" s="122">
        <f t="shared" si="105"/>
        <v>247033.33333333334</v>
      </c>
      <c r="I380" s="94">
        <f>'Modell During mining'!$G374/1000000</f>
        <v>1.2044999999999999</v>
      </c>
      <c r="J380" s="121">
        <f>'Modell During mining'!$D374</f>
        <v>68.2</v>
      </c>
      <c r="K380" s="93">
        <v>0</v>
      </c>
      <c r="L380" s="93">
        <v>1</v>
      </c>
      <c r="M380" s="93">
        <v>0.31</v>
      </c>
      <c r="N380" s="93">
        <v>1</v>
      </c>
      <c r="O380" s="93">
        <v>1.26</v>
      </c>
      <c r="P380" s="93">
        <v>35.5</v>
      </c>
      <c r="Q380" s="93">
        <v>0</v>
      </c>
      <c r="R380" s="93">
        <v>0</v>
      </c>
      <c r="S380" s="93">
        <v>0.36</v>
      </c>
      <c r="T380" s="98">
        <f t="shared" si="106"/>
        <v>66.892724914622136</v>
      </c>
      <c r="U380" s="93">
        <v>25.21</v>
      </c>
      <c r="V380" s="98">
        <f t="shared" si="106"/>
        <v>66.892724914622136</v>
      </c>
      <c r="W380" s="93">
        <v>21.42</v>
      </c>
      <c r="X380" s="98">
        <f t="shared" si="106"/>
        <v>66.892724914622136</v>
      </c>
      <c r="Y380" s="93">
        <v>0.11</v>
      </c>
      <c r="Z380" s="98">
        <f t="shared" si="106"/>
        <v>66.892724914622136</v>
      </c>
      <c r="AA380" s="93">
        <v>5.8</v>
      </c>
      <c r="AB380" s="98">
        <f t="shared" si="106"/>
        <v>66.892724914622136</v>
      </c>
      <c r="AC380" s="93">
        <v>1.7</v>
      </c>
      <c r="AD380" s="98">
        <f t="shared" si="106"/>
        <v>66.892724914622136</v>
      </c>
      <c r="AE380" s="93">
        <v>1.84</v>
      </c>
      <c r="AF380" s="98">
        <f t="shared" si="107"/>
        <v>66.892724914622136</v>
      </c>
      <c r="AG380" s="10">
        <f t="shared" si="108"/>
        <v>7.97</v>
      </c>
      <c r="AH380" s="95">
        <f t="shared" si="109"/>
        <v>2.7744999999999997</v>
      </c>
      <c r="AI380" s="96">
        <f t="shared" si="110"/>
        <v>66.892724914622136</v>
      </c>
      <c r="AJ380" s="96">
        <f t="shared" si="111"/>
        <v>158.18260605723785</v>
      </c>
      <c r="AK380" s="96">
        <f t="shared" si="112"/>
        <v>80.777666316799838</v>
      </c>
    </row>
    <row r="381" spans="1:37" x14ac:dyDescent="0.15">
      <c r="A381" s="10">
        <f>A380+0.5</f>
        <v>2024.5</v>
      </c>
      <c r="B381" s="10">
        <v>0</v>
      </c>
      <c r="C381" s="10">
        <v>83773</v>
      </c>
      <c r="D381" s="95">
        <f>6.8*A$79</f>
        <v>3.9666666666666668</v>
      </c>
      <c r="E381" s="122">
        <f t="shared" si="102"/>
        <v>332299.56666666665</v>
      </c>
      <c r="F381" s="96">
        <f t="shared" si="103"/>
        <v>3.1733333333333338</v>
      </c>
      <c r="G381" s="122">
        <f t="shared" si="104"/>
        <v>1239954.9306666667</v>
      </c>
      <c r="H381" s="122">
        <f t="shared" si="105"/>
        <v>470351.46666666667</v>
      </c>
      <c r="I381" s="94">
        <f>'Modell During mining'!$G375/1000000</f>
        <v>2.0339746666666674</v>
      </c>
      <c r="J381" s="121">
        <f>'Modell During mining'!$D375</f>
        <v>70.578481803444276</v>
      </c>
      <c r="K381" s="93">
        <v>0.95</v>
      </c>
      <c r="L381" s="93">
        <v>1</v>
      </c>
      <c r="M381" s="93">
        <v>0.31</v>
      </c>
      <c r="N381" s="93">
        <v>1</v>
      </c>
      <c r="O381" s="93">
        <v>1.26</v>
      </c>
      <c r="P381" s="93">
        <v>35.5</v>
      </c>
      <c r="Q381" s="93">
        <v>1.6</v>
      </c>
      <c r="R381" s="93">
        <v>0</v>
      </c>
      <c r="S381" s="93">
        <v>0.36</v>
      </c>
      <c r="T381" s="98">
        <f t="shared" si="106"/>
        <v>72.798604681608722</v>
      </c>
      <c r="U381" s="93">
        <v>25.21</v>
      </c>
      <c r="V381" s="98">
        <f t="shared" si="106"/>
        <v>72.798604681608722</v>
      </c>
      <c r="W381" s="93">
        <v>21.42</v>
      </c>
      <c r="X381" s="98">
        <f t="shared" si="106"/>
        <v>72.798604681608722</v>
      </c>
      <c r="Y381" s="93">
        <v>0.11</v>
      </c>
      <c r="Z381" s="98">
        <f t="shared" si="106"/>
        <v>72.798604681608722</v>
      </c>
      <c r="AA381" s="93">
        <v>5.8</v>
      </c>
      <c r="AB381" s="98">
        <f t="shared" si="106"/>
        <v>72.798604681608722</v>
      </c>
      <c r="AC381" s="93">
        <v>1.7</v>
      </c>
      <c r="AD381" s="98">
        <f t="shared" si="106"/>
        <v>72.798604681608722</v>
      </c>
      <c r="AE381" s="93">
        <v>1.84</v>
      </c>
      <c r="AF381" s="98">
        <f t="shared" si="107"/>
        <v>72.798604681608722</v>
      </c>
      <c r="AG381" s="10">
        <f t="shared" si="108"/>
        <v>7.97</v>
      </c>
      <c r="AH381" s="95">
        <f t="shared" si="109"/>
        <v>6.1539746666666684</v>
      </c>
      <c r="AI381" s="96">
        <f t="shared" si="110"/>
        <v>72.798604681608722</v>
      </c>
      <c r="AJ381" s="96">
        <f t="shared" si="111"/>
        <v>151.99866826142406</v>
      </c>
      <c r="AK381" s="96">
        <f t="shared" si="112"/>
        <v>84.844717877183129</v>
      </c>
    </row>
    <row r="382" spans="1:37" x14ac:dyDescent="0.15">
      <c r="A382" s="10">
        <f>A380+1</f>
        <v>2025</v>
      </c>
      <c r="C382" s="10">
        <v>83773</v>
      </c>
      <c r="D382" s="95">
        <f>5*A$80</f>
        <v>2.0833333333333335</v>
      </c>
      <c r="E382" s="122">
        <f t="shared" si="102"/>
        <v>174527.08333333334</v>
      </c>
      <c r="F382" s="96">
        <f t="shared" si="103"/>
        <v>1.666666666666667</v>
      </c>
      <c r="G382" s="122">
        <f t="shared" si="104"/>
        <v>651236.83333333349</v>
      </c>
      <c r="H382" s="122">
        <f t="shared" si="105"/>
        <v>247033.33333333334</v>
      </c>
      <c r="I382" s="94">
        <f>'Modell During mining'!$G376/1000000</f>
        <v>1.2726333333333333</v>
      </c>
      <c r="J382" s="121">
        <f>'Modell During mining'!$D376</f>
        <v>68.2</v>
      </c>
      <c r="K382" s="93">
        <v>0</v>
      </c>
      <c r="L382" s="93">
        <v>1</v>
      </c>
      <c r="M382" s="93">
        <v>0.31</v>
      </c>
      <c r="N382" s="93">
        <v>1</v>
      </c>
      <c r="O382" s="93">
        <v>1.26</v>
      </c>
      <c r="P382" s="93">
        <v>35.5</v>
      </c>
      <c r="Q382" s="93">
        <v>0</v>
      </c>
      <c r="R382" s="93">
        <v>0</v>
      </c>
      <c r="S382" s="93">
        <v>0.36</v>
      </c>
      <c r="T382" s="98">
        <f t="shared" si="106"/>
        <v>65.498886172976157</v>
      </c>
      <c r="U382" s="93">
        <v>25.21</v>
      </c>
      <c r="V382" s="98">
        <f t="shared" si="106"/>
        <v>65.498886172976157</v>
      </c>
      <c r="W382" s="93">
        <v>21.42</v>
      </c>
      <c r="X382" s="98">
        <f t="shared" si="106"/>
        <v>65.498886172976157</v>
      </c>
      <c r="Y382" s="93">
        <v>0.11</v>
      </c>
      <c r="Z382" s="98">
        <f t="shared" si="106"/>
        <v>65.498886172976157</v>
      </c>
      <c r="AA382" s="93">
        <v>5.8</v>
      </c>
      <c r="AB382" s="98">
        <f t="shared" si="106"/>
        <v>65.498886172976157</v>
      </c>
      <c r="AC382" s="93">
        <v>1.7</v>
      </c>
      <c r="AD382" s="98">
        <f t="shared" si="106"/>
        <v>65.498886172976157</v>
      </c>
      <c r="AE382" s="93">
        <v>1.84</v>
      </c>
      <c r="AF382" s="98">
        <f t="shared" si="107"/>
        <v>65.498886172976157</v>
      </c>
      <c r="AG382" s="10">
        <f t="shared" si="108"/>
        <v>7.97</v>
      </c>
      <c r="AH382" s="95">
        <f t="shared" si="109"/>
        <v>2.8426333333333336</v>
      </c>
      <c r="AI382" s="96">
        <f t="shared" si="110"/>
        <v>65.498886172976157</v>
      </c>
      <c r="AJ382" s="96">
        <f t="shared" si="111"/>
        <v>154.76074140341052</v>
      </c>
      <c r="AK382" s="96">
        <f t="shared" si="112"/>
        <v>79.075370377047264</v>
      </c>
    </row>
    <row r="383" spans="1:37" x14ac:dyDescent="0.15">
      <c r="A383" s="10">
        <f>A382+0.5</f>
        <v>2025.5</v>
      </c>
      <c r="B383" s="10">
        <v>0</v>
      </c>
      <c r="C383" s="10">
        <v>83773</v>
      </c>
      <c r="D383" s="95">
        <f>6.8*A$79</f>
        <v>3.9666666666666668</v>
      </c>
      <c r="E383" s="122">
        <f t="shared" si="102"/>
        <v>332299.56666666665</v>
      </c>
      <c r="F383" s="96">
        <f t="shared" si="103"/>
        <v>3.1733333333333338</v>
      </c>
      <c r="G383" s="122">
        <f t="shared" si="104"/>
        <v>1239954.9306666667</v>
      </c>
      <c r="H383" s="122">
        <f t="shared" si="105"/>
        <v>470351.46666666667</v>
      </c>
      <c r="I383" s="94">
        <f>'Modell During mining'!$G377/1000000</f>
        <v>2.1356685333333343</v>
      </c>
      <c r="J383" s="121">
        <f>'Modell During mining'!$D377</f>
        <v>70.31411366333127</v>
      </c>
      <c r="K383" s="93">
        <v>0.95</v>
      </c>
      <c r="L383" s="93">
        <v>1</v>
      </c>
      <c r="M383" s="93">
        <v>0.31</v>
      </c>
      <c r="N383" s="93">
        <v>1</v>
      </c>
      <c r="O383" s="93">
        <v>1.26</v>
      </c>
      <c r="P383" s="93">
        <v>35.5</v>
      </c>
      <c r="Q383" s="93">
        <v>1.6</v>
      </c>
      <c r="R383" s="93">
        <v>0</v>
      </c>
      <c r="S383" s="93">
        <v>0.36</v>
      </c>
      <c r="T383" s="98">
        <f t="shared" si="106"/>
        <v>71.450272997365801</v>
      </c>
      <c r="U383" s="93">
        <v>25.21</v>
      </c>
      <c r="V383" s="98">
        <f t="shared" si="106"/>
        <v>71.450272997365801</v>
      </c>
      <c r="W383" s="93">
        <v>21.42</v>
      </c>
      <c r="X383" s="98">
        <f t="shared" si="106"/>
        <v>71.450272997365801</v>
      </c>
      <c r="Y383" s="93">
        <v>0.11</v>
      </c>
      <c r="Z383" s="98">
        <f t="shared" si="106"/>
        <v>71.450272997365801</v>
      </c>
      <c r="AA383" s="93">
        <v>5.8</v>
      </c>
      <c r="AB383" s="98">
        <f t="shared" si="106"/>
        <v>71.450272997365801</v>
      </c>
      <c r="AC383" s="93">
        <v>1.7</v>
      </c>
      <c r="AD383" s="98">
        <f t="shared" si="106"/>
        <v>71.450272997365801</v>
      </c>
      <c r="AE383" s="93">
        <v>1.84</v>
      </c>
      <c r="AF383" s="98">
        <f t="shared" si="107"/>
        <v>71.450272997365801</v>
      </c>
      <c r="AG383" s="10">
        <f t="shared" si="108"/>
        <v>7.97</v>
      </c>
      <c r="AH383" s="95">
        <f t="shared" si="109"/>
        <v>6.2556685333333348</v>
      </c>
      <c r="AI383" s="96">
        <f t="shared" si="110"/>
        <v>71.450272997365801</v>
      </c>
      <c r="AJ383" s="96">
        <f t="shared" si="111"/>
        <v>148.51292388085338</v>
      </c>
      <c r="AK383" s="96">
        <f t="shared" si="112"/>
        <v>83.17129156394823</v>
      </c>
    </row>
    <row r="384" spans="1:37" x14ac:dyDescent="0.15">
      <c r="A384" s="10">
        <f>A382+1</f>
        <v>2026</v>
      </c>
      <c r="C384" s="10">
        <v>83773</v>
      </c>
      <c r="D384" s="95">
        <f>5*A$80</f>
        <v>2.0833333333333335</v>
      </c>
      <c r="E384" s="122">
        <f t="shared" si="102"/>
        <v>174527.08333333334</v>
      </c>
      <c r="F384" s="96">
        <f t="shared" si="103"/>
        <v>1.666666666666667</v>
      </c>
      <c r="G384" s="122">
        <f t="shared" si="104"/>
        <v>651236.83333333349</v>
      </c>
      <c r="H384" s="122">
        <f t="shared" si="105"/>
        <v>247033.33333333334</v>
      </c>
      <c r="I384" s="94">
        <f>'Modell During mining'!$G378/1000000</f>
        <v>1.3407666666666664</v>
      </c>
      <c r="J384" s="121">
        <f>'Modell During mining'!$D378</f>
        <v>68.2</v>
      </c>
      <c r="K384" s="93">
        <v>0</v>
      </c>
      <c r="L384" s="93">
        <v>1</v>
      </c>
      <c r="M384" s="93">
        <v>0.31</v>
      </c>
      <c r="N384" s="93">
        <v>1</v>
      </c>
      <c r="O384" s="93">
        <v>1.26</v>
      </c>
      <c r="P384" s="93">
        <v>35.5</v>
      </c>
      <c r="Q384" s="93">
        <v>0</v>
      </c>
      <c r="R384" s="93">
        <v>0</v>
      </c>
      <c r="S384" s="93">
        <v>0.36</v>
      </c>
      <c r="T384" s="98">
        <f t="shared" si="106"/>
        <v>64.608949545246972</v>
      </c>
      <c r="U384" s="93">
        <v>25.21</v>
      </c>
      <c r="V384" s="98">
        <f t="shared" si="106"/>
        <v>64.608949545246972</v>
      </c>
      <c r="W384" s="93">
        <v>21.42</v>
      </c>
      <c r="X384" s="98">
        <f t="shared" si="106"/>
        <v>64.608949545246972</v>
      </c>
      <c r="Y384" s="93">
        <v>0.11</v>
      </c>
      <c r="Z384" s="98">
        <f t="shared" si="106"/>
        <v>64.608949545246972</v>
      </c>
      <c r="AA384" s="93">
        <v>5.8</v>
      </c>
      <c r="AB384" s="98">
        <f t="shared" si="106"/>
        <v>64.608949545246972</v>
      </c>
      <c r="AC384" s="93">
        <v>1.7</v>
      </c>
      <c r="AD384" s="98">
        <f t="shared" si="106"/>
        <v>64.608949545246972</v>
      </c>
      <c r="AE384" s="93">
        <v>1.84</v>
      </c>
      <c r="AF384" s="98">
        <f t="shared" si="107"/>
        <v>64.608949545246972</v>
      </c>
      <c r="AG384" s="10">
        <f t="shared" si="108"/>
        <v>7.97</v>
      </c>
      <c r="AH384" s="95">
        <f t="shared" si="109"/>
        <v>2.9107666666666665</v>
      </c>
      <c r="AI384" s="96">
        <f t="shared" si="110"/>
        <v>64.608949545246972</v>
      </c>
      <c r="AJ384" s="96">
        <f t="shared" si="111"/>
        <v>151.93707462494217</v>
      </c>
      <c r="AK384" s="96">
        <f t="shared" si="112"/>
        <v>77.891318678791336</v>
      </c>
    </row>
    <row r="385" spans="1:37" x14ac:dyDescent="0.15">
      <c r="A385" s="10">
        <f>A384+0.5</f>
        <v>2026.5</v>
      </c>
      <c r="B385" s="10">
        <v>0</v>
      </c>
      <c r="C385" s="10">
        <v>83773</v>
      </c>
      <c r="D385" s="95">
        <f>6.8*A$79</f>
        <v>3.9666666666666668</v>
      </c>
      <c r="E385" s="122">
        <f t="shared" si="102"/>
        <v>332299.56666666665</v>
      </c>
      <c r="F385" s="96">
        <f t="shared" si="103"/>
        <v>3.1733333333333338</v>
      </c>
      <c r="G385" s="122">
        <f t="shared" si="104"/>
        <v>1239954.9306666667</v>
      </c>
      <c r="H385" s="122">
        <f t="shared" si="105"/>
        <v>470351.46666666667</v>
      </c>
      <c r="I385" s="94">
        <f>'Modell During mining'!$G379/1000000</f>
        <v>2.2373624000000008</v>
      </c>
      <c r="J385" s="121">
        <f>'Modell During mining'!$D379</f>
        <v>70.073777944958749</v>
      </c>
      <c r="K385" s="93">
        <v>0.95</v>
      </c>
      <c r="L385" s="93">
        <v>1</v>
      </c>
      <c r="M385" s="93">
        <v>0.31</v>
      </c>
      <c r="N385" s="93">
        <v>1</v>
      </c>
      <c r="O385" s="93">
        <v>1.26</v>
      </c>
      <c r="P385" s="93">
        <v>35.5</v>
      </c>
      <c r="Q385" s="93">
        <v>1.6</v>
      </c>
      <c r="R385" s="93">
        <v>0</v>
      </c>
      <c r="S385" s="93">
        <v>0.36</v>
      </c>
      <c r="T385" s="98">
        <f t="shared" si="106"/>
        <v>70.327315884829275</v>
      </c>
      <c r="U385" s="93">
        <v>25.21</v>
      </c>
      <c r="V385" s="98">
        <f t="shared" si="106"/>
        <v>70.327315884829275</v>
      </c>
      <c r="W385" s="93">
        <v>21.42</v>
      </c>
      <c r="X385" s="98">
        <f t="shared" si="106"/>
        <v>70.327315884829275</v>
      </c>
      <c r="Y385" s="93">
        <v>0.11</v>
      </c>
      <c r="Z385" s="98">
        <f t="shared" si="106"/>
        <v>70.327315884829275</v>
      </c>
      <c r="AA385" s="93">
        <v>5.8</v>
      </c>
      <c r="AB385" s="98">
        <f t="shared" si="106"/>
        <v>70.327315884829275</v>
      </c>
      <c r="AC385" s="93">
        <v>1.7</v>
      </c>
      <c r="AD385" s="98">
        <f t="shared" si="106"/>
        <v>70.327315884829275</v>
      </c>
      <c r="AE385" s="93">
        <v>1.84</v>
      </c>
      <c r="AF385" s="98">
        <f t="shared" si="107"/>
        <v>70.327315884829275</v>
      </c>
      <c r="AG385" s="10">
        <f t="shared" si="108"/>
        <v>7.97</v>
      </c>
      <c r="AH385" s="95">
        <f t="shared" si="109"/>
        <v>6.3573624000000013</v>
      </c>
      <c r="AI385" s="96">
        <f t="shared" si="110"/>
        <v>70.327315884829275</v>
      </c>
      <c r="AJ385" s="96">
        <f t="shared" si="111"/>
        <v>145.38185664234422</v>
      </c>
      <c r="AK385" s="96">
        <f t="shared" si="112"/>
        <v>81.742906389952282</v>
      </c>
    </row>
    <row r="386" spans="1:37" x14ac:dyDescent="0.15">
      <c r="A386" s="10">
        <f>A384+1</f>
        <v>2027</v>
      </c>
      <c r="C386" s="10">
        <v>83773</v>
      </c>
      <c r="D386" s="95">
        <f>5*A$80</f>
        <v>2.0833333333333335</v>
      </c>
      <c r="E386" s="122">
        <f t="shared" si="102"/>
        <v>174527.08333333334</v>
      </c>
      <c r="F386" s="96">
        <f t="shared" si="103"/>
        <v>1.666666666666667</v>
      </c>
      <c r="G386" s="122">
        <f t="shared" si="104"/>
        <v>651236.83333333349</v>
      </c>
      <c r="H386" s="122">
        <f t="shared" si="105"/>
        <v>247033.33333333334</v>
      </c>
      <c r="I386" s="94">
        <f>'Modell During mining'!$G380/1000000</f>
        <v>1.4088999999999998</v>
      </c>
      <c r="J386" s="121">
        <f>'Modell During mining'!$D380</f>
        <v>68.2</v>
      </c>
      <c r="K386" s="93">
        <v>0</v>
      </c>
      <c r="L386" s="93">
        <v>1</v>
      </c>
      <c r="M386" s="93">
        <v>0.31</v>
      </c>
      <c r="N386" s="93">
        <v>1</v>
      </c>
      <c r="O386" s="93">
        <v>1.26</v>
      </c>
      <c r="P386" s="93">
        <v>35.5</v>
      </c>
      <c r="Q386" s="93">
        <v>0</v>
      </c>
      <c r="R386" s="93">
        <v>0</v>
      </c>
      <c r="S386" s="93">
        <v>0.36</v>
      </c>
      <c r="T386" s="98">
        <f t="shared" si="106"/>
        <v>63.793754143448304</v>
      </c>
      <c r="U386" s="93">
        <v>25.21</v>
      </c>
      <c r="V386" s="98">
        <f t="shared" si="106"/>
        <v>63.793754143448304</v>
      </c>
      <c r="W386" s="93">
        <v>21.42</v>
      </c>
      <c r="X386" s="98">
        <f t="shared" si="106"/>
        <v>63.793754143448304</v>
      </c>
      <c r="Y386" s="93">
        <v>0.11</v>
      </c>
      <c r="Z386" s="98">
        <f t="shared" si="106"/>
        <v>63.793754143448304</v>
      </c>
      <c r="AA386" s="93">
        <v>5.8</v>
      </c>
      <c r="AB386" s="98">
        <f t="shared" si="106"/>
        <v>63.793754143448304</v>
      </c>
      <c r="AC386" s="93">
        <v>1.7</v>
      </c>
      <c r="AD386" s="98">
        <f t="shared" si="106"/>
        <v>63.793754143448304</v>
      </c>
      <c r="AE386" s="93">
        <v>1.84</v>
      </c>
      <c r="AF386" s="98">
        <f t="shared" si="107"/>
        <v>63.793754143448304</v>
      </c>
      <c r="AG386" s="10">
        <f t="shared" si="108"/>
        <v>7.97</v>
      </c>
      <c r="AH386" s="95">
        <f t="shared" si="109"/>
        <v>2.9788999999999999</v>
      </c>
      <c r="AI386" s="96">
        <f t="shared" si="110"/>
        <v>63.793754143448304</v>
      </c>
      <c r="AJ386" s="96">
        <f t="shared" si="111"/>
        <v>149.2757635165149</v>
      </c>
      <c r="AK386" s="96">
        <f t="shared" si="112"/>
        <v>76.795334123941501</v>
      </c>
    </row>
    <row r="387" spans="1:37" x14ac:dyDescent="0.15">
      <c r="A387" s="10">
        <f>A386+0.5</f>
        <v>2027.5</v>
      </c>
      <c r="B387" s="10">
        <v>0</v>
      </c>
      <c r="C387" s="10">
        <v>83773</v>
      </c>
      <c r="D387" s="95">
        <f>6.8*A$79</f>
        <v>3.9666666666666668</v>
      </c>
      <c r="E387" s="122">
        <f t="shared" si="102"/>
        <v>332299.56666666665</v>
      </c>
      <c r="F387" s="96">
        <f t="shared" si="103"/>
        <v>3.1733333333333338</v>
      </c>
      <c r="G387" s="122">
        <f t="shared" si="104"/>
        <v>1239954.9306666667</v>
      </c>
      <c r="H387" s="122">
        <f t="shared" si="105"/>
        <v>470351.46666666667</v>
      </c>
      <c r="I387" s="94">
        <f>'Modell During mining'!$G381/1000000</f>
        <v>2.3390562666666677</v>
      </c>
      <c r="J387" s="121">
        <f>'Modell During mining'!$D381</f>
        <v>69.854340115061774</v>
      </c>
      <c r="K387" s="93">
        <v>0.95</v>
      </c>
      <c r="L387" s="93">
        <v>1</v>
      </c>
      <c r="M387" s="93">
        <v>0.31</v>
      </c>
      <c r="N387" s="93">
        <v>1</v>
      </c>
      <c r="O387" s="93">
        <v>1.26</v>
      </c>
      <c r="P387" s="93">
        <v>35.5</v>
      </c>
      <c r="Q387" s="93">
        <v>1.6</v>
      </c>
      <c r="R387" s="93">
        <v>0</v>
      </c>
      <c r="S387" s="93">
        <v>0.36</v>
      </c>
      <c r="T387" s="98">
        <f t="shared" si="106"/>
        <v>69.278955589977414</v>
      </c>
      <c r="U387" s="93">
        <v>25.21</v>
      </c>
      <c r="V387" s="98">
        <f t="shared" si="106"/>
        <v>69.278955589977414</v>
      </c>
      <c r="W387" s="93">
        <v>21.42</v>
      </c>
      <c r="X387" s="98">
        <f t="shared" si="106"/>
        <v>69.278955589977414</v>
      </c>
      <c r="Y387" s="93">
        <v>0.11</v>
      </c>
      <c r="Z387" s="98">
        <f t="shared" si="106"/>
        <v>69.278955589977414</v>
      </c>
      <c r="AA387" s="93">
        <v>5.8</v>
      </c>
      <c r="AB387" s="98">
        <f t="shared" si="106"/>
        <v>69.278955589977414</v>
      </c>
      <c r="AC387" s="93">
        <v>1.7</v>
      </c>
      <c r="AD387" s="98">
        <f t="shared" si="106"/>
        <v>69.278955589977414</v>
      </c>
      <c r="AE387" s="93">
        <v>1.84</v>
      </c>
      <c r="AF387" s="98">
        <f t="shared" si="107"/>
        <v>69.278955589977414</v>
      </c>
      <c r="AG387" s="10">
        <f t="shared" si="108"/>
        <v>7.97</v>
      </c>
      <c r="AH387" s="95">
        <f t="shared" si="109"/>
        <v>6.4590562666666678</v>
      </c>
      <c r="AI387" s="96">
        <f t="shared" si="110"/>
        <v>69.278955589977414</v>
      </c>
      <c r="AJ387" s="96">
        <f t="shared" si="111"/>
        <v>142.44240070306233</v>
      </c>
      <c r="AK387" s="96">
        <f t="shared" si="112"/>
        <v>80.40691561645184</v>
      </c>
    </row>
    <row r="388" spans="1:37" x14ac:dyDescent="0.15">
      <c r="A388" s="10">
        <f>A386+1</f>
        <v>2028</v>
      </c>
      <c r="C388" s="10">
        <v>83773</v>
      </c>
      <c r="D388" s="95">
        <f>5*A$80</f>
        <v>2.0833333333333335</v>
      </c>
      <c r="E388" s="122">
        <f t="shared" si="102"/>
        <v>174527.08333333334</v>
      </c>
      <c r="F388" s="96">
        <f t="shared" si="103"/>
        <v>1.666666666666667</v>
      </c>
      <c r="G388" s="122">
        <f t="shared" si="104"/>
        <v>651236.83333333349</v>
      </c>
      <c r="H388" s="122">
        <f t="shared" si="105"/>
        <v>247033.33333333334</v>
      </c>
      <c r="I388" s="94">
        <f>'Modell During mining'!$G382/1000000</f>
        <v>1.477033333333333</v>
      </c>
      <c r="J388" s="121">
        <f>'Modell During mining'!$D382</f>
        <v>68.2</v>
      </c>
      <c r="K388" s="93">
        <v>0</v>
      </c>
      <c r="L388" s="93">
        <v>1</v>
      </c>
      <c r="M388" s="93">
        <v>0.31</v>
      </c>
      <c r="N388" s="93">
        <v>1</v>
      </c>
      <c r="O388" s="93">
        <v>1.26</v>
      </c>
      <c r="P388" s="93">
        <v>35.5</v>
      </c>
      <c r="Q388" s="93">
        <v>0</v>
      </c>
      <c r="R388" s="93">
        <v>0</v>
      </c>
      <c r="S388" s="93">
        <v>0.36</v>
      </c>
      <c r="T388" s="98">
        <f t="shared" si="106"/>
        <v>63.021628183014236</v>
      </c>
      <c r="U388" s="93">
        <v>25.21</v>
      </c>
      <c r="V388" s="98">
        <f t="shared" si="106"/>
        <v>63.021628183014236</v>
      </c>
      <c r="W388" s="93">
        <v>21.42</v>
      </c>
      <c r="X388" s="98">
        <f t="shared" si="106"/>
        <v>63.021628183014236</v>
      </c>
      <c r="Y388" s="93">
        <v>0.11</v>
      </c>
      <c r="Z388" s="98">
        <f t="shared" si="106"/>
        <v>63.021628183014236</v>
      </c>
      <c r="AA388" s="93">
        <v>5.8</v>
      </c>
      <c r="AB388" s="98">
        <f t="shared" si="106"/>
        <v>63.021628183014236</v>
      </c>
      <c r="AC388" s="93">
        <v>1.7</v>
      </c>
      <c r="AD388" s="98">
        <f t="shared" si="106"/>
        <v>63.021628183014236</v>
      </c>
      <c r="AE388" s="93">
        <v>1.84</v>
      </c>
      <c r="AF388" s="98">
        <f t="shared" si="107"/>
        <v>63.021628183014236</v>
      </c>
      <c r="AG388" s="10">
        <f t="shared" si="108"/>
        <v>7.97</v>
      </c>
      <c r="AH388" s="95">
        <f t="shared" si="109"/>
        <v>3.0470333333333333</v>
      </c>
      <c r="AI388" s="96">
        <f t="shared" si="110"/>
        <v>63.021628183014236</v>
      </c>
      <c r="AJ388" s="96">
        <f t="shared" si="111"/>
        <v>146.73908452724905</v>
      </c>
      <c r="AK388" s="96">
        <f t="shared" si="112"/>
        <v>75.754824470816573</v>
      </c>
    </row>
    <row r="389" spans="1:37" x14ac:dyDescent="0.15">
      <c r="A389" s="10">
        <f>A388+0.5</f>
        <v>2028.5</v>
      </c>
      <c r="B389" s="10">
        <v>0</v>
      </c>
      <c r="C389" s="10">
        <v>83773</v>
      </c>
      <c r="D389" s="95">
        <f>6.8*A$79</f>
        <v>3.9666666666666668</v>
      </c>
      <c r="E389" s="122">
        <f t="shared" si="102"/>
        <v>332299.56666666665</v>
      </c>
      <c r="F389" s="96">
        <f t="shared" si="103"/>
        <v>3.1733333333333338</v>
      </c>
      <c r="G389" s="122">
        <f t="shared" si="104"/>
        <v>1239954.9306666667</v>
      </c>
      <c r="H389" s="122">
        <f t="shared" si="105"/>
        <v>470351.46666666667</v>
      </c>
      <c r="I389" s="94">
        <f>'Modell During mining'!$G383/1000000</f>
        <v>2.4407501333333341</v>
      </c>
      <c r="J389" s="121">
        <f>'Modell During mining'!$D383</f>
        <v>69.653188041752827</v>
      </c>
      <c r="K389" s="93">
        <v>0.95</v>
      </c>
      <c r="L389" s="93">
        <v>1</v>
      </c>
      <c r="M389" s="93">
        <v>0.31</v>
      </c>
      <c r="N389" s="93">
        <v>1</v>
      </c>
      <c r="O389" s="93">
        <v>1.26</v>
      </c>
      <c r="P389" s="93">
        <v>35.5</v>
      </c>
      <c r="Q389" s="93">
        <v>1.6</v>
      </c>
      <c r="R389" s="93">
        <v>0</v>
      </c>
      <c r="S389" s="93">
        <v>0.36</v>
      </c>
      <c r="T389" s="98">
        <f t="shared" si="106"/>
        <v>68.290199745328138</v>
      </c>
      <c r="U389" s="93">
        <v>25.21</v>
      </c>
      <c r="V389" s="98">
        <f t="shared" si="106"/>
        <v>68.290199745328138</v>
      </c>
      <c r="W389" s="93">
        <v>21.42</v>
      </c>
      <c r="X389" s="98">
        <f t="shared" si="106"/>
        <v>68.290199745328138</v>
      </c>
      <c r="Y389" s="93">
        <v>0.11</v>
      </c>
      <c r="Z389" s="98">
        <f t="shared" si="106"/>
        <v>68.290199745328138</v>
      </c>
      <c r="AA389" s="93">
        <v>5.8</v>
      </c>
      <c r="AB389" s="98">
        <f t="shared" si="106"/>
        <v>68.290199745328138</v>
      </c>
      <c r="AC389" s="93">
        <v>1.7</v>
      </c>
      <c r="AD389" s="98">
        <f t="shared" si="106"/>
        <v>68.290199745328138</v>
      </c>
      <c r="AE389" s="93">
        <v>1.84</v>
      </c>
      <c r="AF389" s="98">
        <f t="shared" si="107"/>
        <v>68.290199745328138</v>
      </c>
      <c r="AG389" s="10">
        <f t="shared" si="108"/>
        <v>7.97</v>
      </c>
      <c r="AH389" s="95">
        <f t="shared" si="109"/>
        <v>6.5607501333333342</v>
      </c>
      <c r="AI389" s="96">
        <f t="shared" si="110"/>
        <v>68.290199745328138</v>
      </c>
      <c r="AJ389" s="96">
        <f t="shared" si="111"/>
        <v>139.6688390247713</v>
      </c>
      <c r="AK389" s="96">
        <f t="shared" si="112"/>
        <v>79.146695682856418</v>
      </c>
    </row>
    <row r="390" spans="1:37" x14ac:dyDescent="0.15">
      <c r="A390" s="10">
        <f>A388+1</f>
        <v>2029</v>
      </c>
      <c r="C390" s="10">
        <v>83773</v>
      </c>
      <c r="D390" s="95">
        <f>5*A$80</f>
        <v>2.0833333333333335</v>
      </c>
      <c r="E390" s="122">
        <f t="shared" si="102"/>
        <v>174527.08333333334</v>
      </c>
      <c r="F390" s="96">
        <f t="shared" si="103"/>
        <v>1.666666666666667</v>
      </c>
      <c r="G390" s="122">
        <f t="shared" si="104"/>
        <v>651236.83333333349</v>
      </c>
      <c r="H390" s="122">
        <f t="shared" si="105"/>
        <v>247033.33333333334</v>
      </c>
      <c r="I390" s="94">
        <f>'Modell During mining'!$G384/1000000</f>
        <v>1.5451666666666664</v>
      </c>
      <c r="J390" s="121">
        <f>'Modell During mining'!$D384</f>
        <v>68.2</v>
      </c>
      <c r="K390" s="93">
        <v>0</v>
      </c>
      <c r="L390" s="93">
        <v>1</v>
      </c>
      <c r="M390" s="93">
        <v>0.31</v>
      </c>
      <c r="N390" s="93">
        <v>1</v>
      </c>
      <c r="O390" s="93">
        <v>1.26</v>
      </c>
      <c r="P390" s="93">
        <v>35.5</v>
      </c>
      <c r="Q390" s="93">
        <v>0</v>
      </c>
      <c r="R390" s="93">
        <v>0</v>
      </c>
      <c r="S390" s="93">
        <v>0.36</v>
      </c>
      <c r="T390" s="98">
        <f t="shared" si="106"/>
        <v>62.287641683391492</v>
      </c>
      <c r="U390" s="93">
        <v>25.21</v>
      </c>
      <c r="V390" s="98">
        <f t="shared" si="106"/>
        <v>62.287641683391492</v>
      </c>
      <c r="W390" s="93">
        <v>21.42</v>
      </c>
      <c r="X390" s="98">
        <f t="shared" si="106"/>
        <v>62.287641683391492</v>
      </c>
      <c r="Y390" s="93">
        <v>0.11</v>
      </c>
      <c r="Z390" s="98">
        <f t="shared" si="106"/>
        <v>62.287641683391492</v>
      </c>
      <c r="AA390" s="93">
        <v>5.8</v>
      </c>
      <c r="AB390" s="98">
        <f t="shared" si="106"/>
        <v>62.287641683391492</v>
      </c>
      <c r="AC390" s="93">
        <v>1.7</v>
      </c>
      <c r="AD390" s="98">
        <f t="shared" si="106"/>
        <v>62.287641683391492</v>
      </c>
      <c r="AE390" s="93">
        <v>1.84</v>
      </c>
      <c r="AF390" s="98">
        <f t="shared" si="107"/>
        <v>62.287641683391492</v>
      </c>
      <c r="AG390" s="10">
        <f t="shared" si="108"/>
        <v>7.97</v>
      </c>
      <c r="AH390" s="95">
        <f t="shared" si="109"/>
        <v>3.1151666666666662</v>
      </c>
      <c r="AI390" s="96">
        <f t="shared" si="110"/>
        <v>62.287641683391492</v>
      </c>
      <c r="AJ390" s="96">
        <f t="shared" si="111"/>
        <v>144.31661223933057</v>
      </c>
      <c r="AK390" s="96">
        <f t="shared" si="112"/>
        <v>74.764023897876427</v>
      </c>
    </row>
    <row r="391" spans="1:37" x14ac:dyDescent="0.15">
      <c r="A391" s="10">
        <f>A390+0.5</f>
        <v>2029.5</v>
      </c>
      <c r="B391" s="10">
        <v>0</v>
      </c>
      <c r="C391" s="10">
        <v>83773</v>
      </c>
      <c r="D391" s="95">
        <f>6.8*A$79</f>
        <v>3.9666666666666668</v>
      </c>
      <c r="E391" s="122">
        <f t="shared" si="102"/>
        <v>332299.56666666665</v>
      </c>
      <c r="F391" s="96">
        <f t="shared" si="103"/>
        <v>3.1733333333333338</v>
      </c>
      <c r="G391" s="122">
        <f t="shared" si="104"/>
        <v>1239954.9306666667</v>
      </c>
      <c r="H391" s="122">
        <f t="shared" si="105"/>
        <v>470351.46666666667</v>
      </c>
      <c r="I391" s="94">
        <f>'Modell During mining'!$G385/1000000</f>
        <v>2.5424440000000001</v>
      </c>
      <c r="J391" s="121">
        <f>'Modell During mining'!$D385</f>
        <v>69.46812751824622</v>
      </c>
      <c r="K391" s="93">
        <v>0.95</v>
      </c>
      <c r="L391" s="93">
        <v>1</v>
      </c>
      <c r="M391" s="93">
        <v>0.31</v>
      </c>
      <c r="N391" s="93">
        <v>1</v>
      </c>
      <c r="O391" s="93">
        <v>1.26</v>
      </c>
      <c r="P391" s="93">
        <v>35.5</v>
      </c>
      <c r="Q391" s="93">
        <v>1.6</v>
      </c>
      <c r="R391" s="93">
        <v>0</v>
      </c>
      <c r="S391" s="93">
        <v>0.36</v>
      </c>
      <c r="T391" s="98">
        <f t="shared" si="106"/>
        <v>67.355542486261967</v>
      </c>
      <c r="U391" s="93">
        <v>25.21</v>
      </c>
      <c r="V391" s="98">
        <f t="shared" si="106"/>
        <v>67.355542486261967</v>
      </c>
      <c r="W391" s="93">
        <v>21.42</v>
      </c>
      <c r="X391" s="98">
        <f t="shared" si="106"/>
        <v>67.355542486261967</v>
      </c>
      <c r="Y391" s="93">
        <v>0.11</v>
      </c>
      <c r="Z391" s="98">
        <f t="shared" si="106"/>
        <v>67.355542486261967</v>
      </c>
      <c r="AA391" s="93">
        <v>5.8</v>
      </c>
      <c r="AB391" s="98">
        <f t="shared" si="106"/>
        <v>67.355542486261967</v>
      </c>
      <c r="AC391" s="93">
        <v>1.7</v>
      </c>
      <c r="AD391" s="98">
        <f t="shared" si="106"/>
        <v>67.355542486261967</v>
      </c>
      <c r="AE391" s="93">
        <v>1.84</v>
      </c>
      <c r="AF391" s="98">
        <f t="shared" si="107"/>
        <v>67.355542486261967</v>
      </c>
      <c r="AG391" s="10">
        <f t="shared" si="108"/>
        <v>7.97</v>
      </c>
      <c r="AH391" s="95">
        <f t="shared" si="109"/>
        <v>6.6624440000000007</v>
      </c>
      <c r="AI391" s="96">
        <f t="shared" si="110"/>
        <v>67.355542486261967</v>
      </c>
      <c r="AJ391" s="96">
        <f t="shared" si="111"/>
        <v>137.04625978635767</v>
      </c>
      <c r="AK391" s="96">
        <f t="shared" si="112"/>
        <v>77.95531010427284</v>
      </c>
    </row>
    <row r="392" spans="1:37" x14ac:dyDescent="0.15">
      <c r="A392" s="10">
        <f>A390+1</f>
        <v>2030</v>
      </c>
      <c r="C392" s="10">
        <v>83773</v>
      </c>
      <c r="D392" s="95">
        <f>5*A$80</f>
        <v>2.0833333333333335</v>
      </c>
      <c r="E392" s="122">
        <f t="shared" si="102"/>
        <v>174527.08333333334</v>
      </c>
      <c r="F392" s="96">
        <f t="shared" si="103"/>
        <v>1.666666666666667</v>
      </c>
      <c r="G392" s="122">
        <f t="shared" si="104"/>
        <v>651236.83333333349</v>
      </c>
      <c r="H392" s="122">
        <f t="shared" si="105"/>
        <v>247033.33333333334</v>
      </c>
      <c r="I392" s="94">
        <f>'Modell During mining'!$G386/1000000</f>
        <v>1.6133</v>
      </c>
      <c r="J392" s="121">
        <f>'Modell During mining'!$D386</f>
        <v>68.2</v>
      </c>
      <c r="K392" s="93">
        <v>0</v>
      </c>
      <c r="L392" s="93">
        <v>1</v>
      </c>
      <c r="M392" s="93">
        <v>0.31</v>
      </c>
      <c r="N392" s="93">
        <v>1</v>
      </c>
      <c r="O392" s="93">
        <v>1.26</v>
      </c>
      <c r="P392" s="93">
        <v>35.5</v>
      </c>
      <c r="Q392" s="93">
        <v>0</v>
      </c>
      <c r="R392" s="93">
        <v>0</v>
      </c>
      <c r="S392" s="93">
        <v>0.36</v>
      </c>
      <c r="T392" s="98">
        <f t="shared" si="106"/>
        <v>61.588887584439419</v>
      </c>
      <c r="U392" s="93">
        <v>25.21</v>
      </c>
      <c r="V392" s="98">
        <f t="shared" si="106"/>
        <v>61.588887584439419</v>
      </c>
      <c r="W392" s="93">
        <v>21.42</v>
      </c>
      <c r="X392" s="98">
        <f t="shared" si="106"/>
        <v>61.588887584439419</v>
      </c>
      <c r="Y392" s="93">
        <v>0.11</v>
      </c>
      <c r="Z392" s="98">
        <f t="shared" si="106"/>
        <v>61.588887584439419</v>
      </c>
      <c r="AA392" s="93">
        <v>5.8</v>
      </c>
      <c r="AB392" s="98">
        <f t="shared" si="106"/>
        <v>61.588887584439419</v>
      </c>
      <c r="AC392" s="93">
        <v>1.7</v>
      </c>
      <c r="AD392" s="98">
        <f t="shared" si="106"/>
        <v>61.588887584439419</v>
      </c>
      <c r="AE392" s="93">
        <v>1.84</v>
      </c>
      <c r="AF392" s="98">
        <f t="shared" si="107"/>
        <v>61.588887584439419</v>
      </c>
      <c r="AG392" s="10">
        <f t="shared" si="108"/>
        <v>7.97</v>
      </c>
      <c r="AH392" s="95">
        <f t="shared" si="109"/>
        <v>3.1833</v>
      </c>
      <c r="AI392" s="96">
        <f t="shared" si="110"/>
        <v>61.588887584439419</v>
      </c>
      <c r="AJ392" s="96">
        <f t="shared" si="111"/>
        <v>142.00043730427407</v>
      </c>
      <c r="AK392" s="96">
        <f t="shared" si="112"/>
        <v>73.819264510595772</v>
      </c>
    </row>
    <row r="393" spans="1:37" x14ac:dyDescent="0.15">
      <c r="A393" s="10">
        <f>A392+0.5</f>
        <v>2030.5</v>
      </c>
      <c r="AI393" s="96">
        <f t="shared" si="110"/>
        <v>66.470582760170089</v>
      </c>
      <c r="AJ393" s="96">
        <f t="shared" si="111"/>
        <v>134.56197484784207</v>
      </c>
      <c r="AK393" s="96">
        <f t="shared" si="112"/>
        <v>76.82709738475404</v>
      </c>
    </row>
    <row r="394" spans="1:37" x14ac:dyDescent="0.15">
      <c r="A394" s="10">
        <f>7/12</f>
        <v>0.58333333333333337</v>
      </c>
      <c r="B394" s="10" t="s">
        <v>1086</v>
      </c>
      <c r="C394" s="11" t="s">
        <v>676</v>
      </c>
      <c r="D394" s="11" t="s">
        <v>676</v>
      </c>
      <c r="E394" s="11" t="s">
        <v>676</v>
      </c>
      <c r="F394" s="11"/>
      <c r="G394" s="11" t="s">
        <v>676</v>
      </c>
      <c r="H394" s="11" t="s">
        <v>676</v>
      </c>
      <c r="I394" s="11" t="s">
        <v>676</v>
      </c>
      <c r="J394" s="11" t="s">
        <v>676</v>
      </c>
      <c r="K394" s="11" t="s">
        <v>676</v>
      </c>
      <c r="L394" s="11" t="s">
        <v>676</v>
      </c>
      <c r="M394" s="11" t="s">
        <v>676</v>
      </c>
      <c r="N394" s="11" t="s">
        <v>676</v>
      </c>
      <c r="O394" s="11" t="s">
        <v>676</v>
      </c>
      <c r="P394" s="11" t="s">
        <v>676</v>
      </c>
      <c r="Q394" s="11" t="s">
        <v>676</v>
      </c>
      <c r="R394" s="11" t="s">
        <v>676</v>
      </c>
      <c r="S394" s="11" t="s">
        <v>676</v>
      </c>
      <c r="T394" s="11" t="s">
        <v>676</v>
      </c>
      <c r="U394" s="11" t="s">
        <v>676</v>
      </c>
      <c r="V394" s="11" t="s">
        <v>676</v>
      </c>
      <c r="W394" s="11" t="s">
        <v>676</v>
      </c>
      <c r="X394" s="11" t="s">
        <v>676</v>
      </c>
      <c r="Y394" s="11" t="s">
        <v>676</v>
      </c>
      <c r="Z394" s="11" t="s">
        <v>676</v>
      </c>
      <c r="AA394" s="11" t="s">
        <v>676</v>
      </c>
      <c r="AB394" s="11" t="s">
        <v>676</v>
      </c>
      <c r="AC394" s="11" t="s">
        <v>676</v>
      </c>
      <c r="AD394" s="11" t="s">
        <v>676</v>
      </c>
      <c r="AE394" s="11" t="s">
        <v>676</v>
      </c>
      <c r="AF394" s="11" t="s">
        <v>676</v>
      </c>
      <c r="AG394" s="11" t="s">
        <v>676</v>
      </c>
      <c r="AH394" s="11" t="s">
        <v>676</v>
      </c>
      <c r="AI394" s="11" t="s">
        <v>676</v>
      </c>
      <c r="AJ394" s="11" t="s">
        <v>676</v>
      </c>
      <c r="AK394" s="11" t="s">
        <v>676</v>
      </c>
    </row>
    <row r="395" spans="1:37" x14ac:dyDescent="0.15">
      <c r="A395">
        <f>5/12</f>
        <v>0.41666666666666669</v>
      </c>
      <c r="B395" s="10" t="s">
        <v>1087</v>
      </c>
      <c r="C395" s="118" t="s">
        <v>1174</v>
      </c>
      <c r="E395" s="10">
        <v>3393</v>
      </c>
      <c r="F395" s="10" t="s">
        <v>1456</v>
      </c>
      <c r="G395" s="10">
        <v>17278</v>
      </c>
      <c r="H395" s="10">
        <v>3393</v>
      </c>
      <c r="L395" s="96"/>
      <c r="N395" s="96"/>
      <c r="P395" s="96"/>
      <c r="R395" s="96"/>
      <c r="S395" s="10"/>
      <c r="T395" s="96"/>
      <c r="V395" s="96"/>
      <c r="X395" s="96"/>
      <c r="Z395" s="96"/>
      <c r="AB395" s="96"/>
      <c r="AD395" s="96"/>
      <c r="AF395" s="96"/>
      <c r="AI395" t="s">
        <v>1443</v>
      </c>
      <c r="AJ395" t="s">
        <v>1444</v>
      </c>
      <c r="AK395" t="s">
        <v>1445</v>
      </c>
    </row>
    <row r="396" spans="1:37" ht="27" customHeight="1" x14ac:dyDescent="0.15">
      <c r="B396" s="10" t="s">
        <v>1058</v>
      </c>
      <c r="C396" s="10" t="s">
        <v>1066</v>
      </c>
      <c r="D396" s="97" t="s">
        <v>1056</v>
      </c>
      <c r="E396" s="97" t="s">
        <v>1439</v>
      </c>
      <c r="F396" s="97" t="s">
        <v>1056</v>
      </c>
      <c r="G396" s="97" t="s">
        <v>1427</v>
      </c>
      <c r="H396" s="97" t="s">
        <v>1428</v>
      </c>
      <c r="I396" s="85" t="s">
        <v>918</v>
      </c>
      <c r="J396" s="85" t="s">
        <v>657</v>
      </c>
      <c r="K396" s="85" t="s">
        <v>919</v>
      </c>
      <c r="L396" s="10" t="s">
        <v>634</v>
      </c>
      <c r="M396" s="85" t="s">
        <v>947</v>
      </c>
      <c r="N396" s="10" t="s">
        <v>634</v>
      </c>
      <c r="O396" s="85" t="s">
        <v>779</v>
      </c>
      <c r="P396" s="10" t="s">
        <v>634</v>
      </c>
      <c r="Q396" s="85" t="s">
        <v>780</v>
      </c>
      <c r="R396" s="10" t="s">
        <v>634</v>
      </c>
      <c r="S396" s="85" t="s">
        <v>948</v>
      </c>
      <c r="T396" s="10" t="s">
        <v>634</v>
      </c>
      <c r="U396" s="85" t="s">
        <v>949</v>
      </c>
      <c r="V396" s="10" t="s">
        <v>634</v>
      </c>
      <c r="W396" s="85" t="s">
        <v>950</v>
      </c>
      <c r="X396" s="10" t="s">
        <v>634</v>
      </c>
      <c r="Y396" s="85" t="s">
        <v>783</v>
      </c>
      <c r="Z396" s="10" t="s">
        <v>634</v>
      </c>
      <c r="AA396" s="85" t="s">
        <v>784</v>
      </c>
      <c r="AB396" s="10" t="s">
        <v>634</v>
      </c>
      <c r="AC396" s="85" t="s">
        <v>785</v>
      </c>
      <c r="AD396" s="10" t="s">
        <v>634</v>
      </c>
      <c r="AE396" s="85" t="s">
        <v>1205</v>
      </c>
      <c r="AF396" s="10" t="s">
        <v>634</v>
      </c>
      <c r="AG396" s="85" t="s">
        <v>1060</v>
      </c>
      <c r="AH396" s="85" t="s">
        <v>1061</v>
      </c>
      <c r="AI396" s="10" t="s">
        <v>1455</v>
      </c>
      <c r="AJ396" s="10" t="s">
        <v>1455</v>
      </c>
      <c r="AK396" s="10" t="s">
        <v>1455</v>
      </c>
    </row>
    <row r="397" spans="1:37" x14ac:dyDescent="0.15">
      <c r="A397" s="10">
        <v>2014.5</v>
      </c>
      <c r="B397" s="10">
        <v>0</v>
      </c>
      <c r="C397" s="10">
        <f>E395</f>
        <v>3393</v>
      </c>
      <c r="D397" s="95">
        <f>5*A394</f>
        <v>2.916666666666667</v>
      </c>
      <c r="E397" s="122">
        <f>C397*D397</f>
        <v>9896.2500000000018</v>
      </c>
      <c r="F397" s="96">
        <f>D397*0.8</f>
        <v>2.3333333333333335</v>
      </c>
      <c r="G397" s="122">
        <f>(C397*0.4+G$395*0.6)*D397</f>
        <v>34195</v>
      </c>
      <c r="H397" s="122">
        <f>(C397*0.4+H$395*0.6)*D397</f>
        <v>9896.2500000000018</v>
      </c>
      <c r="I397" s="94">
        <f>'Modell During mining'!$G391/1000000</f>
        <v>1.0170360000000001</v>
      </c>
      <c r="J397" s="121">
        <f>'Modell During mining'!$D391</f>
        <v>17.15279329168289</v>
      </c>
      <c r="K397" s="93">
        <v>0.95</v>
      </c>
      <c r="L397" s="93">
        <v>0.2</v>
      </c>
      <c r="M397" s="93">
        <v>0.31</v>
      </c>
      <c r="N397" s="93">
        <v>0.2</v>
      </c>
      <c r="O397" s="93">
        <v>1.26</v>
      </c>
      <c r="P397" s="93">
        <v>7.4</v>
      </c>
      <c r="Q397" s="93">
        <v>1.6</v>
      </c>
      <c r="R397" s="93">
        <v>0</v>
      </c>
      <c r="S397" s="93">
        <v>0.36</v>
      </c>
      <c r="T397" s="93">
        <f>$AF397</f>
        <v>7.5</v>
      </c>
      <c r="U397" s="93">
        <v>25.21</v>
      </c>
      <c r="V397" s="93">
        <f>$AF397</f>
        <v>7.5</v>
      </c>
      <c r="W397" s="93">
        <v>21.42</v>
      </c>
      <c r="X397" s="93">
        <f>$AF397</f>
        <v>7.5</v>
      </c>
      <c r="Y397" s="93">
        <v>0.11</v>
      </c>
      <c r="Z397" s="93">
        <f>$AF397</f>
        <v>7.5</v>
      </c>
      <c r="AA397" s="93">
        <v>5.8</v>
      </c>
      <c r="AB397" s="93">
        <f>$AF397</f>
        <v>7.5</v>
      </c>
      <c r="AC397" s="93">
        <v>1.7</v>
      </c>
      <c r="AD397" s="93">
        <f>$AF397</f>
        <v>7.5</v>
      </c>
      <c r="AE397" s="93">
        <v>1.84</v>
      </c>
      <c r="AF397" s="10">
        <v>7.5</v>
      </c>
      <c r="AG397" s="10">
        <f>S397+Y397+AA397+AC397</f>
        <v>7.97</v>
      </c>
      <c r="AH397" s="95">
        <f>I397+K397+M397+O397+Q397</f>
        <v>5.1370360000000002</v>
      </c>
      <c r="AI397" s="10">
        <v>7.5</v>
      </c>
      <c r="AJ397" s="10">
        <v>7.5</v>
      </c>
      <c r="AK397" s="10">
        <v>7.5</v>
      </c>
    </row>
    <row r="398" spans="1:37" x14ac:dyDescent="0.15">
      <c r="A398" s="10">
        <v>2015</v>
      </c>
      <c r="C398" s="10">
        <f>C397</f>
        <v>3393</v>
      </c>
      <c r="D398" s="95">
        <f>5*A$80</f>
        <v>2.0833333333333335</v>
      </c>
      <c r="E398" s="122">
        <f t="shared" ref="E398:E428" si="113">C398*D398</f>
        <v>7068.7500000000009</v>
      </c>
      <c r="F398" s="96">
        <f t="shared" ref="F398:F428" si="114">D398*0.8</f>
        <v>1.666666666666667</v>
      </c>
      <c r="G398" s="122">
        <f t="shared" ref="G398:G428" si="115">(C398*0.4+G$395*0.6)*D398</f>
        <v>24425</v>
      </c>
      <c r="H398" s="122">
        <f t="shared" ref="H398:H428" si="116">(C398*0.4+H$395*0.6)*D398</f>
        <v>7068.7500000000009</v>
      </c>
      <c r="I398" s="94">
        <f>'Modell During mining'!$G392/1000000</f>
        <v>0.59130000000000005</v>
      </c>
      <c r="J398" s="121">
        <f>'Modell During mining'!$D392</f>
        <v>1.0000000000000001E-5</v>
      </c>
      <c r="K398" s="93">
        <v>0</v>
      </c>
      <c r="L398" s="93">
        <v>0.2</v>
      </c>
      <c r="M398" s="93">
        <v>0.31</v>
      </c>
      <c r="N398" s="93">
        <v>0.2</v>
      </c>
      <c r="O398" s="93">
        <v>1.26</v>
      </c>
      <c r="P398" s="93">
        <v>7.4</v>
      </c>
      <c r="Q398" s="93">
        <v>0</v>
      </c>
      <c r="R398" s="93">
        <v>0</v>
      </c>
      <c r="S398" s="93">
        <v>0.36</v>
      </c>
      <c r="T398" s="98">
        <f t="shared" ref="T398:AD428" si="117">$AF398</f>
        <v>6.3260517313113835</v>
      </c>
      <c r="U398" s="93">
        <v>25.21</v>
      </c>
      <c r="V398" s="98">
        <f t="shared" si="117"/>
        <v>6.3260517313113835</v>
      </c>
      <c r="W398" s="93">
        <v>21.42</v>
      </c>
      <c r="X398" s="98">
        <f t="shared" si="117"/>
        <v>6.3260517313113835</v>
      </c>
      <c r="Y398" s="93">
        <v>0.11</v>
      </c>
      <c r="Z398" s="98">
        <f t="shared" si="117"/>
        <v>6.3260517313113835</v>
      </c>
      <c r="AA398" s="93">
        <v>5.8</v>
      </c>
      <c r="AB398" s="98">
        <f t="shared" si="117"/>
        <v>6.3260517313113835</v>
      </c>
      <c r="AC398" s="93">
        <v>1.7</v>
      </c>
      <c r="AD398" s="98">
        <f t="shared" si="117"/>
        <v>6.3260517313113835</v>
      </c>
      <c r="AE398" s="93">
        <v>1.84</v>
      </c>
      <c r="AF398" s="98">
        <f t="shared" ref="AF398:AF428" si="118">$AI398</f>
        <v>6.3260517313113835</v>
      </c>
      <c r="AG398" s="10">
        <f t="shared" ref="AG398:AG428" si="119">S398+Y398+AA398+AC398</f>
        <v>7.97</v>
      </c>
      <c r="AH398" s="95">
        <f t="shared" ref="AH398:AH428" si="120">I398+K398+M398+O398+Q398</f>
        <v>2.1612999999999998</v>
      </c>
      <c r="AI398" s="96">
        <f>(($B397/1000+E397/1000+$I397*$J397+$K397*$L397+$M397*$N397+$O397*$P397-$S397*$T397)/($I397+$K397+$M397+$O397+$Q397+$I397-$S397)*$AH397+$AE397*$AF397)/($AH397+$AE397)</f>
        <v>6.3260517313113835</v>
      </c>
      <c r="AJ398" s="96">
        <f t="shared" ref="AJ398:AJ429" si="121">(($B397/1000+G397/1000+$I397*$J397+$K397*$L397+$M397*$N397+$O397*$P397-$S397*$T397)/($I397+$K397+$M397+$O397+$Q397+$I397-$S397)*$AH397+$AE397*$AF397)/($AH397+$AE397)</f>
        <v>9.413798603815243</v>
      </c>
      <c r="AK398" s="96">
        <f t="shared" ref="AK398:AK429" si="122">(($B397/1000+H397/1000+$I397*$J397+$K397*$L397+$M397*$N397+$O397*$P397-$S397*$T397)/($I397+$K397+$M397+$O397+$Q397+$I397-$S397)*$AH397+$AE397*$AF397)/($AH397+$AE397)</f>
        <v>6.3260517313113835</v>
      </c>
    </row>
    <row r="399" spans="1:37" x14ac:dyDescent="0.15">
      <c r="A399" s="10">
        <v>2015.5</v>
      </c>
      <c r="B399" s="10">
        <v>0</v>
      </c>
      <c r="C399" s="10">
        <f t="shared" ref="C399:C428" si="123">C398</f>
        <v>3393</v>
      </c>
      <c r="D399" s="95">
        <f>5.5*A394</f>
        <v>3.2083333333333335</v>
      </c>
      <c r="E399" s="122">
        <f t="shared" si="113"/>
        <v>10885.875</v>
      </c>
      <c r="F399" s="96">
        <f t="shared" si="114"/>
        <v>2.5666666666666669</v>
      </c>
      <c r="G399" s="122">
        <f t="shared" si="115"/>
        <v>37614.5</v>
      </c>
      <c r="H399" s="122">
        <f t="shared" si="116"/>
        <v>10885.875</v>
      </c>
      <c r="I399" s="94">
        <f>'Modell During mining'!$G393/1000000</f>
        <v>1.1187298666666667</v>
      </c>
      <c r="J399" s="121">
        <f>'Modell During mining'!$D393</f>
        <v>15.59358496796486</v>
      </c>
      <c r="K399" s="93">
        <v>0.95</v>
      </c>
      <c r="L399" s="93">
        <v>0.2</v>
      </c>
      <c r="M399" s="93">
        <v>0.31</v>
      </c>
      <c r="N399" s="93">
        <v>0.2</v>
      </c>
      <c r="O399" s="93">
        <v>1.26</v>
      </c>
      <c r="P399" s="93">
        <v>7.4</v>
      </c>
      <c r="Q399" s="93">
        <v>1.6</v>
      </c>
      <c r="R399" s="93">
        <v>0</v>
      </c>
      <c r="S399" s="93">
        <v>0.36</v>
      </c>
      <c r="T399" s="98">
        <f t="shared" si="117"/>
        <v>6.1096998007732308</v>
      </c>
      <c r="U399" s="93">
        <v>25.21</v>
      </c>
      <c r="V399" s="98">
        <f t="shared" si="117"/>
        <v>6.1096998007732308</v>
      </c>
      <c r="W399" s="93">
        <v>21.42</v>
      </c>
      <c r="X399" s="98">
        <f t="shared" si="117"/>
        <v>6.1096998007732308</v>
      </c>
      <c r="Y399" s="93">
        <v>0.11</v>
      </c>
      <c r="Z399" s="98">
        <f t="shared" si="117"/>
        <v>6.1096998007732308</v>
      </c>
      <c r="AA399" s="93">
        <v>5.8</v>
      </c>
      <c r="AB399" s="98">
        <f t="shared" si="117"/>
        <v>6.1096998007732308</v>
      </c>
      <c r="AC399" s="93">
        <v>1.7</v>
      </c>
      <c r="AD399" s="98">
        <f t="shared" si="117"/>
        <v>6.1096998007732308</v>
      </c>
      <c r="AE399" s="93">
        <v>1.84</v>
      </c>
      <c r="AF399" s="98">
        <f t="shared" si="118"/>
        <v>6.1096998007732308</v>
      </c>
      <c r="AG399" s="10">
        <f t="shared" si="119"/>
        <v>7.97</v>
      </c>
      <c r="AH399" s="95">
        <f t="shared" si="120"/>
        <v>5.2387298666666666</v>
      </c>
      <c r="AI399" s="96">
        <f t="shared" ref="AI399:AI429" si="124">((B398/1000+E398/1000+I398*J398+K398*L398+M398*N398+O398*P398-S398*T398)/(I398+K398+M398+O398+Q398+I398-S398)*AH398+AE398*AF398)/(AH398+AE398)</f>
        <v>6.1096998007732308</v>
      </c>
      <c r="AJ399" s="96">
        <f>(($B398/1000+G398/1000+$I398*$J398+$K398*$L398+$M398*$N398+$O398*$P398-$S398*$T398)/($I398+$K398+$M398+$O398+$Q398+$I398-$S398)*$AH398+$AE398*$AF398)/($AH398+$AE398)</f>
        <v>10.028018331389374</v>
      </c>
      <c r="AK399" s="96">
        <f t="shared" si="122"/>
        <v>6.1096998007732308</v>
      </c>
    </row>
    <row r="400" spans="1:37" x14ac:dyDescent="0.15">
      <c r="A400" s="10">
        <f>A398+1</f>
        <v>2016</v>
      </c>
      <c r="C400" s="10">
        <f t="shared" si="123"/>
        <v>3393</v>
      </c>
      <c r="D400" s="95">
        <f>5*A$80</f>
        <v>2.0833333333333335</v>
      </c>
      <c r="E400" s="122">
        <f t="shared" si="113"/>
        <v>7068.7500000000009</v>
      </c>
      <c r="F400" s="96">
        <f t="shared" si="114"/>
        <v>1.666666666666667</v>
      </c>
      <c r="G400" s="122">
        <f t="shared" si="115"/>
        <v>24425</v>
      </c>
      <c r="H400" s="122">
        <f t="shared" si="116"/>
        <v>7068.7500000000009</v>
      </c>
      <c r="I400" s="94">
        <f>'Modell During mining'!$G394/1000000</f>
        <v>0.65943333333333343</v>
      </c>
      <c r="J400" s="121">
        <f>'Modell During mining'!$D394</f>
        <v>1.0000000000000001E-5</v>
      </c>
      <c r="K400" s="93">
        <v>0</v>
      </c>
      <c r="L400" s="93">
        <v>0.2</v>
      </c>
      <c r="M400" s="93">
        <v>0.31</v>
      </c>
      <c r="N400" s="93">
        <v>0.2</v>
      </c>
      <c r="O400" s="93">
        <v>1.26</v>
      </c>
      <c r="P400" s="93">
        <v>7.4</v>
      </c>
      <c r="Q400" s="93">
        <v>0</v>
      </c>
      <c r="R400" s="93">
        <v>0</v>
      </c>
      <c r="S400" s="93">
        <v>0.36</v>
      </c>
      <c r="T400" s="98">
        <f t="shared" si="117"/>
        <v>5.9942886246489335</v>
      </c>
      <c r="U400" s="93">
        <v>25.21</v>
      </c>
      <c r="V400" s="98">
        <f t="shared" si="117"/>
        <v>5.9942886246489335</v>
      </c>
      <c r="W400" s="93">
        <v>21.42</v>
      </c>
      <c r="X400" s="98">
        <f t="shared" si="117"/>
        <v>5.9942886246489335</v>
      </c>
      <c r="Y400" s="93">
        <v>0.11</v>
      </c>
      <c r="Z400" s="98">
        <f t="shared" si="117"/>
        <v>5.9942886246489335</v>
      </c>
      <c r="AA400" s="93">
        <v>5.8</v>
      </c>
      <c r="AB400" s="98">
        <f t="shared" si="117"/>
        <v>5.9942886246489335</v>
      </c>
      <c r="AC400" s="93">
        <v>1.7</v>
      </c>
      <c r="AD400" s="98">
        <f t="shared" si="117"/>
        <v>5.9942886246489335</v>
      </c>
      <c r="AE400" s="93">
        <v>1.84</v>
      </c>
      <c r="AF400" s="98">
        <f t="shared" si="118"/>
        <v>5.9942886246489335</v>
      </c>
      <c r="AG400" s="10">
        <f t="shared" si="119"/>
        <v>7.97</v>
      </c>
      <c r="AH400" s="95">
        <f t="shared" si="120"/>
        <v>2.2294333333333336</v>
      </c>
      <c r="AI400" s="96">
        <f t="shared" si="124"/>
        <v>5.9942886246489335</v>
      </c>
      <c r="AJ400" s="96">
        <f t="shared" si="121"/>
        <v>9.2925110670984097</v>
      </c>
      <c r="AK400" s="96">
        <f t="shared" si="122"/>
        <v>5.9942886246489335</v>
      </c>
    </row>
    <row r="401" spans="1:37" x14ac:dyDescent="0.15">
      <c r="A401" s="10">
        <v>2016.5</v>
      </c>
      <c r="B401" s="10">
        <v>0</v>
      </c>
      <c r="C401" s="10">
        <f t="shared" si="123"/>
        <v>3393</v>
      </c>
      <c r="D401" s="95">
        <f>6.5*A394</f>
        <v>3.791666666666667</v>
      </c>
      <c r="E401" s="122">
        <f t="shared" si="113"/>
        <v>12865.125000000002</v>
      </c>
      <c r="F401" s="96">
        <f t="shared" si="114"/>
        <v>3.0333333333333337</v>
      </c>
      <c r="G401" s="122">
        <f t="shared" si="115"/>
        <v>44453.5</v>
      </c>
      <c r="H401" s="122">
        <f t="shared" si="116"/>
        <v>12865.125000000002</v>
      </c>
      <c r="I401" s="94">
        <f>'Modell During mining'!$G395/1000000</f>
        <v>1.2204237333333334</v>
      </c>
      <c r="J401" s="121">
        <f>'Modell During mining'!$D395</f>
        <v>14.294223972755692</v>
      </c>
      <c r="K401" s="93">
        <v>0.95</v>
      </c>
      <c r="L401" s="93">
        <v>0.2</v>
      </c>
      <c r="M401" s="93">
        <v>0.31</v>
      </c>
      <c r="N401" s="93">
        <v>0.2</v>
      </c>
      <c r="O401" s="93">
        <v>1.26</v>
      </c>
      <c r="P401" s="93">
        <v>7.4</v>
      </c>
      <c r="Q401" s="93">
        <v>1.6</v>
      </c>
      <c r="R401" s="93">
        <v>0</v>
      </c>
      <c r="S401" s="93">
        <v>0.36</v>
      </c>
      <c r="T401" s="98">
        <f t="shared" si="117"/>
        <v>5.8075588070960658</v>
      </c>
      <c r="U401" s="93">
        <v>25.21</v>
      </c>
      <c r="V401" s="98">
        <f t="shared" si="117"/>
        <v>5.8075588070960658</v>
      </c>
      <c r="W401" s="93">
        <v>21.42</v>
      </c>
      <c r="X401" s="98">
        <f t="shared" si="117"/>
        <v>5.8075588070960658</v>
      </c>
      <c r="Y401" s="93">
        <v>0.11</v>
      </c>
      <c r="Z401" s="98">
        <f t="shared" si="117"/>
        <v>5.8075588070960658</v>
      </c>
      <c r="AA401" s="93">
        <v>5.8</v>
      </c>
      <c r="AB401" s="98">
        <f t="shared" si="117"/>
        <v>5.8075588070960658</v>
      </c>
      <c r="AC401" s="93">
        <v>1.7</v>
      </c>
      <c r="AD401" s="98">
        <f t="shared" si="117"/>
        <v>5.8075588070960658</v>
      </c>
      <c r="AE401" s="93">
        <v>1.84</v>
      </c>
      <c r="AF401" s="98">
        <f t="shared" si="118"/>
        <v>5.8075588070960658</v>
      </c>
      <c r="AG401" s="10">
        <f t="shared" si="119"/>
        <v>7.97</v>
      </c>
      <c r="AH401" s="95">
        <f t="shared" si="120"/>
        <v>5.3404237333333331</v>
      </c>
      <c r="AI401" s="96">
        <f t="shared" si="124"/>
        <v>5.8075588070960658</v>
      </c>
      <c r="AJ401" s="96">
        <f t="shared" si="121"/>
        <v>9.5675819427474096</v>
      </c>
      <c r="AK401" s="96">
        <f t="shared" si="122"/>
        <v>5.8075588070960658</v>
      </c>
    </row>
    <row r="402" spans="1:37" x14ac:dyDescent="0.15">
      <c r="A402" s="10">
        <f>A400+1</f>
        <v>2017</v>
      </c>
      <c r="C402" s="10">
        <f t="shared" si="123"/>
        <v>3393</v>
      </c>
      <c r="D402" s="95">
        <f>5*A$80</f>
        <v>2.0833333333333335</v>
      </c>
      <c r="E402" s="122">
        <f t="shared" si="113"/>
        <v>7068.7500000000009</v>
      </c>
      <c r="F402" s="96">
        <f t="shared" si="114"/>
        <v>1.666666666666667</v>
      </c>
      <c r="G402" s="122">
        <f t="shared" si="115"/>
        <v>24425</v>
      </c>
      <c r="H402" s="122">
        <f t="shared" si="116"/>
        <v>7068.7500000000009</v>
      </c>
      <c r="I402" s="94">
        <f>'Modell During mining'!$G396/1000000</f>
        <v>0.72756666666666669</v>
      </c>
      <c r="J402" s="121">
        <f>'Modell During mining'!$D396</f>
        <v>1.0000000000000001E-5</v>
      </c>
      <c r="K402" s="93">
        <v>0</v>
      </c>
      <c r="L402" s="93">
        <v>0.2</v>
      </c>
      <c r="M402" s="93">
        <v>0.31</v>
      </c>
      <c r="N402" s="93">
        <v>0.2</v>
      </c>
      <c r="O402" s="93">
        <v>1.26</v>
      </c>
      <c r="P402" s="93">
        <v>7.4</v>
      </c>
      <c r="Q402" s="93">
        <v>0</v>
      </c>
      <c r="R402" s="93">
        <v>0</v>
      </c>
      <c r="S402" s="93">
        <v>0.36</v>
      </c>
      <c r="T402" s="98">
        <f t="shared" si="117"/>
        <v>6.0214923105139153</v>
      </c>
      <c r="U402" s="93">
        <v>25.21</v>
      </c>
      <c r="V402" s="98">
        <f t="shared" si="117"/>
        <v>6.0214923105139153</v>
      </c>
      <c r="W402" s="93">
        <v>21.42</v>
      </c>
      <c r="X402" s="98">
        <f t="shared" si="117"/>
        <v>6.0214923105139153</v>
      </c>
      <c r="Y402" s="93">
        <v>0.11</v>
      </c>
      <c r="Z402" s="98">
        <f t="shared" si="117"/>
        <v>6.0214923105139153</v>
      </c>
      <c r="AA402" s="93">
        <v>5.8</v>
      </c>
      <c r="AB402" s="98">
        <f t="shared" si="117"/>
        <v>6.0214923105139153</v>
      </c>
      <c r="AC402" s="93">
        <v>1.7</v>
      </c>
      <c r="AD402" s="98">
        <f t="shared" si="117"/>
        <v>6.0214923105139153</v>
      </c>
      <c r="AE402" s="93">
        <v>1.84</v>
      </c>
      <c r="AF402" s="98">
        <f t="shared" si="118"/>
        <v>6.0214923105139153</v>
      </c>
      <c r="AG402" s="10">
        <f t="shared" si="119"/>
        <v>7.97</v>
      </c>
      <c r="AH402" s="95">
        <f t="shared" si="120"/>
        <v>2.2975666666666665</v>
      </c>
      <c r="AI402" s="96">
        <f t="shared" si="124"/>
        <v>6.0214923105139153</v>
      </c>
      <c r="AJ402" s="96">
        <f t="shared" si="121"/>
        <v>9.810294051635351</v>
      </c>
      <c r="AK402" s="96">
        <f t="shared" si="122"/>
        <v>6.0214923105139153</v>
      </c>
    </row>
    <row r="403" spans="1:37" x14ac:dyDescent="0.15">
      <c r="A403" s="10">
        <f>A402+0.5</f>
        <v>2017.5</v>
      </c>
      <c r="B403" s="10">
        <v>0</v>
      </c>
      <c r="C403" s="10">
        <f t="shared" si="123"/>
        <v>3393</v>
      </c>
      <c r="D403" s="95">
        <f>6.8*A$79</f>
        <v>3.9666666666666668</v>
      </c>
      <c r="E403" s="122">
        <f>C403*D403</f>
        <v>13458.9</v>
      </c>
      <c r="F403" s="96">
        <f t="shared" si="114"/>
        <v>3.1733333333333338</v>
      </c>
      <c r="G403" s="122">
        <f t="shared" si="115"/>
        <v>46505.200000000004</v>
      </c>
      <c r="H403" s="122">
        <f t="shared" si="116"/>
        <v>13458.9</v>
      </c>
      <c r="I403" s="94">
        <f>'Modell During mining'!$G397/1000000</f>
        <v>1.3221176000000001</v>
      </c>
      <c r="J403" s="121">
        <f>'Modell During mining'!$D397</f>
        <v>13.194749952500443</v>
      </c>
      <c r="K403" s="93">
        <v>0.95</v>
      </c>
      <c r="L403" s="93">
        <v>0.2</v>
      </c>
      <c r="M403" s="93">
        <v>0.31</v>
      </c>
      <c r="N403" s="93">
        <v>0.2</v>
      </c>
      <c r="O403" s="93">
        <v>1.26</v>
      </c>
      <c r="P403" s="93">
        <v>7.4</v>
      </c>
      <c r="Q403" s="93">
        <v>1.6</v>
      </c>
      <c r="R403" s="93">
        <v>0</v>
      </c>
      <c r="S403" s="93">
        <v>0.36</v>
      </c>
      <c r="T403" s="98">
        <f t="shared" si="117"/>
        <v>5.6545664790967773</v>
      </c>
      <c r="U403" s="93">
        <v>25.21</v>
      </c>
      <c r="V403" s="98">
        <f t="shared" si="117"/>
        <v>5.6545664790967773</v>
      </c>
      <c r="W403" s="93">
        <v>21.42</v>
      </c>
      <c r="X403" s="98">
        <f t="shared" si="117"/>
        <v>5.6545664790967773</v>
      </c>
      <c r="Y403" s="93">
        <v>0.11</v>
      </c>
      <c r="Z403" s="98">
        <f t="shared" si="117"/>
        <v>5.6545664790967773</v>
      </c>
      <c r="AA403" s="93">
        <v>5.8</v>
      </c>
      <c r="AB403" s="98">
        <f t="shared" si="117"/>
        <v>5.6545664790967773</v>
      </c>
      <c r="AC403" s="93">
        <v>1.7</v>
      </c>
      <c r="AD403" s="98">
        <f t="shared" si="117"/>
        <v>5.6545664790967773</v>
      </c>
      <c r="AE403" s="93">
        <v>1.84</v>
      </c>
      <c r="AF403" s="98">
        <f t="shared" si="118"/>
        <v>5.6545664790967773</v>
      </c>
      <c r="AG403" s="10">
        <f t="shared" si="119"/>
        <v>7.97</v>
      </c>
      <c r="AH403" s="95">
        <f t="shared" si="120"/>
        <v>5.4421175999999996</v>
      </c>
      <c r="AI403" s="96">
        <f t="shared" si="124"/>
        <v>5.6545664790967773</v>
      </c>
      <c r="AJ403" s="96">
        <f t="shared" si="121"/>
        <v>9.2708300242937778</v>
      </c>
      <c r="AK403" s="96">
        <f t="shared" si="122"/>
        <v>5.6545664790967773</v>
      </c>
    </row>
    <row r="404" spans="1:37" x14ac:dyDescent="0.15">
      <c r="A404" s="10">
        <f>A402+1</f>
        <v>2018</v>
      </c>
      <c r="C404" s="10">
        <f t="shared" si="123"/>
        <v>3393</v>
      </c>
      <c r="D404" s="95">
        <f>5*A$80</f>
        <v>2.0833333333333335</v>
      </c>
      <c r="E404" s="122">
        <f t="shared" si="113"/>
        <v>7068.7500000000009</v>
      </c>
      <c r="F404" s="96">
        <f t="shared" si="114"/>
        <v>1.666666666666667</v>
      </c>
      <c r="G404" s="122">
        <f t="shared" si="115"/>
        <v>24425</v>
      </c>
      <c r="H404" s="122">
        <f t="shared" si="116"/>
        <v>7068.7500000000009</v>
      </c>
      <c r="I404" s="94">
        <f>'Modell During mining'!$G398/1000000</f>
        <v>0.79570000000000007</v>
      </c>
      <c r="J404" s="121">
        <f>'Modell During mining'!$D398</f>
        <v>9.9999999999999991E-6</v>
      </c>
      <c r="K404" s="93">
        <v>0</v>
      </c>
      <c r="L404" s="93">
        <v>0.2</v>
      </c>
      <c r="M404" s="93">
        <v>0.31</v>
      </c>
      <c r="N404" s="93">
        <v>0.2</v>
      </c>
      <c r="O404" s="93">
        <v>1.26</v>
      </c>
      <c r="P404" s="93">
        <v>7.4</v>
      </c>
      <c r="Q404" s="93">
        <v>0</v>
      </c>
      <c r="R404" s="93">
        <v>0</v>
      </c>
      <c r="S404" s="93">
        <v>0.36</v>
      </c>
      <c r="T404" s="98">
        <f t="shared" si="117"/>
        <v>5.9149183698112218</v>
      </c>
      <c r="U404" s="93">
        <v>25.21</v>
      </c>
      <c r="V404" s="98">
        <f t="shared" si="117"/>
        <v>5.9149183698112218</v>
      </c>
      <c r="W404" s="93">
        <v>21.42</v>
      </c>
      <c r="X404" s="98">
        <f t="shared" si="117"/>
        <v>5.9149183698112218</v>
      </c>
      <c r="Y404" s="93">
        <v>0.11</v>
      </c>
      <c r="Z404" s="98">
        <f t="shared" si="117"/>
        <v>5.9149183698112218</v>
      </c>
      <c r="AA404" s="93">
        <v>5.8</v>
      </c>
      <c r="AB404" s="98">
        <f t="shared" si="117"/>
        <v>5.9149183698112218</v>
      </c>
      <c r="AC404" s="93">
        <v>1.7</v>
      </c>
      <c r="AD404" s="98">
        <f t="shared" si="117"/>
        <v>5.9149183698112218</v>
      </c>
      <c r="AE404" s="93">
        <v>1.84</v>
      </c>
      <c r="AF404" s="98">
        <f t="shared" si="118"/>
        <v>5.9149183698112218</v>
      </c>
      <c r="AG404" s="10">
        <f t="shared" si="119"/>
        <v>7.97</v>
      </c>
      <c r="AH404" s="95">
        <f t="shared" si="120"/>
        <v>2.3657000000000004</v>
      </c>
      <c r="AI404" s="96">
        <f t="shared" si="124"/>
        <v>5.9149183698112218</v>
      </c>
      <c r="AJ404" s="96">
        <f t="shared" si="121"/>
        <v>9.7711738806373507</v>
      </c>
      <c r="AK404" s="96">
        <f t="shared" si="122"/>
        <v>5.9149183698112218</v>
      </c>
    </row>
    <row r="405" spans="1:37" x14ac:dyDescent="0.15">
      <c r="A405" s="10">
        <f>A404+0.5</f>
        <v>2018.5</v>
      </c>
      <c r="B405" s="10">
        <v>0</v>
      </c>
      <c r="C405" s="10">
        <f t="shared" si="123"/>
        <v>3393</v>
      </c>
      <c r="D405" s="95">
        <f>6.8*A$79</f>
        <v>3.9666666666666668</v>
      </c>
      <c r="E405" s="122">
        <f t="shared" si="113"/>
        <v>13458.9</v>
      </c>
      <c r="F405" s="96">
        <f t="shared" si="114"/>
        <v>3.1733333333333338</v>
      </c>
      <c r="G405" s="122">
        <f t="shared" si="115"/>
        <v>46505.200000000004</v>
      </c>
      <c r="H405" s="122">
        <f t="shared" si="116"/>
        <v>13458.9</v>
      </c>
      <c r="I405" s="94">
        <f>'Modell During mining'!$G399/1000000</f>
        <v>1.4238114666666668</v>
      </c>
      <c r="J405" s="121">
        <f>'Modell During mining'!$D399</f>
        <v>12.252332912100909</v>
      </c>
      <c r="K405" s="93">
        <v>0.95</v>
      </c>
      <c r="L405" s="93">
        <v>0.2</v>
      </c>
      <c r="M405" s="93">
        <v>0.31</v>
      </c>
      <c r="N405" s="93">
        <v>0.2</v>
      </c>
      <c r="O405" s="93">
        <v>1.26</v>
      </c>
      <c r="P405" s="93">
        <v>7.4</v>
      </c>
      <c r="Q405" s="93">
        <v>3.6</v>
      </c>
      <c r="R405" s="93">
        <v>0</v>
      </c>
      <c r="S405" s="93">
        <v>0.36</v>
      </c>
      <c r="T405" s="98">
        <f t="shared" si="117"/>
        <v>5.4642077558342823</v>
      </c>
      <c r="U405" s="93">
        <v>25.21</v>
      </c>
      <c r="V405" s="98">
        <f t="shared" si="117"/>
        <v>5.4642077558342823</v>
      </c>
      <c r="W405" s="93">
        <v>21.42</v>
      </c>
      <c r="X405" s="98">
        <f t="shared" si="117"/>
        <v>5.4642077558342823</v>
      </c>
      <c r="Y405" s="93">
        <v>0.11</v>
      </c>
      <c r="Z405" s="98">
        <f t="shared" si="117"/>
        <v>5.4642077558342823</v>
      </c>
      <c r="AA405" s="93">
        <v>5.8</v>
      </c>
      <c r="AB405" s="98">
        <f t="shared" si="117"/>
        <v>5.4642077558342823</v>
      </c>
      <c r="AC405" s="93">
        <v>1.7</v>
      </c>
      <c r="AD405" s="98">
        <f t="shared" si="117"/>
        <v>5.4642077558342823</v>
      </c>
      <c r="AE405" s="93">
        <v>1.84</v>
      </c>
      <c r="AF405" s="98">
        <f t="shared" si="118"/>
        <v>5.4642077558342823</v>
      </c>
      <c r="AG405" s="10">
        <f t="shared" si="119"/>
        <v>7.97</v>
      </c>
      <c r="AH405" s="95">
        <f t="shared" si="120"/>
        <v>7.5438114666666678</v>
      </c>
      <c r="AI405" s="96">
        <f t="shared" si="124"/>
        <v>5.4642077558342823</v>
      </c>
      <c r="AJ405" s="96">
        <f t="shared" si="121"/>
        <v>8.9492026984527833</v>
      </c>
      <c r="AK405" s="96">
        <f t="shared" si="122"/>
        <v>5.4642077558342823</v>
      </c>
    </row>
    <row r="406" spans="1:37" x14ac:dyDescent="0.15">
      <c r="A406" s="10">
        <f>A404+1</f>
        <v>2019</v>
      </c>
      <c r="C406" s="10">
        <f t="shared" si="123"/>
        <v>3393</v>
      </c>
      <c r="D406" s="95">
        <f>5*A$80</f>
        <v>2.0833333333333335</v>
      </c>
      <c r="E406" s="122">
        <f t="shared" si="113"/>
        <v>7068.7500000000009</v>
      </c>
      <c r="F406" s="96">
        <f t="shared" si="114"/>
        <v>1.666666666666667</v>
      </c>
      <c r="G406" s="122">
        <f t="shared" si="115"/>
        <v>24425</v>
      </c>
      <c r="H406" s="122">
        <f t="shared" si="116"/>
        <v>7068.7500000000009</v>
      </c>
      <c r="I406" s="94">
        <f>'Modell During mining'!$G400/1000000</f>
        <v>0.86383333333333345</v>
      </c>
      <c r="J406" s="121">
        <f>'Modell During mining'!$D400</f>
        <v>1.0000000000000001E-5</v>
      </c>
      <c r="K406" s="93">
        <v>0</v>
      </c>
      <c r="L406" s="93">
        <v>0.2</v>
      </c>
      <c r="M406" s="93">
        <v>0.31</v>
      </c>
      <c r="N406" s="93">
        <v>0.2</v>
      </c>
      <c r="O406" s="93">
        <v>1.26</v>
      </c>
      <c r="P406" s="93">
        <v>7.4</v>
      </c>
      <c r="Q406" s="93">
        <v>0</v>
      </c>
      <c r="R406" s="93">
        <v>0</v>
      </c>
      <c r="S406" s="93">
        <v>0.36</v>
      </c>
      <c r="T406" s="98">
        <f t="shared" si="117"/>
        <v>4.6683763758678323</v>
      </c>
      <c r="U406" s="93">
        <v>25.21</v>
      </c>
      <c r="V406" s="98">
        <f t="shared" si="117"/>
        <v>4.6683763758678323</v>
      </c>
      <c r="W406" s="93">
        <v>21.42</v>
      </c>
      <c r="X406" s="98">
        <f t="shared" si="117"/>
        <v>4.6683763758678323</v>
      </c>
      <c r="Y406" s="93">
        <v>0.11</v>
      </c>
      <c r="Z406" s="98">
        <f t="shared" si="117"/>
        <v>4.6683763758678323</v>
      </c>
      <c r="AA406" s="93">
        <v>5.8</v>
      </c>
      <c r="AB406" s="98">
        <f t="shared" si="117"/>
        <v>4.6683763758678323</v>
      </c>
      <c r="AC406" s="93">
        <v>1.7</v>
      </c>
      <c r="AD406" s="98">
        <f t="shared" si="117"/>
        <v>4.6683763758678323</v>
      </c>
      <c r="AE406" s="93">
        <v>1.84</v>
      </c>
      <c r="AF406" s="98">
        <f t="shared" si="118"/>
        <v>4.6683763758678323</v>
      </c>
      <c r="AG406" s="10">
        <f t="shared" si="119"/>
        <v>7.97</v>
      </c>
      <c r="AH406" s="95">
        <f t="shared" si="120"/>
        <v>2.4338333333333333</v>
      </c>
      <c r="AI406" s="96">
        <f t="shared" si="124"/>
        <v>4.6683763758678323</v>
      </c>
      <c r="AJ406" s="96">
        <f t="shared" si="121"/>
        <v>7.7547689088488836</v>
      </c>
      <c r="AK406" s="96">
        <f t="shared" si="122"/>
        <v>4.6683763758678323</v>
      </c>
    </row>
    <row r="407" spans="1:37" x14ac:dyDescent="0.15">
      <c r="A407" s="10">
        <f>A406+0.5</f>
        <v>2019.5</v>
      </c>
      <c r="B407" s="10">
        <v>0</v>
      </c>
      <c r="C407" s="10">
        <f t="shared" si="123"/>
        <v>3393</v>
      </c>
      <c r="D407" s="95">
        <f>6.8*A$79</f>
        <v>3.9666666666666668</v>
      </c>
      <c r="E407" s="122">
        <f t="shared" si="113"/>
        <v>13458.9</v>
      </c>
      <c r="F407" s="96">
        <f t="shared" si="114"/>
        <v>3.1733333333333338</v>
      </c>
      <c r="G407" s="122">
        <f t="shared" si="115"/>
        <v>46505.200000000004</v>
      </c>
      <c r="H407" s="122">
        <f t="shared" si="116"/>
        <v>13458.9</v>
      </c>
      <c r="I407" s="94">
        <f>'Modell During mining'!$G401/1000000</f>
        <v>1.5255053333333335</v>
      </c>
      <c r="J407" s="121">
        <f>'Modell During mining'!$D401</f>
        <v>11.43556345975847</v>
      </c>
      <c r="K407" s="93">
        <v>0.95</v>
      </c>
      <c r="L407" s="93">
        <v>0.2</v>
      </c>
      <c r="M407" s="93">
        <v>0.31</v>
      </c>
      <c r="N407" s="93">
        <v>0.2</v>
      </c>
      <c r="O407" s="93">
        <v>1.26</v>
      </c>
      <c r="P407" s="93">
        <v>7.4</v>
      </c>
      <c r="Q407" s="93">
        <v>1.6</v>
      </c>
      <c r="R407" s="93">
        <v>0</v>
      </c>
      <c r="S407" s="93">
        <v>0.36</v>
      </c>
      <c r="T407" s="98">
        <f t="shared" si="117"/>
        <v>4.8738615464220514</v>
      </c>
      <c r="U407" s="93">
        <v>25.21</v>
      </c>
      <c r="V407" s="98">
        <f t="shared" si="117"/>
        <v>4.8738615464220514</v>
      </c>
      <c r="W407" s="93">
        <v>21.42</v>
      </c>
      <c r="X407" s="98">
        <f t="shared" si="117"/>
        <v>4.8738615464220514</v>
      </c>
      <c r="Y407" s="93">
        <v>0.11</v>
      </c>
      <c r="Z407" s="98">
        <f t="shared" si="117"/>
        <v>4.8738615464220514</v>
      </c>
      <c r="AA407" s="93">
        <v>5.8</v>
      </c>
      <c r="AB407" s="98">
        <f t="shared" si="117"/>
        <v>4.8738615464220514</v>
      </c>
      <c r="AC407" s="93">
        <v>1.7</v>
      </c>
      <c r="AD407" s="98">
        <f t="shared" si="117"/>
        <v>4.8738615464220514</v>
      </c>
      <c r="AE407" s="93">
        <v>1.84</v>
      </c>
      <c r="AF407" s="98">
        <f t="shared" si="118"/>
        <v>4.8738615464220514</v>
      </c>
      <c r="AG407" s="10">
        <f t="shared" si="119"/>
        <v>7.97</v>
      </c>
      <c r="AH407" s="95">
        <f t="shared" si="120"/>
        <v>5.6455053333333343</v>
      </c>
      <c r="AI407" s="96">
        <f t="shared" si="124"/>
        <v>4.8738615464220514</v>
      </c>
      <c r="AJ407" s="96">
        <f t="shared" si="121"/>
        <v>8.2384088184754543</v>
      </c>
      <c r="AK407" s="96">
        <f t="shared" si="122"/>
        <v>4.8738615464220514</v>
      </c>
    </row>
    <row r="408" spans="1:37" x14ac:dyDescent="0.15">
      <c r="A408" s="10">
        <f>A406+1</f>
        <v>2020</v>
      </c>
      <c r="C408" s="10">
        <f t="shared" si="123"/>
        <v>3393</v>
      </c>
      <c r="D408" s="95">
        <f>5*A$80</f>
        <v>2.0833333333333335</v>
      </c>
      <c r="E408" s="122">
        <f t="shared" si="113"/>
        <v>7068.7500000000009</v>
      </c>
      <c r="F408" s="96">
        <f t="shared" si="114"/>
        <v>1.666666666666667</v>
      </c>
      <c r="G408" s="122">
        <f t="shared" si="115"/>
        <v>24425</v>
      </c>
      <c r="H408" s="122">
        <f t="shared" si="116"/>
        <v>7068.7500000000009</v>
      </c>
      <c r="I408" s="94">
        <f>'Modell During mining'!$G402/1000000</f>
        <v>0.93196666666666683</v>
      </c>
      <c r="J408" s="121">
        <f>'Modell During mining'!$D402</f>
        <v>1.0000000000000001E-5</v>
      </c>
      <c r="K408" s="93">
        <v>0</v>
      </c>
      <c r="L408" s="93">
        <v>0.2</v>
      </c>
      <c r="M408" s="93">
        <v>0.31</v>
      </c>
      <c r="N408" s="93">
        <v>0.2</v>
      </c>
      <c r="O408" s="93">
        <v>1.26</v>
      </c>
      <c r="P408" s="93">
        <v>7.4</v>
      </c>
      <c r="Q408" s="93">
        <v>0</v>
      </c>
      <c r="R408" s="93">
        <v>0</v>
      </c>
      <c r="S408" s="93">
        <v>0.36</v>
      </c>
      <c r="T408" s="98">
        <f t="shared" si="117"/>
        <v>5.4861388185250899</v>
      </c>
      <c r="U408" s="93">
        <v>25.21</v>
      </c>
      <c r="V408" s="98">
        <f t="shared" si="117"/>
        <v>5.4861388185250899</v>
      </c>
      <c r="W408" s="93">
        <v>21.42</v>
      </c>
      <c r="X408" s="98">
        <f t="shared" si="117"/>
        <v>5.4861388185250899</v>
      </c>
      <c r="Y408" s="93">
        <v>0.11</v>
      </c>
      <c r="Z408" s="98">
        <f t="shared" si="117"/>
        <v>5.4861388185250899</v>
      </c>
      <c r="AA408" s="93">
        <v>5.8</v>
      </c>
      <c r="AB408" s="98">
        <f t="shared" si="117"/>
        <v>5.4861388185250899</v>
      </c>
      <c r="AC408" s="93">
        <v>1.7</v>
      </c>
      <c r="AD408" s="98">
        <f t="shared" si="117"/>
        <v>5.4861388185250899</v>
      </c>
      <c r="AE408" s="93">
        <v>1.84</v>
      </c>
      <c r="AF408" s="98">
        <f t="shared" si="118"/>
        <v>5.4861388185250899</v>
      </c>
      <c r="AG408" s="10">
        <f t="shared" si="119"/>
        <v>7.97</v>
      </c>
      <c r="AH408" s="95">
        <f t="shared" si="120"/>
        <v>2.5019666666666671</v>
      </c>
      <c r="AI408" s="96">
        <f t="shared" si="124"/>
        <v>5.4861388185250899</v>
      </c>
      <c r="AJ408" s="96">
        <f t="shared" si="121"/>
        <v>9.1453963772821805</v>
      </c>
      <c r="AK408" s="96">
        <f t="shared" si="122"/>
        <v>5.4861388185250899</v>
      </c>
    </row>
    <row r="409" spans="1:37" x14ac:dyDescent="0.15">
      <c r="A409" s="10">
        <f>A408+0.5</f>
        <v>2020.5</v>
      </c>
      <c r="B409" s="10">
        <v>0</v>
      </c>
      <c r="C409" s="10">
        <f t="shared" si="123"/>
        <v>3393</v>
      </c>
      <c r="D409" s="95">
        <f>6.8*A$79</f>
        <v>3.9666666666666668</v>
      </c>
      <c r="E409" s="122">
        <f t="shared" si="113"/>
        <v>13458.9</v>
      </c>
      <c r="F409" s="96">
        <f t="shared" si="114"/>
        <v>3.1733333333333338</v>
      </c>
      <c r="G409" s="122">
        <f t="shared" si="115"/>
        <v>46505.200000000004</v>
      </c>
      <c r="H409" s="122">
        <f t="shared" si="116"/>
        <v>13458.9</v>
      </c>
      <c r="I409" s="94">
        <f>'Modell During mining'!$G403/1000000</f>
        <v>1.6271992000000002</v>
      </c>
      <c r="J409" s="121">
        <f>'Modell During mining'!$D403</f>
        <v>10.720884081924325</v>
      </c>
      <c r="K409" s="93">
        <v>0.95</v>
      </c>
      <c r="L409" s="93">
        <v>0.2</v>
      </c>
      <c r="M409" s="93">
        <v>0.31</v>
      </c>
      <c r="N409" s="93">
        <v>0.2</v>
      </c>
      <c r="O409" s="93">
        <v>1.26</v>
      </c>
      <c r="P409" s="93">
        <v>7.4</v>
      </c>
      <c r="Q409" s="93">
        <v>1.6</v>
      </c>
      <c r="R409" s="93">
        <v>0</v>
      </c>
      <c r="S409" s="93">
        <v>0.36</v>
      </c>
      <c r="T409" s="98">
        <f t="shared" si="117"/>
        <v>5.0391907635558253</v>
      </c>
      <c r="U409" s="93">
        <v>25.21</v>
      </c>
      <c r="V409" s="98">
        <f t="shared" si="117"/>
        <v>5.0391907635558253</v>
      </c>
      <c r="W409" s="93">
        <v>21.42</v>
      </c>
      <c r="X409" s="98">
        <f t="shared" si="117"/>
        <v>5.0391907635558253</v>
      </c>
      <c r="Y409" s="93">
        <v>0.11</v>
      </c>
      <c r="Z409" s="98">
        <f t="shared" si="117"/>
        <v>5.0391907635558253</v>
      </c>
      <c r="AA409" s="93">
        <v>5.8</v>
      </c>
      <c r="AB409" s="98">
        <f t="shared" si="117"/>
        <v>5.0391907635558253</v>
      </c>
      <c r="AC409" s="93">
        <v>1.7</v>
      </c>
      <c r="AD409" s="98">
        <f t="shared" si="117"/>
        <v>5.0391907635558253</v>
      </c>
      <c r="AE409" s="93">
        <v>1.84</v>
      </c>
      <c r="AF409" s="98">
        <f t="shared" si="118"/>
        <v>5.0391907635558253</v>
      </c>
      <c r="AG409" s="10">
        <f t="shared" si="119"/>
        <v>7.97</v>
      </c>
      <c r="AH409" s="95">
        <f t="shared" si="120"/>
        <v>5.7471992000000007</v>
      </c>
      <c r="AI409" s="96">
        <f t="shared" si="124"/>
        <v>5.0391907635558253</v>
      </c>
      <c r="AJ409" s="96">
        <f t="shared" si="121"/>
        <v>8.2927332848544069</v>
      </c>
      <c r="AK409" s="96">
        <f t="shared" si="122"/>
        <v>5.0391907635558253</v>
      </c>
    </row>
    <row r="410" spans="1:37" x14ac:dyDescent="0.15">
      <c r="A410" s="10">
        <f>A408+1</f>
        <v>2021</v>
      </c>
      <c r="C410" s="10">
        <f t="shared" si="123"/>
        <v>3393</v>
      </c>
      <c r="D410" s="95">
        <f>5*A$80</f>
        <v>2.0833333333333335</v>
      </c>
      <c r="E410" s="122">
        <f t="shared" si="113"/>
        <v>7068.7500000000009</v>
      </c>
      <c r="F410" s="96">
        <f t="shared" si="114"/>
        <v>1.666666666666667</v>
      </c>
      <c r="G410" s="122">
        <f t="shared" si="115"/>
        <v>24425</v>
      </c>
      <c r="H410" s="122">
        <f t="shared" si="116"/>
        <v>7068.7500000000009</v>
      </c>
      <c r="I410" s="94">
        <f>'Modell During mining'!$G404/1000000</f>
        <v>1.0001000000000002</v>
      </c>
      <c r="J410" s="121">
        <f>'Modell During mining'!$D404</f>
        <v>9.9999999999999991E-6</v>
      </c>
      <c r="K410" s="93">
        <v>0</v>
      </c>
      <c r="L410" s="93">
        <v>0.2</v>
      </c>
      <c r="M410" s="93">
        <v>0.31</v>
      </c>
      <c r="N410" s="93">
        <v>0.2</v>
      </c>
      <c r="O410" s="93">
        <v>1.26</v>
      </c>
      <c r="P410" s="93">
        <v>7.4</v>
      </c>
      <c r="Q410" s="93">
        <v>0</v>
      </c>
      <c r="R410" s="93">
        <v>0</v>
      </c>
      <c r="S410" s="93">
        <v>0.36</v>
      </c>
      <c r="T410" s="98">
        <f t="shared" si="117"/>
        <v>5.397600908541734</v>
      </c>
      <c r="U410" s="93">
        <v>25.21</v>
      </c>
      <c r="V410" s="98">
        <f t="shared" si="117"/>
        <v>5.397600908541734</v>
      </c>
      <c r="W410" s="93">
        <v>21.42</v>
      </c>
      <c r="X410" s="98">
        <f t="shared" si="117"/>
        <v>5.397600908541734</v>
      </c>
      <c r="Y410" s="93">
        <v>0.11</v>
      </c>
      <c r="Z410" s="98">
        <f t="shared" si="117"/>
        <v>5.397600908541734</v>
      </c>
      <c r="AA410" s="93">
        <v>5.8</v>
      </c>
      <c r="AB410" s="98">
        <f t="shared" si="117"/>
        <v>5.397600908541734</v>
      </c>
      <c r="AC410" s="93">
        <v>1.7</v>
      </c>
      <c r="AD410" s="98">
        <f t="shared" si="117"/>
        <v>5.397600908541734</v>
      </c>
      <c r="AE410" s="93">
        <v>1.84</v>
      </c>
      <c r="AF410" s="98">
        <f t="shared" si="118"/>
        <v>5.397600908541734</v>
      </c>
      <c r="AG410" s="10">
        <f t="shared" si="119"/>
        <v>7.97</v>
      </c>
      <c r="AH410" s="95">
        <f t="shared" si="120"/>
        <v>2.5701000000000001</v>
      </c>
      <c r="AI410" s="96">
        <f t="shared" si="124"/>
        <v>5.397600908541734</v>
      </c>
      <c r="AJ410" s="96">
        <f t="shared" si="121"/>
        <v>8.9662773654630321</v>
      </c>
      <c r="AK410" s="96">
        <f t="shared" si="122"/>
        <v>5.397600908541734</v>
      </c>
    </row>
    <row r="411" spans="1:37" x14ac:dyDescent="0.15">
      <c r="A411" s="10">
        <f>A410+0.5</f>
        <v>2021.5</v>
      </c>
      <c r="B411" s="10">
        <v>0</v>
      </c>
      <c r="C411" s="10">
        <f t="shared" si="123"/>
        <v>3393</v>
      </c>
      <c r="D411" s="95">
        <f>6.8*A$79</f>
        <v>3.9666666666666668</v>
      </c>
      <c r="E411" s="122">
        <f t="shared" si="113"/>
        <v>13458.9</v>
      </c>
      <c r="F411" s="96">
        <f t="shared" si="114"/>
        <v>3.1733333333333338</v>
      </c>
      <c r="G411" s="122">
        <f t="shared" si="115"/>
        <v>46505.200000000004</v>
      </c>
      <c r="H411" s="122">
        <f t="shared" si="116"/>
        <v>13458.9</v>
      </c>
      <c r="I411" s="94">
        <f>'Modell During mining'!$G405/1000000</f>
        <v>1.7288930666666671</v>
      </c>
      <c r="J411" s="121">
        <f>'Modell During mining'!$D405</f>
        <v>10.090279897357057</v>
      </c>
      <c r="K411" s="93">
        <v>0.95</v>
      </c>
      <c r="L411" s="93">
        <v>0.2</v>
      </c>
      <c r="M411" s="93">
        <v>0.31</v>
      </c>
      <c r="N411" s="93">
        <v>0.2</v>
      </c>
      <c r="O411" s="93">
        <v>1.26</v>
      </c>
      <c r="P411" s="93">
        <v>7.4</v>
      </c>
      <c r="Q411" s="93">
        <v>1.6</v>
      </c>
      <c r="R411" s="93">
        <v>0</v>
      </c>
      <c r="S411" s="93">
        <v>0.36</v>
      </c>
      <c r="T411" s="98">
        <f t="shared" si="117"/>
        <v>4.8864321283489645</v>
      </c>
      <c r="U411" s="93">
        <v>25.21</v>
      </c>
      <c r="V411" s="98">
        <f t="shared" si="117"/>
        <v>4.8864321283489645</v>
      </c>
      <c r="W411" s="93">
        <v>21.42</v>
      </c>
      <c r="X411" s="98">
        <f t="shared" si="117"/>
        <v>4.8864321283489645</v>
      </c>
      <c r="Y411" s="93">
        <v>0.11</v>
      </c>
      <c r="Z411" s="98">
        <f t="shared" si="117"/>
        <v>4.8864321283489645</v>
      </c>
      <c r="AA411" s="93">
        <v>5.8</v>
      </c>
      <c r="AB411" s="98">
        <f t="shared" si="117"/>
        <v>4.8864321283489645</v>
      </c>
      <c r="AC411" s="93">
        <v>1.7</v>
      </c>
      <c r="AD411" s="98">
        <f t="shared" si="117"/>
        <v>4.8864321283489645</v>
      </c>
      <c r="AE411" s="93">
        <v>1.84</v>
      </c>
      <c r="AF411" s="98">
        <f t="shared" si="118"/>
        <v>4.8864321283489645</v>
      </c>
      <c r="AG411" s="10">
        <f t="shared" si="119"/>
        <v>7.97</v>
      </c>
      <c r="AH411" s="95">
        <f t="shared" si="120"/>
        <v>5.8488930666666672</v>
      </c>
      <c r="AI411" s="96">
        <f t="shared" si="124"/>
        <v>4.8864321283489645</v>
      </c>
      <c r="AJ411" s="96">
        <f t="shared" si="121"/>
        <v>8.037265169217223</v>
      </c>
      <c r="AK411" s="96">
        <f t="shared" si="122"/>
        <v>4.8864321283489645</v>
      </c>
    </row>
    <row r="412" spans="1:37" x14ac:dyDescent="0.15">
      <c r="A412" s="10">
        <f>A410+1</f>
        <v>2022</v>
      </c>
      <c r="C412" s="10">
        <f t="shared" si="123"/>
        <v>3393</v>
      </c>
      <c r="D412" s="95">
        <f>5*A$80</f>
        <v>2.0833333333333335</v>
      </c>
      <c r="E412" s="122">
        <f t="shared" si="113"/>
        <v>7068.7500000000009</v>
      </c>
      <c r="F412" s="96">
        <f t="shared" si="114"/>
        <v>1.666666666666667</v>
      </c>
      <c r="G412" s="122">
        <f t="shared" si="115"/>
        <v>24425</v>
      </c>
      <c r="H412" s="122">
        <f t="shared" si="116"/>
        <v>7068.7500000000009</v>
      </c>
      <c r="I412" s="94">
        <f>'Modell During mining'!$G406/1000000</f>
        <v>1.0682333333333336</v>
      </c>
      <c r="J412" s="121">
        <f>'Modell During mining'!$D406</f>
        <v>1.0000000000000001E-5</v>
      </c>
      <c r="K412" s="93">
        <v>0</v>
      </c>
      <c r="L412" s="93">
        <v>0.2</v>
      </c>
      <c r="M412" s="93">
        <v>0.31</v>
      </c>
      <c r="N412" s="93">
        <v>0.2</v>
      </c>
      <c r="O412" s="93">
        <v>1.26</v>
      </c>
      <c r="P412" s="93">
        <v>7.4</v>
      </c>
      <c r="Q412" s="93">
        <v>0</v>
      </c>
      <c r="R412" s="93">
        <v>0</v>
      </c>
      <c r="S412" s="93">
        <v>0.36</v>
      </c>
      <c r="T412" s="98">
        <f t="shared" si="117"/>
        <v>5.2501992627573326</v>
      </c>
      <c r="U412" s="93">
        <v>25.21</v>
      </c>
      <c r="V412" s="98">
        <f t="shared" si="117"/>
        <v>5.2501992627573326</v>
      </c>
      <c r="W412" s="93">
        <v>21.42</v>
      </c>
      <c r="X412" s="98">
        <f t="shared" si="117"/>
        <v>5.2501992627573326</v>
      </c>
      <c r="Y412" s="93">
        <v>0.11</v>
      </c>
      <c r="Z412" s="98">
        <f t="shared" si="117"/>
        <v>5.2501992627573326</v>
      </c>
      <c r="AA412" s="93">
        <v>5.8</v>
      </c>
      <c r="AB412" s="98">
        <f t="shared" si="117"/>
        <v>5.2501992627573326</v>
      </c>
      <c r="AC412" s="93">
        <v>1.7</v>
      </c>
      <c r="AD412" s="98">
        <f t="shared" si="117"/>
        <v>5.2501992627573326</v>
      </c>
      <c r="AE412" s="93">
        <v>1.84</v>
      </c>
      <c r="AF412" s="98">
        <f t="shared" si="118"/>
        <v>5.2501992627573326</v>
      </c>
      <c r="AG412" s="10">
        <f t="shared" si="119"/>
        <v>7.97</v>
      </c>
      <c r="AH412" s="95">
        <f t="shared" si="120"/>
        <v>2.6382333333333339</v>
      </c>
      <c r="AI412" s="96">
        <f t="shared" si="124"/>
        <v>5.2501992627573326</v>
      </c>
      <c r="AJ412" s="96">
        <f t="shared" si="121"/>
        <v>8.733000515326605</v>
      </c>
      <c r="AK412" s="96">
        <f t="shared" si="122"/>
        <v>5.2501992627573326</v>
      </c>
    </row>
    <row r="413" spans="1:37" x14ac:dyDescent="0.15">
      <c r="A413" s="10">
        <f>A412+0.5</f>
        <v>2022.5</v>
      </c>
      <c r="B413" s="10">
        <v>0</v>
      </c>
      <c r="C413" s="10">
        <f t="shared" si="123"/>
        <v>3393</v>
      </c>
      <c r="D413" s="95">
        <f>6.8*A$79</f>
        <v>3.9666666666666668</v>
      </c>
      <c r="E413" s="122">
        <f t="shared" si="113"/>
        <v>13458.9</v>
      </c>
      <c r="F413" s="96">
        <f t="shared" si="114"/>
        <v>3.1733333333333338</v>
      </c>
      <c r="G413" s="122">
        <f t="shared" si="115"/>
        <v>46505.200000000004</v>
      </c>
      <c r="H413" s="122">
        <f t="shared" si="116"/>
        <v>13458.9</v>
      </c>
      <c r="I413" s="94">
        <f>'Modell During mining'!$G407/1000000</f>
        <v>1.8305869333333338</v>
      </c>
      <c r="J413" s="121">
        <f>'Modell During mining'!$D407</f>
        <v>9.5297391188997143</v>
      </c>
      <c r="K413" s="93">
        <v>0.95</v>
      </c>
      <c r="L413" s="93">
        <v>0.2</v>
      </c>
      <c r="M413" s="93">
        <v>0.31</v>
      </c>
      <c r="N413" s="93">
        <v>0.2</v>
      </c>
      <c r="O413" s="93">
        <v>1.26</v>
      </c>
      <c r="P413" s="93">
        <v>7.4</v>
      </c>
      <c r="Q413" s="93">
        <v>0.6</v>
      </c>
      <c r="R413" s="93">
        <v>0</v>
      </c>
      <c r="S413" s="93">
        <v>0.36</v>
      </c>
      <c r="T413" s="98">
        <f t="shared" si="117"/>
        <v>4.7212012574726838</v>
      </c>
      <c r="U413" s="93">
        <v>25.21</v>
      </c>
      <c r="V413" s="98">
        <f t="shared" si="117"/>
        <v>4.7212012574726838</v>
      </c>
      <c r="W413" s="93">
        <v>21.42</v>
      </c>
      <c r="X413" s="98">
        <f t="shared" si="117"/>
        <v>4.7212012574726838</v>
      </c>
      <c r="Y413" s="93">
        <v>0.11</v>
      </c>
      <c r="Z413" s="98">
        <f t="shared" si="117"/>
        <v>4.7212012574726838</v>
      </c>
      <c r="AA413" s="93">
        <v>5.8</v>
      </c>
      <c r="AB413" s="98">
        <f t="shared" si="117"/>
        <v>4.7212012574726838</v>
      </c>
      <c r="AC413" s="93">
        <v>1.7</v>
      </c>
      <c r="AD413" s="98">
        <f t="shared" si="117"/>
        <v>4.7212012574726838</v>
      </c>
      <c r="AE413" s="93">
        <v>1.84</v>
      </c>
      <c r="AF413" s="98">
        <f t="shared" si="118"/>
        <v>4.7212012574726838</v>
      </c>
      <c r="AG413" s="10">
        <f t="shared" si="119"/>
        <v>7.97</v>
      </c>
      <c r="AH413" s="95">
        <f t="shared" si="120"/>
        <v>4.9505869333333337</v>
      </c>
      <c r="AI413" s="96">
        <f t="shared" si="124"/>
        <v>4.7212012574726838</v>
      </c>
      <c r="AJ413" s="96">
        <f t="shared" si="121"/>
        <v>7.7766561637663436</v>
      </c>
      <c r="AK413" s="96">
        <f t="shared" si="122"/>
        <v>4.7212012574726838</v>
      </c>
    </row>
    <row r="414" spans="1:37" x14ac:dyDescent="0.15">
      <c r="A414" s="10">
        <f>A412+1</f>
        <v>2023</v>
      </c>
      <c r="C414" s="10">
        <f t="shared" si="123"/>
        <v>3393</v>
      </c>
      <c r="D414" s="95">
        <f>5*A$80</f>
        <v>2.0833333333333335</v>
      </c>
      <c r="E414" s="122">
        <f t="shared" si="113"/>
        <v>7068.7500000000009</v>
      </c>
      <c r="F414" s="96">
        <f t="shared" si="114"/>
        <v>1.666666666666667</v>
      </c>
      <c r="G414" s="122">
        <f t="shared" si="115"/>
        <v>24425</v>
      </c>
      <c r="H414" s="122">
        <f t="shared" si="116"/>
        <v>7068.7500000000009</v>
      </c>
      <c r="I414" s="94">
        <f>'Modell During mining'!$G408/1000000</f>
        <v>1.1363666666666667</v>
      </c>
      <c r="J414" s="121">
        <f>'Modell During mining'!$D408</f>
        <v>9.9999999999999991E-6</v>
      </c>
      <c r="K414" s="93">
        <v>0</v>
      </c>
      <c r="L414" s="93">
        <v>0.2</v>
      </c>
      <c r="M414" s="93">
        <v>0.31</v>
      </c>
      <c r="N414" s="93">
        <v>0.2</v>
      </c>
      <c r="O414" s="93">
        <v>1.26</v>
      </c>
      <c r="P414" s="93">
        <v>7.4</v>
      </c>
      <c r="Q414" s="93">
        <v>0</v>
      </c>
      <c r="R414" s="93">
        <v>0</v>
      </c>
      <c r="S414" s="93">
        <v>0.36</v>
      </c>
      <c r="T414" s="98">
        <f t="shared" si="117"/>
        <v>5.6822444190978247</v>
      </c>
      <c r="U414" s="93">
        <v>25.21</v>
      </c>
      <c r="V414" s="98">
        <f t="shared" si="117"/>
        <v>5.6822444190978247</v>
      </c>
      <c r="W414" s="93">
        <v>21.42</v>
      </c>
      <c r="X414" s="98">
        <f t="shared" si="117"/>
        <v>5.6822444190978247</v>
      </c>
      <c r="Y414" s="93">
        <v>0.11</v>
      </c>
      <c r="Z414" s="98">
        <f t="shared" si="117"/>
        <v>5.6822444190978247</v>
      </c>
      <c r="AA414" s="93">
        <v>5.8</v>
      </c>
      <c r="AB414" s="98">
        <f t="shared" si="117"/>
        <v>5.6822444190978247</v>
      </c>
      <c r="AC414" s="93">
        <v>1.7</v>
      </c>
      <c r="AD414" s="98">
        <f t="shared" si="117"/>
        <v>5.6822444190978247</v>
      </c>
      <c r="AE414" s="93">
        <v>1.84</v>
      </c>
      <c r="AF414" s="98">
        <f t="shared" si="118"/>
        <v>5.6822444190978247</v>
      </c>
      <c r="AG414" s="10">
        <f t="shared" si="119"/>
        <v>7.97</v>
      </c>
      <c r="AH414" s="95">
        <f t="shared" si="120"/>
        <v>2.7063666666666668</v>
      </c>
      <c r="AI414" s="96">
        <f t="shared" si="124"/>
        <v>5.6822444190978247</v>
      </c>
      <c r="AJ414" s="96">
        <f t="shared" si="121"/>
        <v>9.434200874757007</v>
      </c>
      <c r="AK414" s="96">
        <f t="shared" si="122"/>
        <v>5.6822444190978247</v>
      </c>
    </row>
    <row r="415" spans="1:37" x14ac:dyDescent="0.15">
      <c r="A415" s="10">
        <f>A414+0.5</f>
        <v>2023.5</v>
      </c>
      <c r="B415" s="10">
        <v>0</v>
      </c>
      <c r="C415" s="10">
        <f t="shared" si="123"/>
        <v>3393</v>
      </c>
      <c r="D415" s="95">
        <f>6.8*A$79</f>
        <v>3.9666666666666668</v>
      </c>
      <c r="E415" s="122">
        <f t="shared" si="113"/>
        <v>13458.9</v>
      </c>
      <c r="F415" s="96">
        <f t="shared" si="114"/>
        <v>3.1733333333333338</v>
      </c>
      <c r="G415" s="122">
        <f t="shared" si="115"/>
        <v>46505.200000000004</v>
      </c>
      <c r="H415" s="122">
        <f t="shared" si="116"/>
        <v>13458.9</v>
      </c>
      <c r="I415" s="94">
        <f>'Modell During mining'!$G409/1000000</f>
        <v>1.9322808000000005</v>
      </c>
      <c r="J415" s="121">
        <f>'Modell During mining'!$D409</f>
        <v>9.0281996607325379</v>
      </c>
      <c r="K415" s="93">
        <v>0.95</v>
      </c>
      <c r="L415" s="93">
        <v>0.2</v>
      </c>
      <c r="M415" s="93">
        <v>0.31</v>
      </c>
      <c r="N415" s="93">
        <v>0.2</v>
      </c>
      <c r="O415" s="93">
        <v>1.26</v>
      </c>
      <c r="P415" s="93">
        <v>7.4</v>
      </c>
      <c r="Q415" s="93">
        <v>1.6</v>
      </c>
      <c r="R415" s="93">
        <v>0</v>
      </c>
      <c r="S415" s="93">
        <v>0.36</v>
      </c>
      <c r="T415" s="98">
        <f t="shared" si="117"/>
        <v>4.7625749960119546</v>
      </c>
      <c r="U415" s="93">
        <v>25.21</v>
      </c>
      <c r="V415" s="98">
        <f t="shared" si="117"/>
        <v>4.7625749960119546</v>
      </c>
      <c r="W415" s="93">
        <v>21.42</v>
      </c>
      <c r="X415" s="98">
        <f t="shared" si="117"/>
        <v>4.7625749960119546</v>
      </c>
      <c r="Y415" s="93">
        <v>0.11</v>
      </c>
      <c r="Z415" s="98">
        <f t="shared" si="117"/>
        <v>4.7625749960119546</v>
      </c>
      <c r="AA415" s="93">
        <v>5.8</v>
      </c>
      <c r="AB415" s="98">
        <f t="shared" si="117"/>
        <v>4.7625749960119546</v>
      </c>
      <c r="AC415" s="93">
        <v>1.7</v>
      </c>
      <c r="AD415" s="98">
        <f t="shared" si="117"/>
        <v>4.7625749960119546</v>
      </c>
      <c r="AE415" s="93">
        <v>1.84</v>
      </c>
      <c r="AF415" s="98">
        <f t="shared" si="118"/>
        <v>4.7625749960119546</v>
      </c>
      <c r="AG415" s="10">
        <f t="shared" si="119"/>
        <v>7.97</v>
      </c>
      <c r="AH415" s="95">
        <f t="shared" si="120"/>
        <v>6.0522808000000001</v>
      </c>
      <c r="AI415" s="96">
        <f t="shared" si="124"/>
        <v>4.7625749960119546</v>
      </c>
      <c r="AJ415" s="96">
        <f t="shared" si="121"/>
        <v>7.7291672022353293</v>
      </c>
      <c r="AK415" s="96">
        <f t="shared" si="122"/>
        <v>4.7625749960119546</v>
      </c>
    </row>
    <row r="416" spans="1:37" x14ac:dyDescent="0.15">
      <c r="A416" s="10">
        <f>A414+1</f>
        <v>2024</v>
      </c>
      <c r="C416" s="10">
        <f t="shared" si="123"/>
        <v>3393</v>
      </c>
      <c r="D416" s="95">
        <f>5*A$80</f>
        <v>2.0833333333333335</v>
      </c>
      <c r="E416" s="122">
        <f t="shared" si="113"/>
        <v>7068.7500000000009</v>
      </c>
      <c r="F416" s="96">
        <f t="shared" si="114"/>
        <v>1.666666666666667</v>
      </c>
      <c r="G416" s="122">
        <f t="shared" si="115"/>
        <v>24425</v>
      </c>
      <c r="H416" s="122">
        <f t="shared" si="116"/>
        <v>7068.7500000000009</v>
      </c>
      <c r="I416" s="94">
        <f>'Modell During mining'!$G410/1000000</f>
        <v>1.2044999999999999</v>
      </c>
      <c r="J416" s="121">
        <f>'Modell During mining'!$D410</f>
        <v>9.9999999999999991E-6</v>
      </c>
      <c r="K416" s="93">
        <v>0</v>
      </c>
      <c r="L416" s="93">
        <v>0.2</v>
      </c>
      <c r="M416" s="93">
        <v>0.31</v>
      </c>
      <c r="N416" s="93">
        <v>0.2</v>
      </c>
      <c r="O416" s="93">
        <v>1.26</v>
      </c>
      <c r="P416" s="93">
        <v>7.4</v>
      </c>
      <c r="Q416" s="93">
        <v>0</v>
      </c>
      <c r="R416" s="93">
        <v>0</v>
      </c>
      <c r="S416" s="93">
        <v>0.36</v>
      </c>
      <c r="T416" s="98">
        <f t="shared" si="117"/>
        <v>5.0092763259615776</v>
      </c>
      <c r="U416" s="93">
        <v>25.21</v>
      </c>
      <c r="V416" s="98">
        <f t="shared" si="117"/>
        <v>5.0092763259615776</v>
      </c>
      <c r="W416" s="93">
        <v>21.42</v>
      </c>
      <c r="X416" s="98">
        <f t="shared" si="117"/>
        <v>5.0092763259615776</v>
      </c>
      <c r="Y416" s="93">
        <v>0.11</v>
      </c>
      <c r="Z416" s="98">
        <f t="shared" si="117"/>
        <v>5.0092763259615776</v>
      </c>
      <c r="AA416" s="93">
        <v>5.8</v>
      </c>
      <c r="AB416" s="98">
        <f t="shared" si="117"/>
        <v>5.0092763259615776</v>
      </c>
      <c r="AC416" s="93">
        <v>1.7</v>
      </c>
      <c r="AD416" s="98">
        <f t="shared" si="117"/>
        <v>5.0092763259615776</v>
      </c>
      <c r="AE416" s="93">
        <v>1.84</v>
      </c>
      <c r="AF416" s="98">
        <f t="shared" si="118"/>
        <v>5.0092763259615776</v>
      </c>
      <c r="AG416" s="10">
        <f t="shared" si="119"/>
        <v>7.97</v>
      </c>
      <c r="AH416" s="95">
        <f t="shared" si="120"/>
        <v>2.7744999999999997</v>
      </c>
      <c r="AI416" s="96">
        <f t="shared" si="124"/>
        <v>5.0092763259615776</v>
      </c>
      <c r="AJ416" s="96">
        <f t="shared" si="121"/>
        <v>8.3329968908997252</v>
      </c>
      <c r="AK416" s="96">
        <f t="shared" si="122"/>
        <v>5.0092763259615776</v>
      </c>
    </row>
    <row r="417" spans="1:37" x14ac:dyDescent="0.15">
      <c r="A417" s="10">
        <f>A416+0.5</f>
        <v>2024.5</v>
      </c>
      <c r="B417" s="10">
        <v>0</v>
      </c>
      <c r="C417" s="10">
        <f t="shared" si="123"/>
        <v>3393</v>
      </c>
      <c r="D417" s="95">
        <f>6.8*A$79</f>
        <v>3.9666666666666668</v>
      </c>
      <c r="E417" s="122">
        <f t="shared" si="113"/>
        <v>13458.9</v>
      </c>
      <c r="F417" s="96">
        <f t="shared" si="114"/>
        <v>3.1733333333333338</v>
      </c>
      <c r="G417" s="122">
        <f t="shared" si="115"/>
        <v>46505.200000000004</v>
      </c>
      <c r="H417" s="122">
        <f t="shared" si="116"/>
        <v>13458.9</v>
      </c>
      <c r="I417" s="94">
        <f>'Modell During mining'!$G411/1000000</f>
        <v>2.0339746666666674</v>
      </c>
      <c r="J417" s="121">
        <f>'Modell During mining'!$D411</f>
        <v>8.5768117483272466</v>
      </c>
      <c r="K417" s="93">
        <v>0.95</v>
      </c>
      <c r="L417" s="93">
        <v>0.2</v>
      </c>
      <c r="M417" s="93">
        <v>0.31</v>
      </c>
      <c r="N417" s="93">
        <v>0.2</v>
      </c>
      <c r="O417" s="93">
        <v>1.26</v>
      </c>
      <c r="P417" s="93">
        <v>7.4</v>
      </c>
      <c r="Q417" s="93">
        <v>1.6</v>
      </c>
      <c r="R417" s="93">
        <v>0</v>
      </c>
      <c r="S417" s="93">
        <v>0.36</v>
      </c>
      <c r="T417" s="98">
        <f t="shared" si="117"/>
        <v>4.4315864868262453</v>
      </c>
      <c r="U417" s="93">
        <v>25.21</v>
      </c>
      <c r="V417" s="98">
        <f t="shared" si="117"/>
        <v>4.4315864868262453</v>
      </c>
      <c r="W417" s="93">
        <v>21.42</v>
      </c>
      <c r="X417" s="98">
        <f t="shared" si="117"/>
        <v>4.4315864868262453</v>
      </c>
      <c r="Y417" s="93">
        <v>0.11</v>
      </c>
      <c r="Z417" s="98">
        <f t="shared" si="117"/>
        <v>4.4315864868262453</v>
      </c>
      <c r="AA417" s="93">
        <v>5.8</v>
      </c>
      <c r="AB417" s="98">
        <f t="shared" si="117"/>
        <v>4.4315864868262453</v>
      </c>
      <c r="AC417" s="93">
        <v>1.7</v>
      </c>
      <c r="AD417" s="98">
        <f t="shared" si="117"/>
        <v>4.4315864868262453</v>
      </c>
      <c r="AE417" s="93">
        <v>1.84</v>
      </c>
      <c r="AF417" s="98">
        <f t="shared" si="118"/>
        <v>4.4315864868262453</v>
      </c>
      <c r="AG417" s="10">
        <f t="shared" si="119"/>
        <v>7.97</v>
      </c>
      <c r="AH417" s="95">
        <f t="shared" si="120"/>
        <v>6.1539746666666684</v>
      </c>
      <c r="AI417" s="96">
        <f t="shared" si="124"/>
        <v>4.4315864868262453</v>
      </c>
      <c r="AJ417" s="96">
        <f t="shared" si="121"/>
        <v>7.3151358656823913</v>
      </c>
      <c r="AK417" s="96">
        <f t="shared" si="122"/>
        <v>4.4315864868262453</v>
      </c>
    </row>
    <row r="418" spans="1:37" x14ac:dyDescent="0.15">
      <c r="A418" s="10">
        <f>A416+1</f>
        <v>2025</v>
      </c>
      <c r="C418" s="10">
        <f t="shared" si="123"/>
        <v>3393</v>
      </c>
      <c r="D418" s="95">
        <f>5*A$80</f>
        <v>2.0833333333333335</v>
      </c>
      <c r="E418" s="122">
        <f t="shared" si="113"/>
        <v>7068.7500000000009</v>
      </c>
      <c r="F418" s="96">
        <f t="shared" si="114"/>
        <v>1.666666666666667</v>
      </c>
      <c r="G418" s="122">
        <f t="shared" si="115"/>
        <v>24425</v>
      </c>
      <c r="H418" s="122">
        <f t="shared" si="116"/>
        <v>7068.7500000000009</v>
      </c>
      <c r="I418" s="94">
        <f>'Modell During mining'!$G412/1000000</f>
        <v>1.2726333333333333</v>
      </c>
      <c r="J418" s="121">
        <f>'Modell During mining'!$D412</f>
        <v>1.0000000000000001E-5</v>
      </c>
      <c r="K418" s="93">
        <v>0</v>
      </c>
      <c r="L418" s="93">
        <v>0.2</v>
      </c>
      <c r="M418" s="93">
        <v>0.31</v>
      </c>
      <c r="N418" s="93">
        <v>0.2</v>
      </c>
      <c r="O418" s="93">
        <v>1.26</v>
      </c>
      <c r="P418" s="93">
        <v>7.4</v>
      </c>
      <c r="Q418" s="93">
        <v>0</v>
      </c>
      <c r="R418" s="93">
        <v>0</v>
      </c>
      <c r="S418" s="93">
        <v>0.36</v>
      </c>
      <c r="T418" s="98">
        <f t="shared" si="117"/>
        <v>4.844069134888521</v>
      </c>
      <c r="U418" s="93">
        <v>25.21</v>
      </c>
      <c r="V418" s="98">
        <f t="shared" si="117"/>
        <v>4.844069134888521</v>
      </c>
      <c r="W418" s="93">
        <v>21.42</v>
      </c>
      <c r="X418" s="98">
        <f t="shared" si="117"/>
        <v>4.844069134888521</v>
      </c>
      <c r="Y418" s="93">
        <v>0.11</v>
      </c>
      <c r="Z418" s="98">
        <f t="shared" si="117"/>
        <v>4.844069134888521</v>
      </c>
      <c r="AA418" s="93">
        <v>5.8</v>
      </c>
      <c r="AB418" s="98">
        <f t="shared" si="117"/>
        <v>4.844069134888521</v>
      </c>
      <c r="AC418" s="93">
        <v>1.7</v>
      </c>
      <c r="AD418" s="98">
        <f t="shared" si="117"/>
        <v>4.844069134888521</v>
      </c>
      <c r="AE418" s="93">
        <v>1.84</v>
      </c>
      <c r="AF418" s="98">
        <f t="shared" si="118"/>
        <v>4.844069134888521</v>
      </c>
      <c r="AG418" s="10">
        <f t="shared" si="119"/>
        <v>7.97</v>
      </c>
      <c r="AH418" s="95">
        <f t="shared" si="120"/>
        <v>2.8426333333333336</v>
      </c>
      <c r="AI418" s="96">
        <f t="shared" si="124"/>
        <v>4.844069134888521</v>
      </c>
      <c r="AJ418" s="96">
        <f t="shared" si="121"/>
        <v>8.093952475523416</v>
      </c>
      <c r="AK418" s="96">
        <f t="shared" si="122"/>
        <v>4.844069134888521</v>
      </c>
    </row>
    <row r="419" spans="1:37" x14ac:dyDescent="0.15">
      <c r="A419" s="10">
        <f>A418+0.5</f>
        <v>2025.5</v>
      </c>
      <c r="B419" s="10">
        <v>0</v>
      </c>
      <c r="C419" s="10">
        <f t="shared" si="123"/>
        <v>3393</v>
      </c>
      <c r="D419" s="95">
        <f>6.8*A$79</f>
        <v>3.9666666666666668</v>
      </c>
      <c r="E419" s="122">
        <f t="shared" si="113"/>
        <v>13458.9</v>
      </c>
      <c r="F419" s="96">
        <f t="shared" si="114"/>
        <v>3.1733333333333338</v>
      </c>
      <c r="G419" s="122">
        <f t="shared" si="115"/>
        <v>46505.200000000004</v>
      </c>
      <c r="H419" s="122">
        <f t="shared" si="116"/>
        <v>13458.9</v>
      </c>
      <c r="I419" s="94">
        <f>'Modell During mining'!$G413/1000000</f>
        <v>2.1356685333333343</v>
      </c>
      <c r="J419" s="121">
        <f>'Modell During mining'!$D413</f>
        <v>8.1684112016696186</v>
      </c>
      <c r="K419" s="93">
        <v>0.95</v>
      </c>
      <c r="L419" s="93">
        <v>0.2</v>
      </c>
      <c r="M419" s="93">
        <v>0.31</v>
      </c>
      <c r="N419" s="93">
        <v>0.2</v>
      </c>
      <c r="O419" s="93">
        <v>1.26</v>
      </c>
      <c r="P419" s="93">
        <v>7.4</v>
      </c>
      <c r="Q419" s="93">
        <v>1.6</v>
      </c>
      <c r="R419" s="93">
        <v>0</v>
      </c>
      <c r="S419" s="93">
        <v>0.36</v>
      </c>
      <c r="T419" s="98">
        <f t="shared" si="117"/>
        <v>4.2815291871659431</v>
      </c>
      <c r="U419" s="93">
        <v>25.21</v>
      </c>
      <c r="V419" s="98">
        <f t="shared" si="117"/>
        <v>4.2815291871659431</v>
      </c>
      <c r="W419" s="93">
        <v>21.42</v>
      </c>
      <c r="X419" s="98">
        <f t="shared" si="117"/>
        <v>4.2815291871659431</v>
      </c>
      <c r="Y419" s="93">
        <v>0.11</v>
      </c>
      <c r="Z419" s="98">
        <f t="shared" si="117"/>
        <v>4.2815291871659431</v>
      </c>
      <c r="AA419" s="93">
        <v>5.8</v>
      </c>
      <c r="AB419" s="98">
        <f t="shared" si="117"/>
        <v>4.2815291871659431</v>
      </c>
      <c r="AC419" s="93">
        <v>1.7</v>
      </c>
      <c r="AD419" s="98">
        <f t="shared" si="117"/>
        <v>4.2815291871659431</v>
      </c>
      <c r="AE419" s="93">
        <v>1.84</v>
      </c>
      <c r="AF419" s="98">
        <f t="shared" si="118"/>
        <v>4.2815291871659431</v>
      </c>
      <c r="AG419" s="10">
        <f t="shared" si="119"/>
        <v>7.97</v>
      </c>
      <c r="AH419" s="95">
        <f t="shared" si="120"/>
        <v>6.2556685333333348</v>
      </c>
      <c r="AI419" s="96">
        <f t="shared" si="124"/>
        <v>4.2815291871659431</v>
      </c>
      <c r="AJ419" s="96">
        <f t="shared" si="121"/>
        <v>7.0872587414629367</v>
      </c>
      <c r="AK419" s="96">
        <f t="shared" si="122"/>
        <v>4.2815291871659431</v>
      </c>
    </row>
    <row r="420" spans="1:37" x14ac:dyDescent="0.15">
      <c r="A420" s="10">
        <f>A418+1</f>
        <v>2026</v>
      </c>
      <c r="C420" s="10">
        <f t="shared" si="123"/>
        <v>3393</v>
      </c>
      <c r="D420" s="95">
        <f>5*A$80</f>
        <v>2.0833333333333335</v>
      </c>
      <c r="E420" s="122">
        <f t="shared" si="113"/>
        <v>7068.7500000000009</v>
      </c>
      <c r="F420" s="96">
        <f t="shared" si="114"/>
        <v>1.666666666666667</v>
      </c>
      <c r="G420" s="122">
        <f t="shared" si="115"/>
        <v>24425</v>
      </c>
      <c r="H420" s="122">
        <f t="shared" si="116"/>
        <v>7068.7500000000009</v>
      </c>
      <c r="I420" s="94">
        <f>'Modell During mining'!$G414/1000000</f>
        <v>1.3407666666666664</v>
      </c>
      <c r="J420" s="121">
        <f>'Modell During mining'!$D414</f>
        <v>1.0000000000000001E-5</v>
      </c>
      <c r="K420" s="93">
        <v>0</v>
      </c>
      <c r="L420" s="93">
        <v>0.2</v>
      </c>
      <c r="M420" s="93">
        <v>0.31</v>
      </c>
      <c r="N420" s="93">
        <v>0.2</v>
      </c>
      <c r="O420" s="93">
        <v>1.26</v>
      </c>
      <c r="P420" s="93">
        <v>7.4</v>
      </c>
      <c r="Q420" s="93">
        <v>0</v>
      </c>
      <c r="R420" s="93">
        <v>0</v>
      </c>
      <c r="S420" s="93">
        <v>0.36</v>
      </c>
      <c r="T420" s="98">
        <f t="shared" si="117"/>
        <v>4.7195059572568763</v>
      </c>
      <c r="U420" s="93">
        <v>25.21</v>
      </c>
      <c r="V420" s="98">
        <f t="shared" si="117"/>
        <v>4.7195059572568763</v>
      </c>
      <c r="W420" s="93">
        <v>21.42</v>
      </c>
      <c r="X420" s="98">
        <f t="shared" si="117"/>
        <v>4.7195059572568763</v>
      </c>
      <c r="Y420" s="93">
        <v>0.11</v>
      </c>
      <c r="Z420" s="98">
        <f t="shared" si="117"/>
        <v>4.7195059572568763</v>
      </c>
      <c r="AA420" s="93">
        <v>5.8</v>
      </c>
      <c r="AB420" s="98">
        <f t="shared" si="117"/>
        <v>4.7195059572568763</v>
      </c>
      <c r="AC420" s="93">
        <v>1.7</v>
      </c>
      <c r="AD420" s="98">
        <f t="shared" si="117"/>
        <v>4.7195059572568763</v>
      </c>
      <c r="AE420" s="93">
        <v>1.84</v>
      </c>
      <c r="AF420" s="98">
        <f t="shared" si="118"/>
        <v>4.7195059572568763</v>
      </c>
      <c r="AG420" s="10">
        <f t="shared" si="119"/>
        <v>7.97</v>
      </c>
      <c r="AH420" s="95">
        <f t="shared" si="120"/>
        <v>2.9107666666666665</v>
      </c>
      <c r="AI420" s="96">
        <f t="shared" si="124"/>
        <v>4.7195059572568763</v>
      </c>
      <c r="AJ420" s="96">
        <f t="shared" si="121"/>
        <v>7.8989852335134652</v>
      </c>
      <c r="AK420" s="96">
        <f t="shared" si="122"/>
        <v>4.7195059572568763</v>
      </c>
    </row>
    <row r="421" spans="1:37" x14ac:dyDescent="0.15">
      <c r="A421" s="10">
        <f>A420+0.5</f>
        <v>2026.5</v>
      </c>
      <c r="B421" s="10">
        <v>0</v>
      </c>
      <c r="C421" s="10">
        <f t="shared" si="123"/>
        <v>3393</v>
      </c>
      <c r="D421" s="95">
        <f>6.8*A$79</f>
        <v>3.9666666666666668</v>
      </c>
      <c r="E421" s="122">
        <f t="shared" si="113"/>
        <v>13458.9</v>
      </c>
      <c r="F421" s="96">
        <f t="shared" si="114"/>
        <v>3.1733333333333338</v>
      </c>
      <c r="G421" s="122">
        <f t="shared" si="115"/>
        <v>46505.200000000004</v>
      </c>
      <c r="H421" s="122">
        <f t="shared" si="116"/>
        <v>13458.9</v>
      </c>
      <c r="I421" s="94">
        <f>'Modell During mining'!$G415/1000000</f>
        <v>2.2373624000000008</v>
      </c>
      <c r="J421" s="121">
        <f>'Modell During mining'!$D415</f>
        <v>7.7971363622629903</v>
      </c>
      <c r="K421" s="93">
        <v>0.95</v>
      </c>
      <c r="L421" s="93">
        <v>0.2</v>
      </c>
      <c r="M421" s="93">
        <v>0.31</v>
      </c>
      <c r="N421" s="93">
        <v>0.2</v>
      </c>
      <c r="O421" s="93">
        <v>1.26</v>
      </c>
      <c r="P421" s="93">
        <v>7.4</v>
      </c>
      <c r="Q421" s="93">
        <v>1.6</v>
      </c>
      <c r="R421" s="93">
        <v>0</v>
      </c>
      <c r="S421" s="93">
        <v>0.36</v>
      </c>
      <c r="T421" s="98">
        <f t="shared" si="117"/>
        <v>4.1510784728377352</v>
      </c>
      <c r="U421" s="93">
        <v>25.21</v>
      </c>
      <c r="V421" s="98">
        <f t="shared" si="117"/>
        <v>4.1510784728377352</v>
      </c>
      <c r="W421" s="93">
        <v>21.42</v>
      </c>
      <c r="X421" s="98">
        <f t="shared" si="117"/>
        <v>4.1510784728377352</v>
      </c>
      <c r="Y421" s="93">
        <v>0.11</v>
      </c>
      <c r="Z421" s="98">
        <f t="shared" si="117"/>
        <v>4.1510784728377352</v>
      </c>
      <c r="AA421" s="93">
        <v>5.8</v>
      </c>
      <c r="AB421" s="98">
        <f t="shared" si="117"/>
        <v>4.1510784728377352</v>
      </c>
      <c r="AC421" s="93">
        <v>1.7</v>
      </c>
      <c r="AD421" s="98">
        <f t="shared" si="117"/>
        <v>4.1510784728377352</v>
      </c>
      <c r="AE421" s="93">
        <v>1.84</v>
      </c>
      <c r="AF421" s="98">
        <f t="shared" si="118"/>
        <v>4.1510784728377352</v>
      </c>
      <c r="AG421" s="10">
        <f t="shared" si="119"/>
        <v>7.97</v>
      </c>
      <c r="AH421" s="95">
        <f t="shared" si="120"/>
        <v>6.3573624000000013</v>
      </c>
      <c r="AI421" s="96">
        <f t="shared" si="124"/>
        <v>4.1510784728377352</v>
      </c>
      <c r="AJ421" s="96">
        <f t="shared" si="121"/>
        <v>6.8836959051906881</v>
      </c>
      <c r="AK421" s="96">
        <f t="shared" si="122"/>
        <v>4.1510784728377352</v>
      </c>
    </row>
    <row r="422" spans="1:37" x14ac:dyDescent="0.15">
      <c r="A422" s="10">
        <f>A420+1</f>
        <v>2027</v>
      </c>
      <c r="C422" s="10">
        <f t="shared" si="123"/>
        <v>3393</v>
      </c>
      <c r="D422" s="95">
        <f>5*A$80</f>
        <v>2.0833333333333335</v>
      </c>
      <c r="E422" s="122">
        <f t="shared" si="113"/>
        <v>7068.7500000000009</v>
      </c>
      <c r="F422" s="96">
        <f t="shared" si="114"/>
        <v>1.666666666666667</v>
      </c>
      <c r="G422" s="122">
        <f t="shared" si="115"/>
        <v>24425</v>
      </c>
      <c r="H422" s="122">
        <f t="shared" si="116"/>
        <v>7068.7500000000009</v>
      </c>
      <c r="I422" s="94">
        <f>'Modell During mining'!$G416/1000000</f>
        <v>1.4088999999999998</v>
      </c>
      <c r="J422" s="121">
        <f>'Modell During mining'!$D416</f>
        <v>1.0000000000000001E-5</v>
      </c>
      <c r="K422" s="93">
        <v>0</v>
      </c>
      <c r="L422" s="93">
        <v>0.2</v>
      </c>
      <c r="M422" s="93">
        <v>0.31</v>
      </c>
      <c r="N422" s="93">
        <v>0.2</v>
      </c>
      <c r="O422" s="93">
        <v>1.26</v>
      </c>
      <c r="P422" s="93">
        <v>7.4</v>
      </c>
      <c r="Q422" s="93">
        <v>0</v>
      </c>
      <c r="R422" s="93">
        <v>0</v>
      </c>
      <c r="S422" s="93">
        <v>0.36</v>
      </c>
      <c r="T422" s="98">
        <f t="shared" si="117"/>
        <v>4.6033767902045293</v>
      </c>
      <c r="U422" s="93">
        <v>25.21</v>
      </c>
      <c r="V422" s="98">
        <f t="shared" si="117"/>
        <v>4.6033767902045293</v>
      </c>
      <c r="W422" s="93">
        <v>21.42</v>
      </c>
      <c r="X422" s="98">
        <f t="shared" si="117"/>
        <v>4.6033767902045293</v>
      </c>
      <c r="Y422" s="93">
        <v>0.11</v>
      </c>
      <c r="Z422" s="98">
        <f t="shared" si="117"/>
        <v>4.6033767902045293</v>
      </c>
      <c r="AA422" s="93">
        <v>5.8</v>
      </c>
      <c r="AB422" s="98">
        <f t="shared" si="117"/>
        <v>4.6033767902045293</v>
      </c>
      <c r="AC422" s="93">
        <v>1.7</v>
      </c>
      <c r="AD422" s="98">
        <f t="shared" si="117"/>
        <v>4.6033767902045293</v>
      </c>
      <c r="AE422" s="93">
        <v>1.84</v>
      </c>
      <c r="AF422" s="98">
        <f t="shared" si="118"/>
        <v>4.6033767902045293</v>
      </c>
      <c r="AG422" s="10">
        <f t="shared" si="119"/>
        <v>7.97</v>
      </c>
      <c r="AH422" s="95">
        <f t="shared" si="120"/>
        <v>2.9788999999999999</v>
      </c>
      <c r="AI422" s="96">
        <f t="shared" si="124"/>
        <v>4.6033767902045293</v>
      </c>
      <c r="AJ422" s="96">
        <f t="shared" si="121"/>
        <v>7.7156419057833219</v>
      </c>
      <c r="AK422" s="96">
        <f t="shared" si="122"/>
        <v>4.6033767902045293</v>
      </c>
    </row>
    <row r="423" spans="1:37" x14ac:dyDescent="0.15">
      <c r="A423" s="10">
        <f>A422+0.5</f>
        <v>2027.5</v>
      </c>
      <c r="B423" s="10">
        <v>0</v>
      </c>
      <c r="C423" s="10">
        <f t="shared" si="123"/>
        <v>3393</v>
      </c>
      <c r="D423" s="95">
        <f>6.8*A$79</f>
        <v>3.9666666666666668</v>
      </c>
      <c r="E423" s="122">
        <f t="shared" si="113"/>
        <v>13458.9</v>
      </c>
      <c r="F423" s="96">
        <f t="shared" si="114"/>
        <v>3.1733333333333338</v>
      </c>
      <c r="G423" s="122">
        <f t="shared" si="115"/>
        <v>46505.200000000004</v>
      </c>
      <c r="H423" s="122">
        <f t="shared" si="116"/>
        <v>13458.9</v>
      </c>
      <c r="I423" s="94">
        <f>'Modell During mining'!$G417/1000000</f>
        <v>2.3390562666666677</v>
      </c>
      <c r="J423" s="121">
        <f>'Modell During mining'!$D417</f>
        <v>7.4581449480593918</v>
      </c>
      <c r="K423" s="93">
        <v>0.95</v>
      </c>
      <c r="L423" s="93">
        <v>0.2</v>
      </c>
      <c r="M423" s="93">
        <v>0.31</v>
      </c>
      <c r="N423" s="93">
        <v>0.2</v>
      </c>
      <c r="O423" s="93">
        <v>1.26</v>
      </c>
      <c r="P423" s="93">
        <v>7.4</v>
      </c>
      <c r="Q423" s="93">
        <v>1.6</v>
      </c>
      <c r="R423" s="93">
        <v>0</v>
      </c>
      <c r="S423" s="93">
        <v>0.36</v>
      </c>
      <c r="T423" s="98">
        <f t="shared" si="117"/>
        <v>4.0287734668341422</v>
      </c>
      <c r="U423" s="93">
        <v>25.21</v>
      </c>
      <c r="V423" s="98">
        <f t="shared" si="117"/>
        <v>4.0287734668341422</v>
      </c>
      <c r="W423" s="93">
        <v>21.42</v>
      </c>
      <c r="X423" s="98">
        <f t="shared" si="117"/>
        <v>4.0287734668341422</v>
      </c>
      <c r="Y423" s="93">
        <v>0.11</v>
      </c>
      <c r="Z423" s="98">
        <f t="shared" si="117"/>
        <v>4.0287734668341422</v>
      </c>
      <c r="AA423" s="93">
        <v>5.8</v>
      </c>
      <c r="AB423" s="98">
        <f t="shared" si="117"/>
        <v>4.0287734668341422</v>
      </c>
      <c r="AC423" s="93">
        <v>1.7</v>
      </c>
      <c r="AD423" s="98">
        <f t="shared" si="117"/>
        <v>4.0287734668341422</v>
      </c>
      <c r="AE423" s="93">
        <v>1.84</v>
      </c>
      <c r="AF423" s="98">
        <f t="shared" si="118"/>
        <v>4.0287734668341422</v>
      </c>
      <c r="AG423" s="10">
        <f t="shared" si="119"/>
        <v>7.97</v>
      </c>
      <c r="AH423" s="95">
        <f t="shared" si="120"/>
        <v>6.4590562666666678</v>
      </c>
      <c r="AI423" s="96">
        <f t="shared" si="124"/>
        <v>4.0287734668341422</v>
      </c>
      <c r="AJ423" s="96">
        <f t="shared" si="121"/>
        <v>6.6925390899286556</v>
      </c>
      <c r="AK423" s="96">
        <f t="shared" si="122"/>
        <v>4.0287734668341422</v>
      </c>
    </row>
    <row r="424" spans="1:37" x14ac:dyDescent="0.15">
      <c r="A424" s="10">
        <f>A422+1</f>
        <v>2028</v>
      </c>
      <c r="C424" s="10">
        <f t="shared" si="123"/>
        <v>3393</v>
      </c>
      <c r="D424" s="95">
        <f>5*A$80</f>
        <v>2.0833333333333335</v>
      </c>
      <c r="E424" s="122">
        <f t="shared" si="113"/>
        <v>7068.7500000000009</v>
      </c>
      <c r="F424" s="96">
        <f t="shared" si="114"/>
        <v>1.666666666666667</v>
      </c>
      <c r="G424" s="122">
        <f t="shared" si="115"/>
        <v>24425</v>
      </c>
      <c r="H424" s="122">
        <f t="shared" si="116"/>
        <v>7068.7500000000009</v>
      </c>
      <c r="I424" s="94">
        <f>'Modell During mining'!$G418/1000000</f>
        <v>1.477033333333333</v>
      </c>
      <c r="J424" s="121">
        <f>'Modell During mining'!$D418</f>
        <v>9.9999999999999991E-6</v>
      </c>
      <c r="K424" s="93">
        <v>0</v>
      </c>
      <c r="L424" s="93">
        <v>0.2</v>
      </c>
      <c r="M424" s="93">
        <v>0.31</v>
      </c>
      <c r="N424" s="93">
        <v>0.2</v>
      </c>
      <c r="O424" s="93">
        <v>1.26</v>
      </c>
      <c r="P424" s="93">
        <v>7.4</v>
      </c>
      <c r="Q424" s="93">
        <v>0</v>
      </c>
      <c r="R424" s="93">
        <v>0</v>
      </c>
      <c r="S424" s="93">
        <v>0.36</v>
      </c>
      <c r="T424" s="98">
        <f t="shared" si="117"/>
        <v>4.4931130642920287</v>
      </c>
      <c r="U424" s="93">
        <v>25.21</v>
      </c>
      <c r="V424" s="98">
        <f t="shared" si="117"/>
        <v>4.4931130642920287</v>
      </c>
      <c r="W424" s="93">
        <v>21.42</v>
      </c>
      <c r="X424" s="98">
        <f t="shared" si="117"/>
        <v>4.4931130642920287</v>
      </c>
      <c r="Y424" s="93">
        <v>0.11</v>
      </c>
      <c r="Z424" s="98">
        <f t="shared" si="117"/>
        <v>4.4931130642920287</v>
      </c>
      <c r="AA424" s="93">
        <v>5.8</v>
      </c>
      <c r="AB424" s="98">
        <f t="shared" si="117"/>
        <v>4.4931130642920287</v>
      </c>
      <c r="AC424" s="93">
        <v>1.7</v>
      </c>
      <c r="AD424" s="98">
        <f t="shared" si="117"/>
        <v>4.4931130642920287</v>
      </c>
      <c r="AE424" s="93">
        <v>1.84</v>
      </c>
      <c r="AF424" s="98">
        <f t="shared" si="118"/>
        <v>4.4931130642920287</v>
      </c>
      <c r="AG424" s="10">
        <f t="shared" si="119"/>
        <v>7.97</v>
      </c>
      <c r="AH424" s="95">
        <f t="shared" si="120"/>
        <v>3.0470333333333333</v>
      </c>
      <c r="AI424" s="96">
        <f t="shared" si="124"/>
        <v>4.4931130642920287</v>
      </c>
      <c r="AJ424" s="96">
        <f t="shared" si="121"/>
        <v>7.5411335876285559</v>
      </c>
      <c r="AK424" s="96">
        <f t="shared" si="122"/>
        <v>4.4931130642920287</v>
      </c>
    </row>
    <row r="425" spans="1:37" x14ac:dyDescent="0.15">
      <c r="A425" s="10">
        <f>A424+0.5</f>
        <v>2028.5</v>
      </c>
      <c r="B425" s="10">
        <v>0</v>
      </c>
      <c r="C425" s="10">
        <f t="shared" si="123"/>
        <v>3393</v>
      </c>
      <c r="D425" s="95">
        <f>6.8*A$79</f>
        <v>3.9666666666666668</v>
      </c>
      <c r="E425" s="122">
        <f t="shared" si="113"/>
        <v>13458.9</v>
      </c>
      <c r="F425" s="96">
        <f t="shared" si="114"/>
        <v>3.1733333333333338</v>
      </c>
      <c r="G425" s="122">
        <f t="shared" si="115"/>
        <v>46505.200000000004</v>
      </c>
      <c r="H425" s="122">
        <f t="shared" si="116"/>
        <v>13458.9</v>
      </c>
      <c r="I425" s="94">
        <f>'Modell During mining'!$G419/1000000</f>
        <v>2.4407501333333341</v>
      </c>
      <c r="J425" s="121">
        <f>'Modell During mining'!$D419</f>
        <v>7.1474016918350651</v>
      </c>
      <c r="K425" s="93">
        <v>0.95</v>
      </c>
      <c r="L425" s="93">
        <v>0.2</v>
      </c>
      <c r="M425" s="93">
        <v>0.31</v>
      </c>
      <c r="N425" s="93">
        <v>0.2</v>
      </c>
      <c r="O425" s="93">
        <v>1.26</v>
      </c>
      <c r="P425" s="93">
        <v>7.4</v>
      </c>
      <c r="Q425" s="93">
        <v>1.6</v>
      </c>
      <c r="R425" s="93">
        <v>0</v>
      </c>
      <c r="S425" s="93">
        <v>0.36</v>
      </c>
      <c r="T425" s="98">
        <f t="shared" si="117"/>
        <v>3.9132946487253299</v>
      </c>
      <c r="U425" s="93">
        <v>25.21</v>
      </c>
      <c r="V425" s="98">
        <f t="shared" si="117"/>
        <v>3.9132946487253299</v>
      </c>
      <c r="W425" s="93">
        <v>21.42</v>
      </c>
      <c r="X425" s="98">
        <f t="shared" si="117"/>
        <v>3.9132946487253299</v>
      </c>
      <c r="Y425" s="93">
        <v>0.11</v>
      </c>
      <c r="Z425" s="98">
        <f t="shared" si="117"/>
        <v>3.9132946487253299</v>
      </c>
      <c r="AA425" s="93">
        <v>5.8</v>
      </c>
      <c r="AB425" s="98">
        <f t="shared" si="117"/>
        <v>3.9132946487253299</v>
      </c>
      <c r="AC425" s="93">
        <v>1.7</v>
      </c>
      <c r="AD425" s="98">
        <f t="shared" si="117"/>
        <v>3.9132946487253299</v>
      </c>
      <c r="AE425" s="93">
        <v>1.84</v>
      </c>
      <c r="AF425" s="98">
        <f t="shared" si="118"/>
        <v>3.9132946487253299</v>
      </c>
      <c r="AG425" s="10">
        <f t="shared" si="119"/>
        <v>7.97</v>
      </c>
      <c r="AH425" s="95">
        <f t="shared" si="120"/>
        <v>6.5607501333333342</v>
      </c>
      <c r="AI425" s="96">
        <f t="shared" si="124"/>
        <v>3.9132946487253299</v>
      </c>
      <c r="AJ425" s="96">
        <f t="shared" si="121"/>
        <v>6.5120783069027341</v>
      </c>
      <c r="AK425" s="96">
        <f t="shared" si="122"/>
        <v>3.9132946487253299</v>
      </c>
    </row>
    <row r="426" spans="1:37" x14ac:dyDescent="0.15">
      <c r="A426" s="10">
        <f>A424+1</f>
        <v>2029</v>
      </c>
      <c r="C426" s="10">
        <f t="shared" si="123"/>
        <v>3393</v>
      </c>
      <c r="D426" s="95">
        <f>5*A$80</f>
        <v>2.0833333333333335</v>
      </c>
      <c r="E426" s="122">
        <f t="shared" si="113"/>
        <v>7068.7500000000009</v>
      </c>
      <c r="F426" s="96">
        <f t="shared" si="114"/>
        <v>1.666666666666667</v>
      </c>
      <c r="G426" s="122">
        <f t="shared" si="115"/>
        <v>24425</v>
      </c>
      <c r="H426" s="122">
        <f t="shared" si="116"/>
        <v>7068.7500000000009</v>
      </c>
      <c r="I426" s="94">
        <f>'Modell During mining'!$G420/1000000</f>
        <v>1.5451666666666664</v>
      </c>
      <c r="J426" s="121">
        <f>'Modell During mining'!$D420</f>
        <v>9.9999999999999991E-6</v>
      </c>
      <c r="K426" s="93">
        <v>0</v>
      </c>
      <c r="L426" s="93">
        <v>0.2</v>
      </c>
      <c r="M426" s="93">
        <v>0.31</v>
      </c>
      <c r="N426" s="93">
        <v>0.2</v>
      </c>
      <c r="O426" s="93">
        <v>1.26</v>
      </c>
      <c r="P426" s="93">
        <v>7.4</v>
      </c>
      <c r="Q426" s="93">
        <v>0</v>
      </c>
      <c r="R426" s="93">
        <v>0</v>
      </c>
      <c r="S426" s="93">
        <v>0.36</v>
      </c>
      <c r="T426" s="98">
        <f t="shared" si="117"/>
        <v>4.3881587240442723</v>
      </c>
      <c r="U426" s="93">
        <v>25.21</v>
      </c>
      <c r="V426" s="98">
        <f t="shared" si="117"/>
        <v>4.3881587240442723</v>
      </c>
      <c r="W426" s="93">
        <v>21.42</v>
      </c>
      <c r="X426" s="98">
        <f t="shared" si="117"/>
        <v>4.3881587240442723</v>
      </c>
      <c r="Y426" s="93">
        <v>0.11</v>
      </c>
      <c r="Z426" s="98">
        <f t="shared" si="117"/>
        <v>4.3881587240442723</v>
      </c>
      <c r="AA426" s="93">
        <v>5.8</v>
      </c>
      <c r="AB426" s="98">
        <f t="shared" si="117"/>
        <v>4.3881587240442723</v>
      </c>
      <c r="AC426" s="93">
        <v>1.7</v>
      </c>
      <c r="AD426" s="98">
        <f t="shared" si="117"/>
        <v>4.3881587240442723</v>
      </c>
      <c r="AE426" s="93">
        <v>1.84</v>
      </c>
      <c r="AF426" s="98">
        <f t="shared" si="118"/>
        <v>4.3881587240442723</v>
      </c>
      <c r="AG426" s="10">
        <f t="shared" si="119"/>
        <v>7.97</v>
      </c>
      <c r="AH426" s="95">
        <f t="shared" si="120"/>
        <v>3.1151666666666662</v>
      </c>
      <c r="AI426" s="96">
        <f t="shared" si="124"/>
        <v>4.3881587240442723</v>
      </c>
      <c r="AJ426" s="96">
        <f t="shared" si="121"/>
        <v>7.3747041433723162</v>
      </c>
      <c r="AK426" s="96">
        <f t="shared" si="122"/>
        <v>4.3881587240442723</v>
      </c>
    </row>
    <row r="427" spans="1:37" x14ac:dyDescent="0.15">
      <c r="A427" s="10">
        <f>A426+0.5</f>
        <v>2029.5</v>
      </c>
      <c r="B427" s="10">
        <v>0</v>
      </c>
      <c r="C427" s="10">
        <f t="shared" si="123"/>
        <v>3393</v>
      </c>
      <c r="D427" s="95">
        <f>6.8*A$79</f>
        <v>3.9666666666666668</v>
      </c>
      <c r="E427" s="122">
        <f t="shared" si="113"/>
        <v>13458.9</v>
      </c>
      <c r="F427" s="96">
        <f t="shared" si="114"/>
        <v>3.1733333333333338</v>
      </c>
      <c r="G427" s="122">
        <f t="shared" si="115"/>
        <v>46505.200000000004</v>
      </c>
      <c r="H427" s="122">
        <f t="shared" si="116"/>
        <v>13458.9</v>
      </c>
      <c r="I427" s="94">
        <f>'Modell During mining'!$G421/1000000</f>
        <v>2.5424440000000001</v>
      </c>
      <c r="J427" s="121">
        <f>'Modell During mining'!$D421</f>
        <v>6.8615169444046753</v>
      </c>
      <c r="K427" s="93">
        <v>0.95</v>
      </c>
      <c r="L427" s="93">
        <v>0.2</v>
      </c>
      <c r="M427" s="93">
        <v>0.31</v>
      </c>
      <c r="N427" s="93">
        <v>0.2</v>
      </c>
      <c r="O427" s="93">
        <v>1.26</v>
      </c>
      <c r="P427" s="93">
        <v>7.4</v>
      </c>
      <c r="Q427" s="93">
        <v>1.6</v>
      </c>
      <c r="R427" s="93">
        <v>0</v>
      </c>
      <c r="S427" s="93">
        <v>0.36</v>
      </c>
      <c r="T427" s="98">
        <f t="shared" si="117"/>
        <v>3.804049755692636</v>
      </c>
      <c r="U427" s="93">
        <v>25.21</v>
      </c>
      <c r="V427" s="98">
        <f t="shared" si="117"/>
        <v>3.804049755692636</v>
      </c>
      <c r="W427" s="93">
        <v>21.42</v>
      </c>
      <c r="X427" s="98">
        <f t="shared" si="117"/>
        <v>3.804049755692636</v>
      </c>
      <c r="Y427" s="93">
        <v>0.11</v>
      </c>
      <c r="Z427" s="98">
        <f t="shared" si="117"/>
        <v>3.804049755692636</v>
      </c>
      <c r="AA427" s="93">
        <v>5.8</v>
      </c>
      <c r="AB427" s="98">
        <f t="shared" si="117"/>
        <v>3.804049755692636</v>
      </c>
      <c r="AC427" s="93">
        <v>1.7</v>
      </c>
      <c r="AD427" s="98">
        <f t="shared" si="117"/>
        <v>3.804049755692636</v>
      </c>
      <c r="AE427" s="93">
        <v>1.84</v>
      </c>
      <c r="AF427" s="98">
        <f t="shared" si="118"/>
        <v>3.804049755692636</v>
      </c>
      <c r="AG427" s="10">
        <f t="shared" si="119"/>
        <v>7.97</v>
      </c>
      <c r="AH427" s="95">
        <f t="shared" si="120"/>
        <v>6.6624440000000007</v>
      </c>
      <c r="AI427" s="96">
        <f t="shared" si="124"/>
        <v>3.804049755692636</v>
      </c>
      <c r="AJ427" s="96">
        <f t="shared" si="121"/>
        <v>6.3413788372559683</v>
      </c>
      <c r="AK427" s="96">
        <f t="shared" si="122"/>
        <v>3.804049755692636</v>
      </c>
    </row>
    <row r="428" spans="1:37" x14ac:dyDescent="0.15">
      <c r="A428" s="10">
        <f>A426+1</f>
        <v>2030</v>
      </c>
      <c r="C428" s="10">
        <f t="shared" si="123"/>
        <v>3393</v>
      </c>
      <c r="D428" s="95">
        <f>5*A$80</f>
        <v>2.0833333333333335</v>
      </c>
      <c r="E428" s="122">
        <f t="shared" si="113"/>
        <v>7068.7500000000009</v>
      </c>
      <c r="F428" s="96">
        <f t="shared" si="114"/>
        <v>1.666666666666667</v>
      </c>
      <c r="G428" s="122">
        <f t="shared" si="115"/>
        <v>24425</v>
      </c>
      <c r="H428" s="122">
        <f t="shared" si="116"/>
        <v>7068.7500000000009</v>
      </c>
      <c r="I428" s="94">
        <f>'Modell During mining'!$G422/1000000</f>
        <v>1.6133</v>
      </c>
      <c r="J428" s="121">
        <f>'Modell During mining'!$D422</f>
        <v>9.9999999999999991E-6</v>
      </c>
      <c r="K428" s="93">
        <v>0</v>
      </c>
      <c r="L428" s="93">
        <v>0.2</v>
      </c>
      <c r="M428" s="93">
        <v>0.31</v>
      </c>
      <c r="N428" s="93">
        <v>0.2</v>
      </c>
      <c r="O428" s="93">
        <v>1.26</v>
      </c>
      <c r="P428" s="93">
        <v>7.4</v>
      </c>
      <c r="Q428" s="93">
        <v>0</v>
      </c>
      <c r="R428" s="93">
        <v>0</v>
      </c>
      <c r="S428" s="93">
        <v>0.36</v>
      </c>
      <c r="T428" s="98">
        <f t="shared" si="117"/>
        <v>4.2881259868889465</v>
      </c>
      <c r="U428" s="93">
        <v>25.21</v>
      </c>
      <c r="V428" s="98">
        <f t="shared" si="117"/>
        <v>4.2881259868889465</v>
      </c>
      <c r="W428" s="93">
        <v>21.42</v>
      </c>
      <c r="X428" s="98">
        <f t="shared" si="117"/>
        <v>4.2881259868889465</v>
      </c>
      <c r="Y428" s="93">
        <v>0.11</v>
      </c>
      <c r="Z428" s="98">
        <f t="shared" si="117"/>
        <v>4.2881259868889465</v>
      </c>
      <c r="AA428" s="93">
        <v>5.8</v>
      </c>
      <c r="AB428" s="98">
        <f t="shared" si="117"/>
        <v>4.2881259868889465</v>
      </c>
      <c r="AC428" s="93">
        <v>1.7</v>
      </c>
      <c r="AD428" s="98">
        <f t="shared" si="117"/>
        <v>4.2881259868889465</v>
      </c>
      <c r="AE428" s="93">
        <v>1.84</v>
      </c>
      <c r="AF428" s="98">
        <f t="shared" si="118"/>
        <v>4.2881259868889465</v>
      </c>
      <c r="AG428" s="10">
        <f t="shared" si="119"/>
        <v>7.97</v>
      </c>
      <c r="AH428" s="95">
        <f t="shared" si="120"/>
        <v>3.1833</v>
      </c>
      <c r="AI428" s="96">
        <f t="shared" si="124"/>
        <v>4.2881259868889465</v>
      </c>
      <c r="AJ428" s="96">
        <f t="shared" si="121"/>
        <v>7.2157836650146381</v>
      </c>
      <c r="AK428" s="96">
        <f t="shared" si="122"/>
        <v>4.2881259868889465</v>
      </c>
    </row>
    <row r="429" spans="1:37" x14ac:dyDescent="0.15">
      <c r="A429" s="10">
        <f>A428+0.5</f>
        <v>2030.5</v>
      </c>
      <c r="AI429" s="96">
        <f t="shared" si="124"/>
        <v>3.7005467183085492</v>
      </c>
      <c r="AJ429" s="96">
        <f t="shared" si="121"/>
        <v>6.1796468917823599</v>
      </c>
      <c r="AK429" s="96">
        <f t="shared" si="122"/>
        <v>3.7005467183085492</v>
      </c>
    </row>
    <row r="430" spans="1:37" x14ac:dyDescent="0.15">
      <c r="A430" s="10">
        <f>7/12</f>
        <v>0.58333333333333337</v>
      </c>
      <c r="B430" s="10" t="s">
        <v>1086</v>
      </c>
      <c r="C430" s="11" t="s">
        <v>682</v>
      </c>
      <c r="D430" s="11" t="s">
        <v>682</v>
      </c>
      <c r="E430" s="11" t="s">
        <v>682</v>
      </c>
      <c r="F430" s="11"/>
      <c r="G430" s="11" t="s">
        <v>682</v>
      </c>
      <c r="H430" s="11" t="s">
        <v>682</v>
      </c>
      <c r="I430" s="11" t="s">
        <v>682</v>
      </c>
      <c r="J430" s="11" t="s">
        <v>682</v>
      </c>
      <c r="K430" s="11" t="s">
        <v>682</v>
      </c>
      <c r="L430" s="11" t="s">
        <v>682</v>
      </c>
      <c r="M430" s="11" t="s">
        <v>682</v>
      </c>
      <c r="N430" s="11" t="s">
        <v>682</v>
      </c>
      <c r="O430" s="11" t="s">
        <v>682</v>
      </c>
      <c r="P430" s="11" t="s">
        <v>682</v>
      </c>
      <c r="Q430" s="11" t="s">
        <v>682</v>
      </c>
      <c r="R430" s="11" t="s">
        <v>682</v>
      </c>
      <c r="S430" s="11" t="s">
        <v>682</v>
      </c>
      <c r="T430" s="11" t="s">
        <v>682</v>
      </c>
      <c r="U430" s="11" t="s">
        <v>682</v>
      </c>
      <c r="V430" s="11" t="s">
        <v>682</v>
      </c>
      <c r="W430" s="11" t="s">
        <v>682</v>
      </c>
      <c r="X430" s="11" t="s">
        <v>682</v>
      </c>
      <c r="Y430" s="11" t="s">
        <v>682</v>
      </c>
      <c r="Z430" s="11" t="s">
        <v>682</v>
      </c>
      <c r="AA430" s="11" t="s">
        <v>682</v>
      </c>
      <c r="AB430" s="11" t="s">
        <v>682</v>
      </c>
      <c r="AC430" s="11" t="s">
        <v>682</v>
      </c>
      <c r="AD430" s="11" t="s">
        <v>682</v>
      </c>
      <c r="AE430" s="11" t="s">
        <v>682</v>
      </c>
      <c r="AF430" s="11" t="s">
        <v>682</v>
      </c>
      <c r="AG430" s="11" t="s">
        <v>682</v>
      </c>
      <c r="AH430" s="11" t="s">
        <v>682</v>
      </c>
      <c r="AI430" s="11" t="s">
        <v>682</v>
      </c>
      <c r="AJ430" s="11" t="s">
        <v>682</v>
      </c>
      <c r="AK430" s="11" t="s">
        <v>682</v>
      </c>
    </row>
    <row r="431" spans="1:37" x14ac:dyDescent="0.15">
      <c r="A431">
        <f>5/12</f>
        <v>0.41666666666666669</v>
      </c>
      <c r="B431" s="10" t="s">
        <v>1087</v>
      </c>
      <c r="C431" s="118" t="s">
        <v>1174</v>
      </c>
      <c r="E431" s="10">
        <v>79</v>
      </c>
      <c r="F431" s="10" t="s">
        <v>1456</v>
      </c>
      <c r="G431" s="10">
        <v>97</v>
      </c>
      <c r="H431" s="10">
        <v>316</v>
      </c>
      <c r="L431" s="96"/>
      <c r="N431" s="96"/>
      <c r="P431" s="96"/>
      <c r="R431" s="96"/>
      <c r="S431" s="10"/>
      <c r="T431" s="96"/>
      <c r="V431" s="96"/>
      <c r="X431" s="96"/>
      <c r="Z431" s="96"/>
      <c r="AB431" s="96"/>
      <c r="AD431" s="96"/>
      <c r="AF431" s="96"/>
      <c r="AI431" t="s">
        <v>1443</v>
      </c>
      <c r="AJ431" t="s">
        <v>1444</v>
      </c>
      <c r="AK431" t="s">
        <v>1445</v>
      </c>
    </row>
    <row r="432" spans="1:37" ht="25" customHeight="1" x14ac:dyDescent="0.15">
      <c r="B432" s="10" t="s">
        <v>1058</v>
      </c>
      <c r="C432" s="10" t="s">
        <v>1066</v>
      </c>
      <c r="D432" s="97" t="s">
        <v>1056</v>
      </c>
      <c r="E432" s="97" t="s">
        <v>1439</v>
      </c>
      <c r="F432" s="97" t="s">
        <v>1056</v>
      </c>
      <c r="G432" s="97" t="s">
        <v>1427</v>
      </c>
      <c r="H432" s="97" t="s">
        <v>1428</v>
      </c>
      <c r="I432" s="85" t="s">
        <v>918</v>
      </c>
      <c r="J432" s="85" t="s">
        <v>657</v>
      </c>
      <c r="K432" s="85" t="s">
        <v>919</v>
      </c>
      <c r="L432" s="10" t="s">
        <v>634</v>
      </c>
      <c r="M432" s="85" t="s">
        <v>947</v>
      </c>
      <c r="N432" s="10" t="s">
        <v>634</v>
      </c>
      <c r="O432" s="85" t="s">
        <v>779</v>
      </c>
      <c r="P432" s="10" t="s">
        <v>634</v>
      </c>
      <c r="Q432" s="85" t="s">
        <v>780</v>
      </c>
      <c r="R432" s="10" t="s">
        <v>634</v>
      </c>
      <c r="S432" s="85" t="s">
        <v>948</v>
      </c>
      <c r="T432" s="10" t="s">
        <v>634</v>
      </c>
      <c r="U432" s="85" t="s">
        <v>949</v>
      </c>
      <c r="V432" s="10" t="s">
        <v>634</v>
      </c>
      <c r="W432" s="85" t="s">
        <v>950</v>
      </c>
      <c r="X432" s="10" t="s">
        <v>634</v>
      </c>
      <c r="Y432" s="85" t="s">
        <v>783</v>
      </c>
      <c r="Z432" s="10" t="s">
        <v>634</v>
      </c>
      <c r="AA432" s="85" t="s">
        <v>784</v>
      </c>
      <c r="AB432" s="10" t="s">
        <v>634</v>
      </c>
      <c r="AC432" s="85" t="s">
        <v>785</v>
      </c>
      <c r="AD432" s="10" t="s">
        <v>634</v>
      </c>
      <c r="AE432" s="85" t="s">
        <v>1205</v>
      </c>
      <c r="AF432" s="10" t="s">
        <v>634</v>
      </c>
      <c r="AG432" s="85" t="s">
        <v>1060</v>
      </c>
      <c r="AH432" s="85" t="s">
        <v>1061</v>
      </c>
      <c r="AI432" s="10" t="s">
        <v>1455</v>
      </c>
      <c r="AJ432" s="10" t="s">
        <v>1455</v>
      </c>
      <c r="AK432" s="10" t="s">
        <v>1455</v>
      </c>
    </row>
    <row r="433" spans="1:37" x14ac:dyDescent="0.15">
      <c r="A433" s="10">
        <v>2014.5</v>
      </c>
      <c r="B433" s="10">
        <v>0</v>
      </c>
      <c r="C433" s="10">
        <f>E431</f>
        <v>79</v>
      </c>
      <c r="D433" s="95">
        <f>5*A430</f>
        <v>2.916666666666667</v>
      </c>
      <c r="E433" s="122">
        <f>C433*D433</f>
        <v>230.41666666666669</v>
      </c>
      <c r="F433" s="96">
        <f>D433*0.8</f>
        <v>2.3333333333333335</v>
      </c>
      <c r="G433" s="122">
        <f>(C433*0.6+G$431*0.4)*D433</f>
        <v>251.41666666666671</v>
      </c>
      <c r="H433" s="122">
        <f>(C433*0.6+H$431*0.4)*D433</f>
        <v>506.91666666666674</v>
      </c>
      <c r="I433" s="94">
        <f>'Modell During mining'!$G427/1000000</f>
        <v>1.0170360000000001</v>
      </c>
      <c r="J433" s="94">
        <f>'Modell During mining'!$D427</f>
        <v>1.7309985093939644E-2</v>
      </c>
      <c r="K433" s="93">
        <v>0.95</v>
      </c>
      <c r="L433" s="93">
        <v>0.03</v>
      </c>
      <c r="M433" s="93">
        <v>0.31</v>
      </c>
      <c r="N433" s="93">
        <v>0.03</v>
      </c>
      <c r="O433" s="93">
        <v>1.26</v>
      </c>
      <c r="P433" s="93">
        <v>0.08</v>
      </c>
      <c r="Q433" s="93">
        <v>1.6</v>
      </c>
      <c r="R433" s="93">
        <v>0</v>
      </c>
      <c r="S433" s="93">
        <v>0.36</v>
      </c>
      <c r="T433" s="93">
        <f>$AF433</f>
        <v>0.04</v>
      </c>
      <c r="U433" s="93">
        <v>25.21</v>
      </c>
      <c r="V433" s="93">
        <f>$AF433</f>
        <v>0.04</v>
      </c>
      <c r="W433" s="93">
        <v>21.42</v>
      </c>
      <c r="X433" s="93">
        <f>$AF433</f>
        <v>0.04</v>
      </c>
      <c r="Y433" s="93">
        <v>0.11</v>
      </c>
      <c r="Z433" s="93">
        <f>$AF433</f>
        <v>0.04</v>
      </c>
      <c r="AA433" s="93">
        <v>5.8</v>
      </c>
      <c r="AB433" s="93">
        <f>$AF433</f>
        <v>0.04</v>
      </c>
      <c r="AC433" s="93">
        <v>1.7</v>
      </c>
      <c r="AD433" s="93">
        <f>$AF433</f>
        <v>0.04</v>
      </c>
      <c r="AE433" s="93">
        <v>1.84</v>
      </c>
      <c r="AF433" s="10">
        <v>0.04</v>
      </c>
      <c r="AG433" s="10">
        <f>S433+Y433+AA433+AC433</f>
        <v>7.97</v>
      </c>
      <c r="AH433" s="95">
        <f>I433+K433+M433+O433+Q433</f>
        <v>5.1370360000000002</v>
      </c>
      <c r="AI433" s="10">
        <v>0.04</v>
      </c>
      <c r="AJ433" s="10">
        <v>0.04</v>
      </c>
      <c r="AK433" s="10">
        <v>0.04</v>
      </c>
    </row>
    <row r="434" spans="1:37" x14ac:dyDescent="0.15">
      <c r="A434" s="10">
        <v>2015</v>
      </c>
      <c r="C434" s="10">
        <f>C433</f>
        <v>79</v>
      </c>
      <c r="D434" s="95">
        <f>5*A$80</f>
        <v>2.0833333333333335</v>
      </c>
      <c r="E434" s="122">
        <f t="shared" ref="E434:E464" si="125">C434*D434</f>
        <v>164.58333333333334</v>
      </c>
      <c r="F434" s="96">
        <f t="shared" ref="F434:F464" si="126">D434*0.8</f>
        <v>1.666666666666667</v>
      </c>
      <c r="G434" s="122">
        <f t="shared" ref="G434:G464" si="127">(C434*0.6+G$431*0.4)*D434</f>
        <v>179.58333333333334</v>
      </c>
      <c r="H434" s="122">
        <f t="shared" ref="H434:H464" si="128">(C434*0.6+H$431*0.4)*D434</f>
        <v>362.08333333333337</v>
      </c>
      <c r="I434" s="94">
        <f>'Modell During mining'!$G428/1000000</f>
        <v>0.59130000000000005</v>
      </c>
      <c r="J434" s="94">
        <f>'Modell During mining'!$D428</f>
        <v>0.02</v>
      </c>
      <c r="K434" s="93">
        <v>0</v>
      </c>
      <c r="L434" s="93">
        <v>0.03</v>
      </c>
      <c r="M434" s="93">
        <v>0.31</v>
      </c>
      <c r="N434" s="93">
        <v>0.03</v>
      </c>
      <c r="O434" s="93">
        <v>1.26</v>
      </c>
      <c r="P434" s="93">
        <v>0.08</v>
      </c>
      <c r="Q434" s="93">
        <v>0</v>
      </c>
      <c r="R434" s="93">
        <v>0</v>
      </c>
      <c r="S434" s="93">
        <v>0.36</v>
      </c>
      <c r="T434" s="98">
        <f t="shared" ref="T434:AD464" si="129">$AF434</f>
        <v>5.7848687794251494E-2</v>
      </c>
      <c r="U434" s="93">
        <v>25.21</v>
      </c>
      <c r="V434" s="98">
        <f t="shared" si="129"/>
        <v>5.7848687794251494E-2</v>
      </c>
      <c r="W434" s="93">
        <v>21.42</v>
      </c>
      <c r="X434" s="98">
        <f t="shared" si="129"/>
        <v>5.7848687794251494E-2</v>
      </c>
      <c r="Y434" s="93">
        <v>0.11</v>
      </c>
      <c r="Z434" s="98">
        <f t="shared" si="129"/>
        <v>5.7848687794251494E-2</v>
      </c>
      <c r="AA434" s="93">
        <v>5.8</v>
      </c>
      <c r="AB434" s="98">
        <f t="shared" si="129"/>
        <v>5.7848687794251494E-2</v>
      </c>
      <c r="AC434" s="93">
        <v>1.7</v>
      </c>
      <c r="AD434" s="98">
        <f t="shared" si="129"/>
        <v>5.7848687794251494E-2</v>
      </c>
      <c r="AE434" s="93">
        <v>1.84</v>
      </c>
      <c r="AF434" s="98">
        <f t="shared" ref="AF434:AF464" si="130">$AI434</f>
        <v>5.7848687794251494E-2</v>
      </c>
      <c r="AG434" s="10">
        <f t="shared" ref="AG434:AG464" si="131">S434+Y434+AA434+AC434</f>
        <v>7.97</v>
      </c>
      <c r="AH434" s="95">
        <f t="shared" ref="AH434:AH464" si="132">I434+K434+M434+O434+Q434</f>
        <v>2.1612999999999998</v>
      </c>
      <c r="AI434" s="171">
        <f>(($B433/1000+E433/1000+$I433*$J433+$K433*$L433+$M433*$N433+$O433*$P433-$S433*$T433)/($I433+$K433+$M433+$O433+$Q433+$I433-$S433)*$AH433+$AE433*$AF433)/($AH433+$AE433)</f>
        <v>5.7848687794251494E-2</v>
      </c>
      <c r="AJ434" s="171">
        <f>(($B433/1000+G433/1000+$I433*$J433+$K433*$L433+$M433*$N433+$O433*$P433-$S433*$T433)/($I433+$K433+$M433+$O433+$Q433+$I433-$S433)*$AH433+$AE433*$AF433)/($AH433+$AE433)</f>
        <v>6.0517248289033369E-2</v>
      </c>
      <c r="AK434" s="171">
        <f>(($B433/1000+H433/1000+$I433*$J433+$K433*$L433+$M433*$N433+$O433*$P433-$S433*$T433)/($I433+$K433+$M433+$O433+$Q433+$I433-$S433)*$AH433+$AE433*$AF433)/($AH433+$AE433)</f>
        <v>9.2984734308879546E-2</v>
      </c>
    </row>
    <row r="435" spans="1:37" x14ac:dyDescent="0.15">
      <c r="A435" s="10">
        <v>2015.5</v>
      </c>
      <c r="B435" s="10">
        <v>0</v>
      </c>
      <c r="C435" s="10">
        <f t="shared" ref="C435:C464" si="133">C434</f>
        <v>79</v>
      </c>
      <c r="D435" s="95">
        <f>5.5*A430</f>
        <v>3.2083333333333335</v>
      </c>
      <c r="E435" s="122">
        <f t="shared" si="125"/>
        <v>253.45833333333334</v>
      </c>
      <c r="F435" s="96">
        <f t="shared" si="126"/>
        <v>2.5666666666666669</v>
      </c>
      <c r="G435" s="122">
        <f t="shared" si="127"/>
        <v>276.55833333333334</v>
      </c>
      <c r="H435" s="122">
        <f t="shared" si="128"/>
        <v>557.60833333333335</v>
      </c>
      <c r="I435" s="94">
        <f>'Modell During mining'!$G429/1000000</f>
        <v>1.1187298666666667</v>
      </c>
      <c r="J435" s="94">
        <f>'Modell During mining'!$D429</f>
        <v>1.7446555403186997E-2</v>
      </c>
      <c r="K435" s="93">
        <v>0.95</v>
      </c>
      <c r="L435" s="93">
        <v>0.03</v>
      </c>
      <c r="M435" s="93">
        <v>0.31</v>
      </c>
      <c r="N435" s="93">
        <v>0.03</v>
      </c>
      <c r="O435" s="93">
        <v>1.26</v>
      </c>
      <c r="P435" s="93">
        <v>0.08</v>
      </c>
      <c r="Q435" s="93">
        <v>1.6</v>
      </c>
      <c r="R435" s="93">
        <v>0</v>
      </c>
      <c r="S435" s="93">
        <v>0.36</v>
      </c>
      <c r="T435" s="98">
        <f t="shared" si="129"/>
        <v>8.6582090997330052E-2</v>
      </c>
      <c r="U435" s="93">
        <v>25.21</v>
      </c>
      <c r="V435" s="98">
        <f t="shared" si="129"/>
        <v>8.6582090997330052E-2</v>
      </c>
      <c r="W435" s="93">
        <v>21.42</v>
      </c>
      <c r="X435" s="98">
        <f t="shared" si="129"/>
        <v>8.6582090997330052E-2</v>
      </c>
      <c r="Y435" s="93">
        <v>0.11</v>
      </c>
      <c r="Z435" s="98">
        <f t="shared" si="129"/>
        <v>8.6582090997330052E-2</v>
      </c>
      <c r="AA435" s="93">
        <v>5.8</v>
      </c>
      <c r="AB435" s="98">
        <f t="shared" si="129"/>
        <v>8.6582090997330052E-2</v>
      </c>
      <c r="AC435" s="93">
        <v>1.7</v>
      </c>
      <c r="AD435" s="98">
        <f t="shared" si="129"/>
        <v>8.6582090997330052E-2</v>
      </c>
      <c r="AE435" s="93">
        <v>1.84</v>
      </c>
      <c r="AF435" s="98">
        <f t="shared" si="130"/>
        <v>8.6582090997330052E-2</v>
      </c>
      <c r="AG435" s="10">
        <f t="shared" si="131"/>
        <v>7.97</v>
      </c>
      <c r="AH435" s="95">
        <f t="shared" si="132"/>
        <v>5.2387298666666666</v>
      </c>
      <c r="AI435" s="171">
        <f t="shared" ref="AI435:AI465" si="134">((B434/1000+E434/1000+I434*J434+K434*L434+M434*N434+O434*P434-S434*T434)/(I434+K434+M434+O434+Q434+I434-S434)*AH434+AE434*AF434)/(AH434+AE434)</f>
        <v>8.6582090997330052E-2</v>
      </c>
      <c r="AJ435" s="171">
        <f t="shared" ref="AJ435:AJ465" si="135">(($B434/1000+G434/1000+$I434*$J434+$K434*$L434+$M434*$N434+$O434*$P434-$S434*$T434)/($I434+$K434+$M434+$O434+$Q434+$I434-$S434)*$AH434+$AE434*$AF434)/($AH434+$AE434)</f>
        <v>8.9968466392893173E-2</v>
      </c>
      <c r="AK435" s="171">
        <f t="shared" ref="AK435:AK465" si="136">(($B434/1000+H434/1000+$I434*$J434+$K434*$L434+$M434*$N434+$O434*$P434-$S434*$T434)/($I434+$K434+$M434+$O434+$Q434+$I434-$S434)*$AH434+$AE434*$AF434)/($AH434+$AE434)</f>
        <v>0.13116936703891094</v>
      </c>
    </row>
    <row r="436" spans="1:37" x14ac:dyDescent="0.15">
      <c r="A436" s="10">
        <f>A434+1</f>
        <v>2016</v>
      </c>
      <c r="C436" s="10">
        <f t="shared" si="133"/>
        <v>79</v>
      </c>
      <c r="D436" s="95">
        <f>5*A$80</f>
        <v>2.0833333333333335</v>
      </c>
      <c r="E436" s="122">
        <f t="shared" si="125"/>
        <v>164.58333333333334</v>
      </c>
      <c r="F436" s="96">
        <f t="shared" si="126"/>
        <v>1.666666666666667</v>
      </c>
      <c r="G436" s="122">
        <f t="shared" si="127"/>
        <v>179.58333333333334</v>
      </c>
      <c r="H436" s="122">
        <f t="shared" si="128"/>
        <v>362.08333333333337</v>
      </c>
      <c r="I436" s="94">
        <f>'Modell During mining'!$G430/1000000</f>
        <v>0.65943333333333343</v>
      </c>
      <c r="J436" s="94">
        <f>'Modell During mining'!$D430</f>
        <v>0.02</v>
      </c>
      <c r="K436" s="93">
        <v>0</v>
      </c>
      <c r="L436" s="93">
        <v>0.03</v>
      </c>
      <c r="M436" s="93">
        <v>0.31</v>
      </c>
      <c r="N436" s="93">
        <v>0.03</v>
      </c>
      <c r="O436" s="93">
        <v>1.26</v>
      </c>
      <c r="P436" s="93">
        <v>0.08</v>
      </c>
      <c r="Q436" s="93">
        <v>0</v>
      </c>
      <c r="R436" s="93">
        <v>0</v>
      </c>
      <c r="S436" s="93">
        <v>0.36</v>
      </c>
      <c r="T436" s="98">
        <f t="shared" si="129"/>
        <v>6.9446513167627608E-2</v>
      </c>
      <c r="U436" s="93">
        <v>25.21</v>
      </c>
      <c r="V436" s="98">
        <f t="shared" si="129"/>
        <v>6.9446513167627608E-2</v>
      </c>
      <c r="W436" s="93">
        <v>21.42</v>
      </c>
      <c r="X436" s="98">
        <f t="shared" si="129"/>
        <v>6.9446513167627608E-2</v>
      </c>
      <c r="Y436" s="93">
        <v>0.11</v>
      </c>
      <c r="Z436" s="98">
        <f t="shared" si="129"/>
        <v>6.9446513167627608E-2</v>
      </c>
      <c r="AA436" s="93">
        <v>5.8</v>
      </c>
      <c r="AB436" s="98">
        <f t="shared" si="129"/>
        <v>6.9446513167627608E-2</v>
      </c>
      <c r="AC436" s="93">
        <v>1.7</v>
      </c>
      <c r="AD436" s="98">
        <f t="shared" si="129"/>
        <v>6.9446513167627608E-2</v>
      </c>
      <c r="AE436" s="93">
        <v>1.84</v>
      </c>
      <c r="AF436" s="98">
        <f t="shared" si="130"/>
        <v>6.9446513167627608E-2</v>
      </c>
      <c r="AG436" s="10">
        <f t="shared" si="131"/>
        <v>7.97</v>
      </c>
      <c r="AH436" s="95">
        <f t="shared" si="132"/>
        <v>2.2294333333333336</v>
      </c>
      <c r="AI436" s="171">
        <f t="shared" si="134"/>
        <v>6.9446513167627608E-2</v>
      </c>
      <c r="AJ436" s="171">
        <f t="shared" si="135"/>
        <v>7.2296975487353476E-2</v>
      </c>
      <c r="AK436" s="171">
        <f t="shared" si="136"/>
        <v>0.10697760037735157</v>
      </c>
    </row>
    <row r="437" spans="1:37" x14ac:dyDescent="0.15">
      <c r="A437" s="10">
        <v>2016.5</v>
      </c>
      <c r="B437" s="10">
        <v>0</v>
      </c>
      <c r="C437" s="10">
        <f t="shared" si="133"/>
        <v>79</v>
      </c>
      <c r="D437" s="95">
        <f>6.5*A430</f>
        <v>3.791666666666667</v>
      </c>
      <c r="E437" s="122">
        <f t="shared" si="125"/>
        <v>299.54166666666669</v>
      </c>
      <c r="F437" s="96">
        <f t="shared" si="126"/>
        <v>3.0333333333333337</v>
      </c>
      <c r="G437" s="122">
        <f t="shared" si="127"/>
        <v>326.8416666666667</v>
      </c>
      <c r="H437" s="122">
        <f t="shared" si="128"/>
        <v>658.99166666666679</v>
      </c>
      <c r="I437" s="94">
        <f>'Modell During mining'!$G431/1000000</f>
        <v>1.2204237333333334</v>
      </c>
      <c r="J437" s="94">
        <f>'Modell During mining'!$D431</f>
        <v>1.7560365809558165E-2</v>
      </c>
      <c r="K437" s="93">
        <v>0.95</v>
      </c>
      <c r="L437" s="93">
        <v>0.03</v>
      </c>
      <c r="M437" s="93">
        <v>0.31</v>
      </c>
      <c r="N437" s="93">
        <v>0.03</v>
      </c>
      <c r="O437" s="93">
        <v>1.26</v>
      </c>
      <c r="P437" s="93">
        <v>0.08</v>
      </c>
      <c r="Q437" s="93">
        <v>1.6</v>
      </c>
      <c r="R437" s="93">
        <v>0</v>
      </c>
      <c r="S437" s="93">
        <v>0.36</v>
      </c>
      <c r="T437" s="98">
        <f t="shared" si="129"/>
        <v>8.8348239211494428E-2</v>
      </c>
      <c r="U437" s="93">
        <v>25.21</v>
      </c>
      <c r="V437" s="98">
        <f t="shared" si="129"/>
        <v>8.8348239211494428E-2</v>
      </c>
      <c r="W437" s="93">
        <v>21.42</v>
      </c>
      <c r="X437" s="98">
        <f t="shared" si="129"/>
        <v>8.8348239211494428E-2</v>
      </c>
      <c r="Y437" s="93">
        <v>0.11</v>
      </c>
      <c r="Z437" s="98">
        <f t="shared" si="129"/>
        <v>8.8348239211494428E-2</v>
      </c>
      <c r="AA437" s="93">
        <v>5.8</v>
      </c>
      <c r="AB437" s="98">
        <f t="shared" si="129"/>
        <v>8.8348239211494428E-2</v>
      </c>
      <c r="AC437" s="93">
        <v>1.7</v>
      </c>
      <c r="AD437" s="98">
        <f t="shared" si="129"/>
        <v>8.8348239211494428E-2</v>
      </c>
      <c r="AE437" s="93">
        <v>1.84</v>
      </c>
      <c r="AF437" s="98">
        <f t="shared" si="130"/>
        <v>8.8348239211494428E-2</v>
      </c>
      <c r="AG437" s="10">
        <f t="shared" si="131"/>
        <v>7.97</v>
      </c>
      <c r="AH437" s="95">
        <f t="shared" si="132"/>
        <v>5.3404237333333331</v>
      </c>
      <c r="AI437" s="171">
        <f t="shared" si="134"/>
        <v>8.8348239211494428E-2</v>
      </c>
      <c r="AJ437" s="171">
        <f t="shared" si="135"/>
        <v>9.1597809080260439E-2</v>
      </c>
      <c r="AK437" s="171">
        <f t="shared" si="136"/>
        <v>0.1311342424835803</v>
      </c>
    </row>
    <row r="438" spans="1:37" x14ac:dyDescent="0.15">
      <c r="A438" s="10">
        <f>A436+1</f>
        <v>2017</v>
      </c>
      <c r="C438" s="10">
        <f t="shared" si="133"/>
        <v>79</v>
      </c>
      <c r="D438" s="95">
        <f>5*A$80</f>
        <v>2.0833333333333335</v>
      </c>
      <c r="E438" s="122">
        <f t="shared" si="125"/>
        <v>164.58333333333334</v>
      </c>
      <c r="F438" s="96">
        <f t="shared" si="126"/>
        <v>1.666666666666667</v>
      </c>
      <c r="G438" s="122">
        <f t="shared" si="127"/>
        <v>179.58333333333334</v>
      </c>
      <c r="H438" s="122">
        <f t="shared" si="128"/>
        <v>362.08333333333337</v>
      </c>
      <c r="I438" s="94">
        <f>'Modell During mining'!$G432/1000000</f>
        <v>0.72756666666666669</v>
      </c>
      <c r="J438" s="94">
        <f>'Modell During mining'!$D432</f>
        <v>0.02</v>
      </c>
      <c r="K438" s="93">
        <v>0</v>
      </c>
      <c r="L438" s="93">
        <v>0.03</v>
      </c>
      <c r="M438" s="93">
        <v>0.31</v>
      </c>
      <c r="N438" s="93">
        <v>0.03</v>
      </c>
      <c r="O438" s="93">
        <v>1.26</v>
      </c>
      <c r="P438" s="93">
        <v>0.08</v>
      </c>
      <c r="Q438" s="93">
        <v>0</v>
      </c>
      <c r="R438" s="93">
        <v>0</v>
      </c>
      <c r="S438" s="93">
        <v>0.36</v>
      </c>
      <c r="T438" s="98">
        <f t="shared" si="129"/>
        <v>7.3947105244383582E-2</v>
      </c>
      <c r="U438" s="93">
        <v>25.21</v>
      </c>
      <c r="V438" s="98">
        <f t="shared" si="129"/>
        <v>7.3947105244383582E-2</v>
      </c>
      <c r="W438" s="93">
        <v>21.42</v>
      </c>
      <c r="X438" s="98">
        <f t="shared" si="129"/>
        <v>7.3947105244383582E-2</v>
      </c>
      <c r="Y438" s="93">
        <v>0.11</v>
      </c>
      <c r="Z438" s="98">
        <f t="shared" si="129"/>
        <v>7.3947105244383582E-2</v>
      </c>
      <c r="AA438" s="93">
        <v>5.8</v>
      </c>
      <c r="AB438" s="98">
        <f t="shared" si="129"/>
        <v>7.3947105244383582E-2</v>
      </c>
      <c r="AC438" s="93">
        <v>1.7</v>
      </c>
      <c r="AD438" s="98">
        <f t="shared" si="129"/>
        <v>7.3947105244383582E-2</v>
      </c>
      <c r="AE438" s="93">
        <v>1.84</v>
      </c>
      <c r="AF438" s="98">
        <f t="shared" si="130"/>
        <v>7.3947105244383582E-2</v>
      </c>
      <c r="AG438" s="10">
        <f t="shared" si="131"/>
        <v>7.97</v>
      </c>
      <c r="AH438" s="95">
        <f t="shared" si="132"/>
        <v>2.2975666666666665</v>
      </c>
      <c r="AI438" s="171">
        <f t="shared" si="134"/>
        <v>7.3947105244383582E-2</v>
      </c>
      <c r="AJ438" s="171">
        <f t="shared" si="135"/>
        <v>7.7221546792345927E-2</v>
      </c>
      <c r="AK438" s="171">
        <f t="shared" si="136"/>
        <v>0.11706058562588791</v>
      </c>
    </row>
    <row r="439" spans="1:37" x14ac:dyDescent="0.15">
      <c r="A439" s="10">
        <f>A438+0.5</f>
        <v>2017.5</v>
      </c>
      <c r="B439" s="10">
        <v>0</v>
      </c>
      <c r="C439" s="10">
        <f t="shared" si="133"/>
        <v>79</v>
      </c>
      <c r="D439" s="95">
        <f>6.8*A$79</f>
        <v>3.9666666666666668</v>
      </c>
      <c r="E439" s="122">
        <f t="shared" si="125"/>
        <v>313.36666666666667</v>
      </c>
      <c r="F439" s="96">
        <f t="shared" si="126"/>
        <v>3.1733333333333338</v>
      </c>
      <c r="G439" s="122">
        <f t="shared" si="127"/>
        <v>341.92666666666668</v>
      </c>
      <c r="H439" s="122">
        <f t="shared" si="128"/>
        <v>689.40666666666675</v>
      </c>
      <c r="I439" s="94">
        <f>'Modell During mining'!$G433/1000000</f>
        <v>1.3221176000000001</v>
      </c>
      <c r="J439" s="94">
        <f>'Modell During mining'!$D433</f>
        <v>1.7656668211662865E-2</v>
      </c>
      <c r="K439" s="93">
        <v>0.95</v>
      </c>
      <c r="L439" s="93">
        <v>0.03</v>
      </c>
      <c r="M439" s="93">
        <v>0.31</v>
      </c>
      <c r="N439" s="93">
        <v>0.03</v>
      </c>
      <c r="O439" s="93">
        <v>1.26</v>
      </c>
      <c r="P439" s="93">
        <v>0.08</v>
      </c>
      <c r="Q439" s="93">
        <v>1.6</v>
      </c>
      <c r="R439" s="93">
        <v>0</v>
      </c>
      <c r="S439" s="93">
        <v>0.36</v>
      </c>
      <c r="T439" s="98">
        <f t="shared" si="129"/>
        <v>8.7601619190803073E-2</v>
      </c>
      <c r="U439" s="93">
        <v>25.21</v>
      </c>
      <c r="V439" s="98">
        <f t="shared" si="129"/>
        <v>8.7601619190803073E-2</v>
      </c>
      <c r="W439" s="93">
        <v>21.42</v>
      </c>
      <c r="X439" s="98">
        <f t="shared" si="129"/>
        <v>8.7601619190803073E-2</v>
      </c>
      <c r="Y439" s="93">
        <v>0.11</v>
      </c>
      <c r="Z439" s="98">
        <f t="shared" si="129"/>
        <v>8.7601619190803073E-2</v>
      </c>
      <c r="AA439" s="93">
        <v>5.8</v>
      </c>
      <c r="AB439" s="98">
        <f t="shared" si="129"/>
        <v>8.7601619190803073E-2</v>
      </c>
      <c r="AC439" s="93">
        <v>1.7</v>
      </c>
      <c r="AD439" s="98">
        <f t="shared" si="129"/>
        <v>8.7601619190803073E-2</v>
      </c>
      <c r="AE439" s="93">
        <v>1.84</v>
      </c>
      <c r="AF439" s="98">
        <f t="shared" si="130"/>
        <v>8.7601619190803073E-2</v>
      </c>
      <c r="AG439" s="10">
        <f t="shared" si="131"/>
        <v>7.97</v>
      </c>
      <c r="AH439" s="95">
        <f t="shared" si="132"/>
        <v>5.4421175999999996</v>
      </c>
      <c r="AI439" s="171">
        <f t="shared" si="134"/>
        <v>8.7601619190803073E-2</v>
      </c>
      <c r="AJ439" s="171">
        <f t="shared" si="135"/>
        <v>9.0726945985355745E-2</v>
      </c>
      <c r="AK439" s="171">
        <f t="shared" si="136"/>
        <v>0.12875175531908006</v>
      </c>
    </row>
    <row r="440" spans="1:37" x14ac:dyDescent="0.15">
      <c r="A440" s="10">
        <f>A438+1</f>
        <v>2018</v>
      </c>
      <c r="C440" s="10">
        <f t="shared" si="133"/>
        <v>79</v>
      </c>
      <c r="D440" s="95">
        <f>5*A$80</f>
        <v>2.0833333333333335</v>
      </c>
      <c r="E440" s="122">
        <f t="shared" si="125"/>
        <v>164.58333333333334</v>
      </c>
      <c r="F440" s="96">
        <f t="shared" si="126"/>
        <v>1.666666666666667</v>
      </c>
      <c r="G440" s="122">
        <f t="shared" si="127"/>
        <v>179.58333333333334</v>
      </c>
      <c r="H440" s="122">
        <f t="shared" si="128"/>
        <v>362.08333333333337</v>
      </c>
      <c r="I440" s="94">
        <f>'Modell During mining'!$G434/1000000</f>
        <v>0.79570000000000007</v>
      </c>
      <c r="J440" s="94">
        <f>'Modell During mining'!$D434</f>
        <v>1.9999999999999997E-2</v>
      </c>
      <c r="K440" s="93">
        <v>0</v>
      </c>
      <c r="L440" s="93">
        <v>0.03</v>
      </c>
      <c r="M440" s="93">
        <v>0.31</v>
      </c>
      <c r="N440" s="93">
        <v>0.03</v>
      </c>
      <c r="O440" s="93">
        <v>1.26</v>
      </c>
      <c r="P440" s="93">
        <v>0.08</v>
      </c>
      <c r="Q440" s="93">
        <v>0</v>
      </c>
      <c r="R440" s="93">
        <v>0</v>
      </c>
      <c r="S440" s="93">
        <v>0.36</v>
      </c>
      <c r="T440" s="98">
        <f t="shared" si="129"/>
        <v>7.3919761723989966E-2</v>
      </c>
      <c r="U440" s="93">
        <v>25.21</v>
      </c>
      <c r="V440" s="98">
        <f t="shared" si="129"/>
        <v>7.3919761723989966E-2</v>
      </c>
      <c r="W440" s="93">
        <v>21.42</v>
      </c>
      <c r="X440" s="98">
        <f t="shared" si="129"/>
        <v>7.3919761723989966E-2</v>
      </c>
      <c r="Y440" s="93">
        <v>0.11</v>
      </c>
      <c r="Z440" s="98">
        <f t="shared" si="129"/>
        <v>7.3919761723989966E-2</v>
      </c>
      <c r="AA440" s="93">
        <v>5.8</v>
      </c>
      <c r="AB440" s="98">
        <f t="shared" si="129"/>
        <v>7.3919761723989966E-2</v>
      </c>
      <c r="AC440" s="93">
        <v>1.7</v>
      </c>
      <c r="AD440" s="98">
        <f t="shared" si="129"/>
        <v>7.3919761723989966E-2</v>
      </c>
      <c r="AE440" s="93">
        <v>1.84</v>
      </c>
      <c r="AF440" s="98">
        <f t="shared" si="130"/>
        <v>7.3919761723989966E-2</v>
      </c>
      <c r="AG440" s="10">
        <f t="shared" si="131"/>
        <v>7.97</v>
      </c>
      <c r="AH440" s="95">
        <f t="shared" si="132"/>
        <v>2.3657000000000004</v>
      </c>
      <c r="AI440" s="171">
        <f t="shared" si="134"/>
        <v>7.3919761723989966E-2</v>
      </c>
      <c r="AJ440" s="171">
        <f t="shared" si="135"/>
        <v>7.7252499651963569E-2</v>
      </c>
      <c r="AK440" s="171">
        <f t="shared" si="136"/>
        <v>0.11780081110897583</v>
      </c>
    </row>
    <row r="441" spans="1:37" x14ac:dyDescent="0.15">
      <c r="A441" s="10">
        <f>A440+0.5</f>
        <v>2018.5</v>
      </c>
      <c r="B441" s="10">
        <v>0</v>
      </c>
      <c r="C441" s="10">
        <f t="shared" si="133"/>
        <v>79</v>
      </c>
      <c r="D441" s="95">
        <f>6.8*A$79</f>
        <v>3.9666666666666668</v>
      </c>
      <c r="E441" s="122">
        <f t="shared" si="125"/>
        <v>313.36666666666667</v>
      </c>
      <c r="F441" s="96">
        <f t="shared" si="126"/>
        <v>3.1733333333333338</v>
      </c>
      <c r="G441" s="122">
        <f t="shared" si="127"/>
        <v>341.92666666666668</v>
      </c>
      <c r="H441" s="122">
        <f t="shared" si="128"/>
        <v>689.40666666666675</v>
      </c>
      <c r="I441" s="94">
        <f>'Modell During mining'!$G435/1000000</f>
        <v>1.4238114666666668</v>
      </c>
      <c r="J441" s="94">
        <f>'Modell During mining'!$D435</f>
        <v>1.773921406822963E-2</v>
      </c>
      <c r="K441" s="93">
        <v>0.95</v>
      </c>
      <c r="L441" s="93">
        <v>0.03</v>
      </c>
      <c r="M441" s="93">
        <v>0.31</v>
      </c>
      <c r="N441" s="93">
        <v>0.03</v>
      </c>
      <c r="O441" s="93">
        <v>1.26</v>
      </c>
      <c r="P441" s="93">
        <v>0.08</v>
      </c>
      <c r="Q441" s="93">
        <v>3.6</v>
      </c>
      <c r="R441" s="93">
        <v>0</v>
      </c>
      <c r="S441" s="93">
        <v>0.36</v>
      </c>
      <c r="T441" s="98">
        <f t="shared" si="129"/>
        <v>8.5346308148775196E-2</v>
      </c>
      <c r="U441" s="93">
        <v>25.21</v>
      </c>
      <c r="V441" s="98">
        <f t="shared" si="129"/>
        <v>8.5346308148775196E-2</v>
      </c>
      <c r="W441" s="93">
        <v>21.42</v>
      </c>
      <c r="X441" s="98">
        <f t="shared" si="129"/>
        <v>8.5346308148775196E-2</v>
      </c>
      <c r="Y441" s="93">
        <v>0.11</v>
      </c>
      <c r="Z441" s="98">
        <f t="shared" si="129"/>
        <v>8.5346308148775196E-2</v>
      </c>
      <c r="AA441" s="93">
        <v>5.8</v>
      </c>
      <c r="AB441" s="98">
        <f t="shared" si="129"/>
        <v>8.5346308148775196E-2</v>
      </c>
      <c r="AC441" s="93">
        <v>1.7</v>
      </c>
      <c r="AD441" s="98">
        <f t="shared" si="129"/>
        <v>8.5346308148775196E-2</v>
      </c>
      <c r="AE441" s="93">
        <v>1.84</v>
      </c>
      <c r="AF441" s="98">
        <f t="shared" si="130"/>
        <v>8.5346308148775196E-2</v>
      </c>
      <c r="AG441" s="10">
        <f t="shared" si="131"/>
        <v>7.97</v>
      </c>
      <c r="AH441" s="95">
        <f t="shared" si="132"/>
        <v>7.5438114666666678</v>
      </c>
      <c r="AI441" s="171">
        <f t="shared" si="134"/>
        <v>8.5346308148775196E-2</v>
      </c>
      <c r="AJ441" s="171">
        <f t="shared" si="135"/>
        <v>8.8358187105305408E-2</v>
      </c>
      <c r="AK441" s="171">
        <f t="shared" si="136"/>
        <v>0.12500271440975633</v>
      </c>
    </row>
    <row r="442" spans="1:37" x14ac:dyDescent="0.15">
      <c r="A442" s="10">
        <f>A440+1</f>
        <v>2019</v>
      </c>
      <c r="C442" s="10">
        <f t="shared" si="133"/>
        <v>79</v>
      </c>
      <c r="D442" s="95">
        <f>5*A$80</f>
        <v>2.0833333333333335</v>
      </c>
      <c r="E442" s="122">
        <f t="shared" si="125"/>
        <v>164.58333333333334</v>
      </c>
      <c r="F442" s="96">
        <f t="shared" si="126"/>
        <v>1.666666666666667</v>
      </c>
      <c r="G442" s="122">
        <f t="shared" si="127"/>
        <v>179.58333333333334</v>
      </c>
      <c r="H442" s="122">
        <f t="shared" si="128"/>
        <v>362.08333333333337</v>
      </c>
      <c r="I442" s="94">
        <f>'Modell During mining'!$G436/1000000</f>
        <v>0.86383333333333345</v>
      </c>
      <c r="J442" s="94">
        <f>'Modell During mining'!$D436</f>
        <v>0.02</v>
      </c>
      <c r="K442" s="93">
        <v>0</v>
      </c>
      <c r="L442" s="93">
        <v>0.03</v>
      </c>
      <c r="M442" s="93">
        <v>0.31</v>
      </c>
      <c r="N442" s="93">
        <v>0.03</v>
      </c>
      <c r="O442" s="93">
        <v>1.26</v>
      </c>
      <c r="P442" s="93">
        <v>0.08</v>
      </c>
      <c r="Q442" s="93">
        <v>0</v>
      </c>
      <c r="R442" s="93">
        <v>0</v>
      </c>
      <c r="S442" s="93">
        <v>0.36</v>
      </c>
      <c r="T442" s="98">
        <f t="shared" si="129"/>
        <v>5.8436158362051141E-2</v>
      </c>
      <c r="U442" s="93">
        <v>25.21</v>
      </c>
      <c r="V442" s="98">
        <f t="shared" si="129"/>
        <v>5.8436158362051141E-2</v>
      </c>
      <c r="W442" s="93">
        <v>21.42</v>
      </c>
      <c r="X442" s="98">
        <f t="shared" si="129"/>
        <v>5.8436158362051141E-2</v>
      </c>
      <c r="Y442" s="93">
        <v>0.11</v>
      </c>
      <c r="Z442" s="98">
        <f t="shared" si="129"/>
        <v>5.8436158362051141E-2</v>
      </c>
      <c r="AA442" s="93">
        <v>5.8</v>
      </c>
      <c r="AB442" s="98">
        <f t="shared" si="129"/>
        <v>5.8436158362051141E-2</v>
      </c>
      <c r="AC442" s="93">
        <v>1.7</v>
      </c>
      <c r="AD442" s="98">
        <f t="shared" si="129"/>
        <v>5.8436158362051141E-2</v>
      </c>
      <c r="AE442" s="93">
        <v>1.84</v>
      </c>
      <c r="AF442" s="98">
        <f t="shared" si="130"/>
        <v>5.8436158362051141E-2</v>
      </c>
      <c r="AG442" s="10">
        <f t="shared" si="131"/>
        <v>7.97</v>
      </c>
      <c r="AH442" s="95">
        <f t="shared" si="132"/>
        <v>2.4338333333333333</v>
      </c>
      <c r="AI442" s="171">
        <f t="shared" si="134"/>
        <v>5.8436158362051141E-2</v>
      </c>
      <c r="AJ442" s="171">
        <f t="shared" si="135"/>
        <v>6.1103548379751724E-2</v>
      </c>
      <c r="AK442" s="171">
        <f t="shared" si="136"/>
        <v>9.3556793595108836E-2</v>
      </c>
    </row>
    <row r="443" spans="1:37" x14ac:dyDescent="0.15">
      <c r="A443" s="10">
        <f>A442+0.5</f>
        <v>2019.5</v>
      </c>
      <c r="B443" s="10">
        <v>0</v>
      </c>
      <c r="C443" s="10">
        <f t="shared" si="133"/>
        <v>79</v>
      </c>
      <c r="D443" s="95">
        <f>6.8*A$79</f>
        <v>3.9666666666666668</v>
      </c>
      <c r="E443" s="122">
        <f t="shared" si="125"/>
        <v>313.36666666666667</v>
      </c>
      <c r="F443" s="96">
        <f t="shared" si="126"/>
        <v>3.1733333333333338</v>
      </c>
      <c r="G443" s="122">
        <f t="shared" si="127"/>
        <v>341.92666666666668</v>
      </c>
      <c r="H443" s="122">
        <f t="shared" si="128"/>
        <v>689.40666666666675</v>
      </c>
      <c r="I443" s="94">
        <f>'Modell During mining'!$G437/1000000</f>
        <v>1.5255053333333335</v>
      </c>
      <c r="J443" s="94">
        <f>'Modell During mining'!$D437</f>
        <v>1.7810754512821544E-2</v>
      </c>
      <c r="K443" s="93">
        <v>0.95</v>
      </c>
      <c r="L443" s="93">
        <v>0.03</v>
      </c>
      <c r="M443" s="93">
        <v>0.31</v>
      </c>
      <c r="N443" s="93">
        <v>0.03</v>
      </c>
      <c r="O443" s="93">
        <v>1.26</v>
      </c>
      <c r="P443" s="93">
        <v>0.08</v>
      </c>
      <c r="Q443" s="93">
        <v>1.6</v>
      </c>
      <c r="R443" s="93">
        <v>0</v>
      </c>
      <c r="S443" s="93">
        <v>0.36</v>
      </c>
      <c r="T443" s="98">
        <f t="shared" si="129"/>
        <v>7.7677351838445569E-2</v>
      </c>
      <c r="U443" s="93">
        <v>25.21</v>
      </c>
      <c r="V443" s="98">
        <f t="shared" si="129"/>
        <v>7.7677351838445569E-2</v>
      </c>
      <c r="W443" s="93">
        <v>21.42</v>
      </c>
      <c r="X443" s="98">
        <f t="shared" si="129"/>
        <v>7.7677351838445569E-2</v>
      </c>
      <c r="Y443" s="93">
        <v>0.11</v>
      </c>
      <c r="Z443" s="98">
        <f t="shared" si="129"/>
        <v>7.7677351838445569E-2</v>
      </c>
      <c r="AA443" s="93">
        <v>5.8</v>
      </c>
      <c r="AB443" s="98">
        <f t="shared" si="129"/>
        <v>7.7677351838445569E-2</v>
      </c>
      <c r="AC443" s="93">
        <v>1.7</v>
      </c>
      <c r="AD443" s="98">
        <f t="shared" si="129"/>
        <v>7.7677351838445569E-2</v>
      </c>
      <c r="AE443" s="93">
        <v>1.84</v>
      </c>
      <c r="AF443" s="98">
        <f t="shared" si="130"/>
        <v>7.7677351838445569E-2</v>
      </c>
      <c r="AG443" s="10">
        <f t="shared" si="131"/>
        <v>7.97</v>
      </c>
      <c r="AH443" s="95">
        <f t="shared" si="132"/>
        <v>5.6455053333333343</v>
      </c>
      <c r="AI443" s="171">
        <f t="shared" si="134"/>
        <v>7.7677351838445569E-2</v>
      </c>
      <c r="AJ443" s="171">
        <f t="shared" si="135"/>
        <v>8.0585134860745963E-2</v>
      </c>
      <c r="AK443" s="171">
        <f t="shared" si="136"/>
        <v>0.11596316163206728</v>
      </c>
    </row>
    <row r="444" spans="1:37" x14ac:dyDescent="0.15">
      <c r="A444" s="10">
        <f>A442+1</f>
        <v>2020</v>
      </c>
      <c r="C444" s="10">
        <f t="shared" si="133"/>
        <v>79</v>
      </c>
      <c r="D444" s="95">
        <f>5*A$80</f>
        <v>2.0833333333333335</v>
      </c>
      <c r="E444" s="122">
        <f t="shared" si="125"/>
        <v>164.58333333333334</v>
      </c>
      <c r="F444" s="96">
        <f t="shared" si="126"/>
        <v>1.666666666666667</v>
      </c>
      <c r="G444" s="122">
        <f t="shared" si="127"/>
        <v>179.58333333333334</v>
      </c>
      <c r="H444" s="122">
        <f t="shared" si="128"/>
        <v>362.08333333333337</v>
      </c>
      <c r="I444" s="94">
        <f>'Modell During mining'!$G438/1000000</f>
        <v>0.93196666666666683</v>
      </c>
      <c r="J444" s="94">
        <f>'Modell During mining'!$D438</f>
        <v>0.02</v>
      </c>
      <c r="K444" s="93">
        <v>0</v>
      </c>
      <c r="L444" s="93">
        <v>0.03</v>
      </c>
      <c r="M444" s="93">
        <v>0.31</v>
      </c>
      <c r="N444" s="93">
        <v>0.03</v>
      </c>
      <c r="O444" s="93">
        <v>1.26</v>
      </c>
      <c r="P444" s="93">
        <v>0.08</v>
      </c>
      <c r="Q444" s="93">
        <v>0</v>
      </c>
      <c r="R444" s="93">
        <v>0</v>
      </c>
      <c r="S444" s="93">
        <v>0.36</v>
      </c>
      <c r="T444" s="98">
        <f t="shared" si="129"/>
        <v>6.9052711891308849E-2</v>
      </c>
      <c r="U444" s="93">
        <v>25.21</v>
      </c>
      <c r="V444" s="98">
        <f t="shared" si="129"/>
        <v>6.9052711891308849E-2</v>
      </c>
      <c r="W444" s="93">
        <v>21.42</v>
      </c>
      <c r="X444" s="98">
        <f t="shared" si="129"/>
        <v>6.9052711891308849E-2</v>
      </c>
      <c r="Y444" s="93">
        <v>0.11</v>
      </c>
      <c r="Z444" s="98">
        <f t="shared" si="129"/>
        <v>6.9052711891308849E-2</v>
      </c>
      <c r="AA444" s="93">
        <v>5.8</v>
      </c>
      <c r="AB444" s="98">
        <f t="shared" si="129"/>
        <v>6.9052711891308849E-2</v>
      </c>
      <c r="AC444" s="93">
        <v>1.7</v>
      </c>
      <c r="AD444" s="98">
        <f t="shared" si="129"/>
        <v>6.9052711891308849E-2</v>
      </c>
      <c r="AE444" s="93">
        <v>1.84</v>
      </c>
      <c r="AF444" s="98">
        <f t="shared" si="130"/>
        <v>6.9052711891308849E-2</v>
      </c>
      <c r="AG444" s="10">
        <f t="shared" si="131"/>
        <v>7.97</v>
      </c>
      <c r="AH444" s="95">
        <f t="shared" si="132"/>
        <v>2.5019666666666671</v>
      </c>
      <c r="AI444" s="171">
        <f t="shared" si="134"/>
        <v>6.9052711891308849E-2</v>
      </c>
      <c r="AJ444" s="171">
        <f t="shared" si="135"/>
        <v>7.2215195917602337E-2</v>
      </c>
      <c r="AK444" s="171">
        <f t="shared" si="136"/>
        <v>0.11069208490417314</v>
      </c>
    </row>
    <row r="445" spans="1:37" x14ac:dyDescent="0.15">
      <c r="A445" s="10">
        <f>A444+0.5</f>
        <v>2020.5</v>
      </c>
      <c r="B445" s="10">
        <v>0</v>
      </c>
      <c r="C445" s="10">
        <f t="shared" si="133"/>
        <v>79</v>
      </c>
      <c r="D445" s="95">
        <f>6.8*A$79</f>
        <v>3.9666666666666668</v>
      </c>
      <c r="E445" s="122">
        <f t="shared" si="125"/>
        <v>313.36666666666667</v>
      </c>
      <c r="F445" s="96">
        <f t="shared" si="126"/>
        <v>3.1733333333333338</v>
      </c>
      <c r="G445" s="122">
        <f t="shared" si="127"/>
        <v>341.92666666666668</v>
      </c>
      <c r="H445" s="122">
        <f t="shared" si="128"/>
        <v>689.40666666666675</v>
      </c>
      <c r="I445" s="94">
        <f>'Modell During mining'!$G439/1000000</f>
        <v>1.6271992000000002</v>
      </c>
      <c r="J445" s="94">
        <f>'Modell During mining'!$D439</f>
        <v>1.7873352936751689E-2</v>
      </c>
      <c r="K445" s="93">
        <v>0.95</v>
      </c>
      <c r="L445" s="93">
        <v>0.03</v>
      </c>
      <c r="M445" s="93">
        <v>0.31</v>
      </c>
      <c r="N445" s="93">
        <v>0.03</v>
      </c>
      <c r="O445" s="93">
        <v>1.26</v>
      </c>
      <c r="P445" s="93">
        <v>0.08</v>
      </c>
      <c r="Q445" s="93">
        <v>1.6</v>
      </c>
      <c r="R445" s="93">
        <v>0</v>
      </c>
      <c r="S445" s="93">
        <v>0.36</v>
      </c>
      <c r="T445" s="98">
        <f t="shared" si="129"/>
        <v>7.958781755261049E-2</v>
      </c>
      <c r="U445" s="93">
        <v>25.21</v>
      </c>
      <c r="V445" s="98">
        <f t="shared" si="129"/>
        <v>7.958781755261049E-2</v>
      </c>
      <c r="W445" s="93">
        <v>21.42</v>
      </c>
      <c r="X445" s="98">
        <f t="shared" si="129"/>
        <v>7.958781755261049E-2</v>
      </c>
      <c r="Y445" s="93">
        <v>0.11</v>
      </c>
      <c r="Z445" s="98">
        <f t="shared" si="129"/>
        <v>7.958781755261049E-2</v>
      </c>
      <c r="AA445" s="93">
        <v>5.8</v>
      </c>
      <c r="AB445" s="98">
        <f t="shared" si="129"/>
        <v>7.958781755261049E-2</v>
      </c>
      <c r="AC445" s="93">
        <v>1.7</v>
      </c>
      <c r="AD445" s="98">
        <f t="shared" si="129"/>
        <v>7.958781755261049E-2</v>
      </c>
      <c r="AE445" s="93">
        <v>1.84</v>
      </c>
      <c r="AF445" s="98">
        <f t="shared" si="130"/>
        <v>7.958781755261049E-2</v>
      </c>
      <c r="AG445" s="10">
        <f t="shared" si="131"/>
        <v>7.97</v>
      </c>
      <c r="AH445" s="95">
        <f t="shared" si="132"/>
        <v>5.7471992000000007</v>
      </c>
      <c r="AI445" s="171">
        <f t="shared" si="134"/>
        <v>7.958781755261049E-2</v>
      </c>
      <c r="AJ445" s="171">
        <f t="shared" si="135"/>
        <v>8.239966560846812E-2</v>
      </c>
      <c r="AK445" s="171">
        <f t="shared" si="136"/>
        <v>0.11661048362140244</v>
      </c>
    </row>
    <row r="446" spans="1:37" x14ac:dyDescent="0.15">
      <c r="A446" s="10">
        <f>A444+1</f>
        <v>2021</v>
      </c>
      <c r="C446" s="10">
        <f t="shared" si="133"/>
        <v>79</v>
      </c>
      <c r="D446" s="95">
        <f>5*A$80</f>
        <v>2.0833333333333335</v>
      </c>
      <c r="E446" s="122">
        <f t="shared" si="125"/>
        <v>164.58333333333334</v>
      </c>
      <c r="F446" s="96">
        <f t="shared" si="126"/>
        <v>1.666666666666667</v>
      </c>
      <c r="G446" s="122">
        <f t="shared" si="127"/>
        <v>179.58333333333334</v>
      </c>
      <c r="H446" s="122">
        <f t="shared" si="128"/>
        <v>362.08333333333337</v>
      </c>
      <c r="I446" s="94">
        <f>'Modell During mining'!$G440/1000000</f>
        <v>1.0001000000000002</v>
      </c>
      <c r="J446" s="94">
        <f>'Modell During mining'!$D440</f>
        <v>1.9999999999999997E-2</v>
      </c>
      <c r="K446" s="93">
        <v>0</v>
      </c>
      <c r="L446" s="93">
        <v>0.03</v>
      </c>
      <c r="M446" s="93">
        <v>0.31</v>
      </c>
      <c r="N446" s="93">
        <v>0.03</v>
      </c>
      <c r="O446" s="93">
        <v>1.26</v>
      </c>
      <c r="P446" s="93">
        <v>0.08</v>
      </c>
      <c r="Q446" s="93">
        <v>0</v>
      </c>
      <c r="R446" s="93">
        <v>0</v>
      </c>
      <c r="S446" s="93">
        <v>0.36</v>
      </c>
      <c r="T446" s="98">
        <f t="shared" si="129"/>
        <v>6.8155748254901505E-2</v>
      </c>
      <c r="U446" s="93">
        <v>25.21</v>
      </c>
      <c r="V446" s="98">
        <f t="shared" si="129"/>
        <v>6.8155748254901505E-2</v>
      </c>
      <c r="W446" s="93">
        <v>21.42</v>
      </c>
      <c r="X446" s="98">
        <f t="shared" si="129"/>
        <v>6.8155748254901505E-2</v>
      </c>
      <c r="Y446" s="93">
        <v>0.11</v>
      </c>
      <c r="Z446" s="98">
        <f t="shared" si="129"/>
        <v>6.8155748254901505E-2</v>
      </c>
      <c r="AA446" s="93">
        <v>5.8</v>
      </c>
      <c r="AB446" s="98">
        <f t="shared" si="129"/>
        <v>6.8155748254901505E-2</v>
      </c>
      <c r="AC446" s="93">
        <v>1.7</v>
      </c>
      <c r="AD446" s="98">
        <f t="shared" si="129"/>
        <v>6.8155748254901505E-2</v>
      </c>
      <c r="AE446" s="93">
        <v>1.84</v>
      </c>
      <c r="AF446" s="98">
        <f t="shared" si="130"/>
        <v>6.8155748254901505E-2</v>
      </c>
      <c r="AG446" s="10">
        <f t="shared" si="131"/>
        <v>7.97</v>
      </c>
      <c r="AH446" s="95">
        <f t="shared" si="132"/>
        <v>2.5701000000000001</v>
      </c>
      <c r="AI446" s="171">
        <f t="shared" si="134"/>
        <v>6.8155748254901505E-2</v>
      </c>
      <c r="AJ446" s="171">
        <f t="shared" si="135"/>
        <v>7.1239948289691227E-2</v>
      </c>
      <c r="AK446" s="171">
        <f t="shared" si="136"/>
        <v>0.10876438204629979</v>
      </c>
    </row>
    <row r="447" spans="1:37" x14ac:dyDescent="0.15">
      <c r="A447" s="10">
        <f>A446+0.5</f>
        <v>2021.5</v>
      </c>
      <c r="B447" s="10">
        <v>0</v>
      </c>
      <c r="C447" s="10">
        <f t="shared" si="133"/>
        <v>79</v>
      </c>
      <c r="D447" s="95">
        <f>6.8*A$79</f>
        <v>3.9666666666666668</v>
      </c>
      <c r="E447" s="122">
        <f t="shared" si="125"/>
        <v>313.36666666666667</v>
      </c>
      <c r="F447" s="96">
        <f t="shared" si="126"/>
        <v>3.1733333333333338</v>
      </c>
      <c r="G447" s="122">
        <f t="shared" si="127"/>
        <v>341.92666666666668</v>
      </c>
      <c r="H447" s="122">
        <f t="shared" si="128"/>
        <v>689.40666666666675</v>
      </c>
      <c r="I447" s="94">
        <f>'Modell During mining'!$G441/1000000</f>
        <v>1.7288930666666671</v>
      </c>
      <c r="J447" s="94">
        <f>'Modell During mining'!$D441</f>
        <v>1.7928587254827714E-2</v>
      </c>
      <c r="K447" s="93">
        <v>0.95</v>
      </c>
      <c r="L447" s="93">
        <v>0.03</v>
      </c>
      <c r="M447" s="93">
        <v>0.31</v>
      </c>
      <c r="N447" s="93">
        <v>0.03</v>
      </c>
      <c r="O447" s="93">
        <v>1.26</v>
      </c>
      <c r="P447" s="93">
        <v>0.08</v>
      </c>
      <c r="Q447" s="93">
        <v>1.6</v>
      </c>
      <c r="R447" s="93">
        <v>0</v>
      </c>
      <c r="S447" s="93">
        <v>0.36</v>
      </c>
      <c r="T447" s="98">
        <f t="shared" si="129"/>
        <v>7.7478797661260757E-2</v>
      </c>
      <c r="U447" s="93">
        <v>25.21</v>
      </c>
      <c r="V447" s="98">
        <f t="shared" si="129"/>
        <v>7.7478797661260757E-2</v>
      </c>
      <c r="W447" s="93">
        <v>21.42</v>
      </c>
      <c r="X447" s="98">
        <f t="shared" si="129"/>
        <v>7.7478797661260757E-2</v>
      </c>
      <c r="Y447" s="93">
        <v>0.11</v>
      </c>
      <c r="Z447" s="98">
        <f t="shared" si="129"/>
        <v>7.7478797661260757E-2</v>
      </c>
      <c r="AA447" s="93">
        <v>5.8</v>
      </c>
      <c r="AB447" s="98">
        <f t="shared" si="129"/>
        <v>7.7478797661260757E-2</v>
      </c>
      <c r="AC447" s="93">
        <v>1.7</v>
      </c>
      <c r="AD447" s="98">
        <f t="shared" si="129"/>
        <v>7.7478797661260757E-2</v>
      </c>
      <c r="AE447" s="93">
        <v>1.84</v>
      </c>
      <c r="AF447" s="98">
        <f t="shared" si="130"/>
        <v>7.7478797661260757E-2</v>
      </c>
      <c r="AG447" s="10">
        <f t="shared" si="131"/>
        <v>7.97</v>
      </c>
      <c r="AH447" s="95">
        <f t="shared" si="132"/>
        <v>5.8488930666666672</v>
      </c>
      <c r="AI447" s="171">
        <f t="shared" si="134"/>
        <v>7.7478797661260757E-2</v>
      </c>
      <c r="AJ447" s="171">
        <f t="shared" si="135"/>
        <v>8.0201879871589832E-2</v>
      </c>
      <c r="AK447" s="171">
        <f t="shared" si="136"/>
        <v>0.11333271343059351</v>
      </c>
    </row>
    <row r="448" spans="1:37" x14ac:dyDescent="0.15">
      <c r="A448" s="10">
        <f>A446+1</f>
        <v>2022</v>
      </c>
      <c r="C448" s="10">
        <f t="shared" si="133"/>
        <v>79</v>
      </c>
      <c r="D448" s="95">
        <f>5*A$80</f>
        <v>2.0833333333333335</v>
      </c>
      <c r="E448" s="122">
        <f t="shared" si="125"/>
        <v>164.58333333333334</v>
      </c>
      <c r="F448" s="96">
        <f t="shared" si="126"/>
        <v>1.666666666666667</v>
      </c>
      <c r="G448" s="122">
        <f t="shared" si="127"/>
        <v>179.58333333333334</v>
      </c>
      <c r="H448" s="122">
        <f t="shared" si="128"/>
        <v>362.08333333333337</v>
      </c>
      <c r="I448" s="94">
        <f>'Modell During mining'!$G442/1000000</f>
        <v>1.0682333333333336</v>
      </c>
      <c r="J448" s="94">
        <f>'Modell During mining'!$D442</f>
        <v>0.02</v>
      </c>
      <c r="K448" s="93">
        <v>0</v>
      </c>
      <c r="L448" s="93">
        <v>0.03</v>
      </c>
      <c r="M448" s="93">
        <v>0.31</v>
      </c>
      <c r="N448" s="93">
        <v>0.03</v>
      </c>
      <c r="O448" s="93">
        <v>1.26</v>
      </c>
      <c r="P448" s="93">
        <v>0.08</v>
      </c>
      <c r="Q448" s="93">
        <v>0</v>
      </c>
      <c r="R448" s="93">
        <v>0</v>
      </c>
      <c r="S448" s="93">
        <v>0.36</v>
      </c>
      <c r="T448" s="98">
        <f t="shared" si="129"/>
        <v>6.6501793904427203E-2</v>
      </c>
      <c r="U448" s="93">
        <v>25.21</v>
      </c>
      <c r="V448" s="98">
        <f t="shared" si="129"/>
        <v>6.6501793904427203E-2</v>
      </c>
      <c r="W448" s="93">
        <v>21.42</v>
      </c>
      <c r="X448" s="98">
        <f t="shared" si="129"/>
        <v>6.6501793904427203E-2</v>
      </c>
      <c r="Y448" s="93">
        <v>0.11</v>
      </c>
      <c r="Z448" s="98">
        <f t="shared" si="129"/>
        <v>6.6501793904427203E-2</v>
      </c>
      <c r="AA448" s="93">
        <v>5.8</v>
      </c>
      <c r="AB448" s="98">
        <f t="shared" si="129"/>
        <v>6.6501793904427203E-2</v>
      </c>
      <c r="AC448" s="93">
        <v>1.7</v>
      </c>
      <c r="AD448" s="98">
        <f t="shared" si="129"/>
        <v>6.6501793904427203E-2</v>
      </c>
      <c r="AE448" s="93">
        <v>1.84</v>
      </c>
      <c r="AF448" s="98">
        <f t="shared" si="130"/>
        <v>6.6501793904427203E-2</v>
      </c>
      <c r="AG448" s="10">
        <f t="shared" si="131"/>
        <v>7.97</v>
      </c>
      <c r="AH448" s="95">
        <f t="shared" si="132"/>
        <v>2.6382333333333339</v>
      </c>
      <c r="AI448" s="171">
        <f t="shared" si="134"/>
        <v>6.6501793904427203E-2</v>
      </c>
      <c r="AJ448" s="171">
        <f t="shared" si="135"/>
        <v>6.9511776981908746E-2</v>
      </c>
      <c r="AK448" s="171">
        <f t="shared" si="136"/>
        <v>0.10613323775793422</v>
      </c>
    </row>
    <row r="449" spans="1:37" x14ac:dyDescent="0.15">
      <c r="A449" s="10">
        <f>A448+0.5</f>
        <v>2022.5</v>
      </c>
      <c r="B449" s="10">
        <v>0</v>
      </c>
      <c r="C449" s="10">
        <f t="shared" si="133"/>
        <v>79</v>
      </c>
      <c r="D449" s="95">
        <f>6.8*A$79</f>
        <v>3.9666666666666668</v>
      </c>
      <c r="E449" s="122">
        <f t="shared" si="125"/>
        <v>313.36666666666667</v>
      </c>
      <c r="F449" s="96">
        <f t="shared" si="126"/>
        <v>3.1733333333333338</v>
      </c>
      <c r="G449" s="122">
        <f t="shared" si="127"/>
        <v>341.92666666666668</v>
      </c>
      <c r="H449" s="122">
        <f t="shared" si="128"/>
        <v>689.40666666666675</v>
      </c>
      <c r="I449" s="94">
        <f>'Modell During mining'!$G443/1000000</f>
        <v>1.8305869333333338</v>
      </c>
      <c r="J449" s="94">
        <f>'Modell During mining'!$D443</f>
        <v>1.7977684752766364E-2</v>
      </c>
      <c r="K449" s="93">
        <v>0.95</v>
      </c>
      <c r="L449" s="93">
        <v>0.03</v>
      </c>
      <c r="M449" s="93">
        <v>0.31</v>
      </c>
      <c r="N449" s="93">
        <v>0.03</v>
      </c>
      <c r="O449" s="93">
        <v>1.26</v>
      </c>
      <c r="P449" s="93">
        <v>0.08</v>
      </c>
      <c r="Q449" s="93">
        <v>0.6</v>
      </c>
      <c r="R449" s="93">
        <v>0</v>
      </c>
      <c r="S449" s="93">
        <v>0.36</v>
      </c>
      <c r="T449" s="98">
        <f t="shared" si="129"/>
        <v>7.5226741464153701E-2</v>
      </c>
      <c r="U449" s="93">
        <v>25.21</v>
      </c>
      <c r="V449" s="98">
        <f t="shared" si="129"/>
        <v>7.5226741464153701E-2</v>
      </c>
      <c r="W449" s="93">
        <v>21.42</v>
      </c>
      <c r="X449" s="98">
        <f t="shared" si="129"/>
        <v>7.5226741464153701E-2</v>
      </c>
      <c r="Y449" s="93">
        <v>0.11</v>
      </c>
      <c r="Z449" s="98">
        <f t="shared" si="129"/>
        <v>7.5226741464153701E-2</v>
      </c>
      <c r="AA449" s="93">
        <v>5.8</v>
      </c>
      <c r="AB449" s="98">
        <f t="shared" si="129"/>
        <v>7.5226741464153701E-2</v>
      </c>
      <c r="AC449" s="93">
        <v>1.7</v>
      </c>
      <c r="AD449" s="98">
        <f t="shared" si="129"/>
        <v>7.5226741464153701E-2</v>
      </c>
      <c r="AE449" s="93">
        <v>1.84</v>
      </c>
      <c r="AF449" s="98">
        <f t="shared" si="130"/>
        <v>7.5226741464153701E-2</v>
      </c>
      <c r="AG449" s="10">
        <f t="shared" si="131"/>
        <v>7.97</v>
      </c>
      <c r="AH449" s="95">
        <f t="shared" si="132"/>
        <v>4.9505869333333337</v>
      </c>
      <c r="AI449" s="171">
        <f t="shared" si="134"/>
        <v>7.5226741464153701E-2</v>
      </c>
      <c r="AJ449" s="171">
        <f t="shared" si="135"/>
        <v>7.7867393885869496E-2</v>
      </c>
      <c r="AK449" s="171">
        <f t="shared" si="136"/>
        <v>0.10999533168341177</v>
      </c>
    </row>
    <row r="450" spans="1:37" x14ac:dyDescent="0.15">
      <c r="A450" s="10">
        <f>A448+1</f>
        <v>2023</v>
      </c>
      <c r="C450" s="10">
        <f t="shared" si="133"/>
        <v>79</v>
      </c>
      <c r="D450" s="95">
        <f>5*A$80</f>
        <v>2.0833333333333335</v>
      </c>
      <c r="E450" s="122">
        <f t="shared" si="125"/>
        <v>164.58333333333334</v>
      </c>
      <c r="F450" s="96">
        <f t="shared" si="126"/>
        <v>1.666666666666667</v>
      </c>
      <c r="G450" s="122">
        <f t="shared" si="127"/>
        <v>179.58333333333334</v>
      </c>
      <c r="H450" s="122">
        <f t="shared" si="128"/>
        <v>362.08333333333337</v>
      </c>
      <c r="I450" s="94">
        <f>'Modell During mining'!$G444/1000000</f>
        <v>1.1363666666666667</v>
      </c>
      <c r="J450" s="94">
        <f>'Modell During mining'!$D444</f>
        <v>1.9999999999999997E-2</v>
      </c>
      <c r="K450" s="93">
        <v>0</v>
      </c>
      <c r="L450" s="93">
        <v>0.03</v>
      </c>
      <c r="M450" s="93">
        <v>0.31</v>
      </c>
      <c r="N450" s="93">
        <v>0.03</v>
      </c>
      <c r="O450" s="93">
        <v>1.26</v>
      </c>
      <c r="P450" s="93">
        <v>0.08</v>
      </c>
      <c r="Q450" s="93">
        <v>0</v>
      </c>
      <c r="R450" s="93">
        <v>0</v>
      </c>
      <c r="S450" s="93">
        <v>0.36</v>
      </c>
      <c r="T450" s="98">
        <f t="shared" si="129"/>
        <v>7.2360035710573839E-2</v>
      </c>
      <c r="U450" s="93">
        <v>25.21</v>
      </c>
      <c r="V450" s="98">
        <f t="shared" si="129"/>
        <v>7.2360035710573839E-2</v>
      </c>
      <c r="W450" s="93">
        <v>21.42</v>
      </c>
      <c r="X450" s="98">
        <f t="shared" si="129"/>
        <v>7.2360035710573839E-2</v>
      </c>
      <c r="Y450" s="93">
        <v>0.11</v>
      </c>
      <c r="Z450" s="98">
        <f t="shared" si="129"/>
        <v>7.2360035710573839E-2</v>
      </c>
      <c r="AA450" s="93">
        <v>5.8</v>
      </c>
      <c r="AB450" s="98">
        <f t="shared" si="129"/>
        <v>7.2360035710573839E-2</v>
      </c>
      <c r="AC450" s="93">
        <v>1.7</v>
      </c>
      <c r="AD450" s="98">
        <f t="shared" si="129"/>
        <v>7.2360035710573839E-2</v>
      </c>
      <c r="AE450" s="93">
        <v>1.84</v>
      </c>
      <c r="AF450" s="98">
        <f t="shared" si="130"/>
        <v>7.2360035710573839E-2</v>
      </c>
      <c r="AG450" s="10">
        <f t="shared" si="131"/>
        <v>7.97</v>
      </c>
      <c r="AH450" s="95">
        <f t="shared" si="132"/>
        <v>2.7063666666666668</v>
      </c>
      <c r="AI450" s="171">
        <f t="shared" si="134"/>
        <v>7.2360035710573839E-2</v>
      </c>
      <c r="AJ450" s="171">
        <f t="shared" si="135"/>
        <v>7.560263401578883E-2</v>
      </c>
      <c r="AK450" s="171">
        <f t="shared" si="136"/>
        <v>0.11505424672923793</v>
      </c>
    </row>
    <row r="451" spans="1:37" x14ac:dyDescent="0.15">
      <c r="A451" s="10">
        <f>A450+0.5</f>
        <v>2023.5</v>
      </c>
      <c r="B451" s="10">
        <v>0</v>
      </c>
      <c r="C451" s="10">
        <f t="shared" si="133"/>
        <v>79</v>
      </c>
      <c r="D451" s="95">
        <f>6.8*A$79</f>
        <v>3.9666666666666668</v>
      </c>
      <c r="E451" s="122">
        <f t="shared" si="125"/>
        <v>313.36666666666667</v>
      </c>
      <c r="F451" s="96">
        <f t="shared" si="126"/>
        <v>3.1733333333333338</v>
      </c>
      <c r="G451" s="122">
        <f t="shared" si="127"/>
        <v>341.92666666666668</v>
      </c>
      <c r="H451" s="122">
        <f t="shared" si="128"/>
        <v>689.40666666666675</v>
      </c>
      <c r="I451" s="94">
        <f>'Modell During mining'!$G445/1000000</f>
        <v>1.9322808000000005</v>
      </c>
      <c r="J451" s="94">
        <f>'Modell During mining'!$D445</f>
        <v>1.802161435335899E-2</v>
      </c>
      <c r="K451" s="93">
        <v>0.95</v>
      </c>
      <c r="L451" s="93">
        <v>0.03</v>
      </c>
      <c r="M451" s="93">
        <v>0.31</v>
      </c>
      <c r="N451" s="93">
        <v>0.03</v>
      </c>
      <c r="O451" s="93">
        <v>1.26</v>
      </c>
      <c r="P451" s="93">
        <v>0.08</v>
      </c>
      <c r="Q451" s="93">
        <v>1.6</v>
      </c>
      <c r="R451" s="93">
        <v>0</v>
      </c>
      <c r="S451" s="93">
        <v>0.36</v>
      </c>
      <c r="T451" s="98">
        <f t="shared" si="129"/>
        <v>7.5667465827758226E-2</v>
      </c>
      <c r="U451" s="93">
        <v>25.21</v>
      </c>
      <c r="V451" s="98">
        <f t="shared" si="129"/>
        <v>7.5667465827758226E-2</v>
      </c>
      <c r="W451" s="93">
        <v>21.42</v>
      </c>
      <c r="X451" s="98">
        <f t="shared" si="129"/>
        <v>7.5667465827758226E-2</v>
      </c>
      <c r="Y451" s="93">
        <v>0.11</v>
      </c>
      <c r="Z451" s="98">
        <f t="shared" si="129"/>
        <v>7.5667465827758226E-2</v>
      </c>
      <c r="AA451" s="93">
        <v>5.8</v>
      </c>
      <c r="AB451" s="98">
        <f t="shared" si="129"/>
        <v>7.5667465827758226E-2</v>
      </c>
      <c r="AC451" s="93">
        <v>1.7</v>
      </c>
      <c r="AD451" s="98">
        <f t="shared" si="129"/>
        <v>7.5667465827758226E-2</v>
      </c>
      <c r="AE451" s="93">
        <v>1.84</v>
      </c>
      <c r="AF451" s="98">
        <f t="shared" si="130"/>
        <v>7.5667465827758226E-2</v>
      </c>
      <c r="AG451" s="10">
        <f t="shared" si="131"/>
        <v>7.97</v>
      </c>
      <c r="AH451" s="95">
        <f t="shared" si="132"/>
        <v>6.0522808000000001</v>
      </c>
      <c r="AI451" s="171">
        <f t="shared" si="134"/>
        <v>7.5667465827758226E-2</v>
      </c>
      <c r="AJ451" s="171">
        <f t="shared" si="135"/>
        <v>7.8231319372927863E-2</v>
      </c>
      <c r="AK451" s="171">
        <f t="shared" si="136"/>
        <v>0.10942487083915853</v>
      </c>
    </row>
    <row r="452" spans="1:37" x14ac:dyDescent="0.15">
      <c r="A452" s="10">
        <f>A450+1</f>
        <v>2024</v>
      </c>
      <c r="C452" s="10">
        <f t="shared" si="133"/>
        <v>79</v>
      </c>
      <c r="D452" s="95">
        <f>5*A$80</f>
        <v>2.0833333333333335</v>
      </c>
      <c r="E452" s="122">
        <f t="shared" si="125"/>
        <v>164.58333333333334</v>
      </c>
      <c r="F452" s="96">
        <f t="shared" si="126"/>
        <v>1.666666666666667</v>
      </c>
      <c r="G452" s="122">
        <f t="shared" si="127"/>
        <v>179.58333333333334</v>
      </c>
      <c r="H452" s="122">
        <f t="shared" si="128"/>
        <v>362.08333333333337</v>
      </c>
      <c r="I452" s="94">
        <f>'Modell During mining'!$G446/1000000</f>
        <v>1.2044999999999999</v>
      </c>
      <c r="J452" s="94">
        <f>'Modell During mining'!$D446</f>
        <v>1.9999999999999997E-2</v>
      </c>
      <c r="K452" s="93">
        <v>0</v>
      </c>
      <c r="L452" s="93">
        <v>0.03</v>
      </c>
      <c r="M452" s="93">
        <v>0.31</v>
      </c>
      <c r="N452" s="93">
        <v>0.03</v>
      </c>
      <c r="O452" s="93">
        <v>1.26</v>
      </c>
      <c r="P452" s="93">
        <v>0.08</v>
      </c>
      <c r="Q452" s="93">
        <v>0</v>
      </c>
      <c r="R452" s="93">
        <v>0</v>
      </c>
      <c r="S452" s="93">
        <v>0.36</v>
      </c>
      <c r="T452" s="98">
        <f t="shared" si="129"/>
        <v>6.3861449622647851E-2</v>
      </c>
      <c r="U452" s="93">
        <v>25.21</v>
      </c>
      <c r="V452" s="98">
        <f t="shared" si="129"/>
        <v>6.3861449622647851E-2</v>
      </c>
      <c r="W452" s="93">
        <v>21.42</v>
      </c>
      <c r="X452" s="98">
        <f t="shared" si="129"/>
        <v>6.3861449622647851E-2</v>
      </c>
      <c r="Y452" s="93">
        <v>0.11</v>
      </c>
      <c r="Z452" s="98">
        <f t="shared" si="129"/>
        <v>6.3861449622647851E-2</v>
      </c>
      <c r="AA452" s="93">
        <v>5.8</v>
      </c>
      <c r="AB452" s="98">
        <f t="shared" si="129"/>
        <v>6.3861449622647851E-2</v>
      </c>
      <c r="AC452" s="93">
        <v>1.7</v>
      </c>
      <c r="AD452" s="98">
        <f t="shared" si="129"/>
        <v>6.3861449622647851E-2</v>
      </c>
      <c r="AE452" s="93">
        <v>1.84</v>
      </c>
      <c r="AF452" s="98">
        <f t="shared" si="130"/>
        <v>6.3861449622647851E-2</v>
      </c>
      <c r="AG452" s="10">
        <f t="shared" si="131"/>
        <v>7.97</v>
      </c>
      <c r="AH452" s="95">
        <f t="shared" si="132"/>
        <v>2.7744999999999997</v>
      </c>
      <c r="AI452" s="171">
        <f t="shared" si="134"/>
        <v>6.3861449622647851E-2</v>
      </c>
      <c r="AJ452" s="171">
        <f t="shared" si="135"/>
        <v>6.6733948490437386E-2</v>
      </c>
      <c r="AK452" s="171">
        <f t="shared" si="136"/>
        <v>0.10168268471521015</v>
      </c>
    </row>
    <row r="453" spans="1:37" x14ac:dyDescent="0.15">
      <c r="A453" s="10">
        <f>A452+0.5</f>
        <v>2024.5</v>
      </c>
      <c r="B453" s="10">
        <v>0</v>
      </c>
      <c r="C453" s="10">
        <f t="shared" si="133"/>
        <v>79</v>
      </c>
      <c r="D453" s="95">
        <f>6.8*A$79</f>
        <v>3.9666666666666668</v>
      </c>
      <c r="E453" s="122">
        <f t="shared" si="125"/>
        <v>313.36666666666667</v>
      </c>
      <c r="F453" s="96">
        <f t="shared" si="126"/>
        <v>3.1733333333333338</v>
      </c>
      <c r="G453" s="122">
        <f t="shared" si="127"/>
        <v>341.92666666666668</v>
      </c>
      <c r="H453" s="122">
        <f t="shared" si="128"/>
        <v>689.40666666666675</v>
      </c>
      <c r="I453" s="94">
        <f>'Modell During mining'!$G447/1000000</f>
        <v>2.0339746666666674</v>
      </c>
      <c r="J453" s="94">
        <f>'Modell During mining'!$D447</f>
        <v>1.8061151204112013E-2</v>
      </c>
      <c r="K453" s="93">
        <v>0.95</v>
      </c>
      <c r="L453" s="93">
        <v>0.03</v>
      </c>
      <c r="M453" s="93">
        <v>0.31</v>
      </c>
      <c r="N453" s="93">
        <v>0.03</v>
      </c>
      <c r="O453" s="93">
        <v>1.26</v>
      </c>
      <c r="P453" s="93">
        <v>0.08</v>
      </c>
      <c r="Q453" s="93">
        <v>1.6</v>
      </c>
      <c r="R453" s="93">
        <v>0</v>
      </c>
      <c r="S453" s="93">
        <v>0.36</v>
      </c>
      <c r="T453" s="98">
        <f t="shared" si="129"/>
        <v>7.1282648711989943E-2</v>
      </c>
      <c r="U453" s="93">
        <v>25.21</v>
      </c>
      <c r="V453" s="98">
        <f t="shared" si="129"/>
        <v>7.1282648711989943E-2</v>
      </c>
      <c r="W453" s="93">
        <v>21.42</v>
      </c>
      <c r="X453" s="98">
        <f t="shared" si="129"/>
        <v>7.1282648711989943E-2</v>
      </c>
      <c r="Y453" s="93">
        <v>0.11</v>
      </c>
      <c r="Z453" s="98">
        <f t="shared" si="129"/>
        <v>7.1282648711989943E-2</v>
      </c>
      <c r="AA453" s="93">
        <v>5.8</v>
      </c>
      <c r="AB453" s="98">
        <f t="shared" si="129"/>
        <v>7.1282648711989943E-2</v>
      </c>
      <c r="AC453" s="93">
        <v>1.7</v>
      </c>
      <c r="AD453" s="98">
        <f t="shared" si="129"/>
        <v>7.1282648711989943E-2</v>
      </c>
      <c r="AE453" s="93">
        <v>1.84</v>
      </c>
      <c r="AF453" s="98">
        <f t="shared" si="130"/>
        <v>7.1282648711989943E-2</v>
      </c>
      <c r="AG453" s="10">
        <f t="shared" si="131"/>
        <v>7.97</v>
      </c>
      <c r="AH453" s="95">
        <f t="shared" si="132"/>
        <v>6.1539746666666684</v>
      </c>
      <c r="AI453" s="171">
        <f t="shared" si="134"/>
        <v>7.1282648711989943E-2</v>
      </c>
      <c r="AJ453" s="171">
        <f t="shared" si="135"/>
        <v>7.3774733158966807E-2</v>
      </c>
      <c r="AK453" s="171">
        <f t="shared" si="136"/>
        <v>0.10409509393051868</v>
      </c>
    </row>
    <row r="454" spans="1:37" x14ac:dyDescent="0.15">
      <c r="A454" s="10">
        <f>A452+1</f>
        <v>2025</v>
      </c>
      <c r="C454" s="10">
        <f t="shared" si="133"/>
        <v>79</v>
      </c>
      <c r="D454" s="95">
        <f>5*A$80</f>
        <v>2.0833333333333335</v>
      </c>
      <c r="E454" s="122">
        <f t="shared" si="125"/>
        <v>164.58333333333334</v>
      </c>
      <c r="F454" s="96">
        <f t="shared" si="126"/>
        <v>1.666666666666667</v>
      </c>
      <c r="G454" s="122">
        <f t="shared" si="127"/>
        <v>179.58333333333334</v>
      </c>
      <c r="H454" s="122">
        <f t="shared" si="128"/>
        <v>362.08333333333337</v>
      </c>
      <c r="I454" s="94">
        <f>'Modell During mining'!$G448/1000000</f>
        <v>1.2726333333333333</v>
      </c>
      <c r="J454" s="94">
        <f>'Modell During mining'!$D448</f>
        <v>0.02</v>
      </c>
      <c r="K454" s="93">
        <v>0</v>
      </c>
      <c r="L454" s="93">
        <v>0.03</v>
      </c>
      <c r="M454" s="93">
        <v>0.31</v>
      </c>
      <c r="N454" s="93">
        <v>0.03</v>
      </c>
      <c r="O454" s="93">
        <v>1.26</v>
      </c>
      <c r="P454" s="93">
        <v>0.08</v>
      </c>
      <c r="Q454" s="93">
        <v>0</v>
      </c>
      <c r="R454" s="93">
        <v>0</v>
      </c>
      <c r="S454" s="93">
        <v>0.36</v>
      </c>
      <c r="T454" s="98">
        <f t="shared" si="129"/>
        <v>6.1944346699036916E-2</v>
      </c>
      <c r="U454" s="93">
        <v>25.21</v>
      </c>
      <c r="V454" s="98">
        <f t="shared" si="129"/>
        <v>6.1944346699036916E-2</v>
      </c>
      <c r="W454" s="93">
        <v>21.42</v>
      </c>
      <c r="X454" s="98">
        <f t="shared" si="129"/>
        <v>6.1944346699036916E-2</v>
      </c>
      <c r="Y454" s="93">
        <v>0.11</v>
      </c>
      <c r="Z454" s="98">
        <f t="shared" si="129"/>
        <v>6.1944346699036916E-2</v>
      </c>
      <c r="AA454" s="93">
        <v>5.8</v>
      </c>
      <c r="AB454" s="98">
        <f t="shared" si="129"/>
        <v>6.1944346699036916E-2</v>
      </c>
      <c r="AC454" s="93">
        <v>1.7</v>
      </c>
      <c r="AD454" s="98">
        <f t="shared" si="129"/>
        <v>6.1944346699036916E-2</v>
      </c>
      <c r="AE454" s="93">
        <v>1.84</v>
      </c>
      <c r="AF454" s="98">
        <f t="shared" si="130"/>
        <v>6.1944346699036916E-2</v>
      </c>
      <c r="AG454" s="10">
        <f t="shared" si="131"/>
        <v>7.97</v>
      </c>
      <c r="AH454" s="95">
        <f t="shared" si="132"/>
        <v>2.8426333333333336</v>
      </c>
      <c r="AI454" s="171">
        <f t="shared" si="134"/>
        <v>6.1944346699036916E-2</v>
      </c>
      <c r="AJ454" s="171">
        <f t="shared" si="135"/>
        <v>6.4753032337324185E-2</v>
      </c>
      <c r="AK454" s="171">
        <f t="shared" si="136"/>
        <v>9.8925374269819302E-2</v>
      </c>
    </row>
    <row r="455" spans="1:37" x14ac:dyDescent="0.15">
      <c r="A455" s="10">
        <f>A454+0.5</f>
        <v>2025.5</v>
      </c>
      <c r="B455" s="10">
        <v>0</v>
      </c>
      <c r="C455" s="10">
        <f t="shared" si="133"/>
        <v>79</v>
      </c>
      <c r="D455" s="95">
        <f>6.8*A$79</f>
        <v>3.9666666666666668</v>
      </c>
      <c r="E455" s="122">
        <f t="shared" si="125"/>
        <v>313.36666666666667</v>
      </c>
      <c r="F455" s="96">
        <f t="shared" si="126"/>
        <v>3.1733333333333338</v>
      </c>
      <c r="G455" s="122">
        <f t="shared" si="127"/>
        <v>341.92666666666668</v>
      </c>
      <c r="H455" s="122">
        <f t="shared" si="128"/>
        <v>689.40666666666675</v>
      </c>
      <c r="I455" s="94">
        <f>'Modell During mining'!$G449/1000000</f>
        <v>2.1356685333333343</v>
      </c>
      <c r="J455" s="94">
        <f>'Modell During mining'!$D449</f>
        <v>1.8096922812116781E-2</v>
      </c>
      <c r="K455" s="93">
        <v>0.95</v>
      </c>
      <c r="L455" s="93">
        <v>0.03</v>
      </c>
      <c r="M455" s="93">
        <v>0.31</v>
      </c>
      <c r="N455" s="93">
        <v>0.03</v>
      </c>
      <c r="O455" s="93">
        <v>1.26</v>
      </c>
      <c r="P455" s="93">
        <v>0.08</v>
      </c>
      <c r="Q455" s="93">
        <v>1.6</v>
      </c>
      <c r="R455" s="93">
        <v>0</v>
      </c>
      <c r="S455" s="93">
        <v>0.36</v>
      </c>
      <c r="T455" s="98">
        <f t="shared" si="129"/>
        <v>6.9254155406346843E-2</v>
      </c>
      <c r="U455" s="93">
        <v>25.21</v>
      </c>
      <c r="V455" s="98">
        <f t="shared" si="129"/>
        <v>6.9254155406346843E-2</v>
      </c>
      <c r="W455" s="93">
        <v>21.42</v>
      </c>
      <c r="X455" s="98">
        <f t="shared" si="129"/>
        <v>6.9254155406346843E-2</v>
      </c>
      <c r="Y455" s="93">
        <v>0.11</v>
      </c>
      <c r="Z455" s="98">
        <f t="shared" si="129"/>
        <v>6.9254155406346843E-2</v>
      </c>
      <c r="AA455" s="93">
        <v>5.8</v>
      </c>
      <c r="AB455" s="98">
        <f t="shared" si="129"/>
        <v>6.9254155406346843E-2</v>
      </c>
      <c r="AC455" s="93">
        <v>1.7</v>
      </c>
      <c r="AD455" s="98">
        <f t="shared" si="129"/>
        <v>6.9254155406346843E-2</v>
      </c>
      <c r="AE455" s="93">
        <v>1.84</v>
      </c>
      <c r="AF455" s="98">
        <f t="shared" si="130"/>
        <v>6.9254155406346843E-2</v>
      </c>
      <c r="AG455" s="10">
        <f t="shared" si="131"/>
        <v>7.97</v>
      </c>
      <c r="AH455" s="95">
        <f t="shared" si="132"/>
        <v>6.2556685333333348</v>
      </c>
      <c r="AI455" s="171">
        <f t="shared" si="134"/>
        <v>6.9254155406346843E-2</v>
      </c>
      <c r="AJ455" s="171">
        <f t="shared" si="135"/>
        <v>7.1678984693459818E-2</v>
      </c>
      <c r="AK455" s="171">
        <f t="shared" si="136"/>
        <v>0.10118107435333459</v>
      </c>
    </row>
    <row r="456" spans="1:37" x14ac:dyDescent="0.15">
      <c r="A456" s="10">
        <f>A454+1</f>
        <v>2026</v>
      </c>
      <c r="C456" s="10">
        <f t="shared" si="133"/>
        <v>79</v>
      </c>
      <c r="D456" s="95">
        <f>5*A$80</f>
        <v>2.0833333333333335</v>
      </c>
      <c r="E456" s="122">
        <f t="shared" si="125"/>
        <v>164.58333333333334</v>
      </c>
      <c r="F456" s="96">
        <f t="shared" si="126"/>
        <v>1.666666666666667</v>
      </c>
      <c r="G456" s="122">
        <f t="shared" si="127"/>
        <v>179.58333333333334</v>
      </c>
      <c r="H456" s="122">
        <f t="shared" si="128"/>
        <v>362.08333333333337</v>
      </c>
      <c r="I456" s="94">
        <f>'Modell During mining'!$G450/1000000</f>
        <v>1.3407666666666664</v>
      </c>
      <c r="J456" s="94">
        <f>'Modell During mining'!$D450</f>
        <v>0.02</v>
      </c>
      <c r="K456" s="93">
        <v>0</v>
      </c>
      <c r="L456" s="93">
        <v>0.03</v>
      </c>
      <c r="M456" s="93">
        <v>0.31</v>
      </c>
      <c r="N456" s="93">
        <v>0.03</v>
      </c>
      <c r="O456" s="93">
        <v>1.26</v>
      </c>
      <c r="P456" s="93">
        <v>0.08</v>
      </c>
      <c r="Q456" s="93">
        <v>0</v>
      </c>
      <c r="R456" s="93">
        <v>0</v>
      </c>
      <c r="S456" s="93">
        <v>0.36</v>
      </c>
      <c r="T456" s="98">
        <f t="shared" si="129"/>
        <v>6.054503727821689E-2</v>
      </c>
      <c r="U456" s="93">
        <v>25.21</v>
      </c>
      <c r="V456" s="98">
        <f t="shared" si="129"/>
        <v>6.054503727821689E-2</v>
      </c>
      <c r="W456" s="93">
        <v>21.42</v>
      </c>
      <c r="X456" s="98">
        <f t="shared" si="129"/>
        <v>6.054503727821689E-2</v>
      </c>
      <c r="Y456" s="93">
        <v>0.11</v>
      </c>
      <c r="Z456" s="98">
        <f t="shared" si="129"/>
        <v>6.054503727821689E-2</v>
      </c>
      <c r="AA456" s="93">
        <v>5.8</v>
      </c>
      <c r="AB456" s="98">
        <f t="shared" si="129"/>
        <v>6.054503727821689E-2</v>
      </c>
      <c r="AC456" s="93">
        <v>1.7</v>
      </c>
      <c r="AD456" s="98">
        <f t="shared" si="129"/>
        <v>6.054503727821689E-2</v>
      </c>
      <c r="AE456" s="93">
        <v>1.84</v>
      </c>
      <c r="AF456" s="98">
        <f t="shared" si="130"/>
        <v>6.054503727821689E-2</v>
      </c>
      <c r="AG456" s="10">
        <f t="shared" si="131"/>
        <v>7.97</v>
      </c>
      <c r="AH456" s="95">
        <f t="shared" si="132"/>
        <v>2.9107666666666665</v>
      </c>
      <c r="AI456" s="171">
        <f t="shared" si="134"/>
        <v>6.054503727821689E-2</v>
      </c>
      <c r="AJ456" s="171">
        <f t="shared" si="135"/>
        <v>6.3292876767959694E-2</v>
      </c>
      <c r="AK456" s="171">
        <f t="shared" si="136"/>
        <v>9.6724923893164005E-2</v>
      </c>
    </row>
    <row r="457" spans="1:37" x14ac:dyDescent="0.15">
      <c r="A457" s="10">
        <f>A456+0.5</f>
        <v>2026.5</v>
      </c>
      <c r="B457" s="10">
        <v>0</v>
      </c>
      <c r="C457" s="10">
        <f t="shared" si="133"/>
        <v>79</v>
      </c>
      <c r="D457" s="95">
        <f>6.8*A$79</f>
        <v>3.9666666666666668</v>
      </c>
      <c r="E457" s="122">
        <f t="shared" si="125"/>
        <v>313.36666666666667</v>
      </c>
      <c r="F457" s="96">
        <f t="shared" si="126"/>
        <v>3.1733333333333338</v>
      </c>
      <c r="G457" s="122">
        <f t="shared" si="127"/>
        <v>341.92666666666668</v>
      </c>
      <c r="H457" s="122">
        <f t="shared" si="128"/>
        <v>689.40666666666675</v>
      </c>
      <c r="I457" s="94">
        <f>'Modell During mining'!$G451/1000000</f>
        <v>2.2373624000000008</v>
      </c>
      <c r="J457" s="94">
        <f>'Modell During mining'!$D451</f>
        <v>1.8129442597229664E-2</v>
      </c>
      <c r="K457" s="93">
        <v>0.95</v>
      </c>
      <c r="L457" s="93">
        <v>0.03</v>
      </c>
      <c r="M457" s="93">
        <v>0.31</v>
      </c>
      <c r="N457" s="93">
        <v>0.03</v>
      </c>
      <c r="O457" s="93">
        <v>1.26</v>
      </c>
      <c r="P457" s="93">
        <v>0.08</v>
      </c>
      <c r="Q457" s="93">
        <v>1.6</v>
      </c>
      <c r="R457" s="93">
        <v>0</v>
      </c>
      <c r="S457" s="93">
        <v>0.36</v>
      </c>
      <c r="T457" s="98">
        <f t="shared" si="129"/>
        <v>6.7486601529385432E-2</v>
      </c>
      <c r="U457" s="93">
        <v>25.21</v>
      </c>
      <c r="V457" s="98">
        <f t="shared" si="129"/>
        <v>6.7486601529385432E-2</v>
      </c>
      <c r="W457" s="93">
        <v>21.42</v>
      </c>
      <c r="X457" s="98">
        <f t="shared" si="129"/>
        <v>6.7486601529385432E-2</v>
      </c>
      <c r="Y457" s="93">
        <v>0.11</v>
      </c>
      <c r="Z457" s="98">
        <f t="shared" si="129"/>
        <v>6.7486601529385432E-2</v>
      </c>
      <c r="AA457" s="93">
        <v>5.8</v>
      </c>
      <c r="AB457" s="98">
        <f t="shared" si="129"/>
        <v>6.7486601529385432E-2</v>
      </c>
      <c r="AC457" s="93">
        <v>1.7</v>
      </c>
      <c r="AD457" s="98">
        <f t="shared" si="129"/>
        <v>6.7486601529385432E-2</v>
      </c>
      <c r="AE457" s="93">
        <v>1.84</v>
      </c>
      <c r="AF457" s="98">
        <f t="shared" si="130"/>
        <v>6.7486601529385432E-2</v>
      </c>
      <c r="AG457" s="10">
        <f t="shared" si="131"/>
        <v>7.97</v>
      </c>
      <c r="AH457" s="95">
        <f t="shared" si="132"/>
        <v>6.3573624000000013</v>
      </c>
      <c r="AI457" s="171">
        <f t="shared" si="134"/>
        <v>6.7486601529385432E-2</v>
      </c>
      <c r="AJ457" s="171">
        <f t="shared" si="135"/>
        <v>6.9848244250900401E-2</v>
      </c>
      <c r="AK457" s="171">
        <f t="shared" si="136"/>
        <v>9.8581564029332602E-2</v>
      </c>
    </row>
    <row r="458" spans="1:37" x14ac:dyDescent="0.15">
      <c r="A458" s="10">
        <f>A456+1</f>
        <v>2027</v>
      </c>
      <c r="C458" s="10">
        <f t="shared" si="133"/>
        <v>79</v>
      </c>
      <c r="D458" s="95">
        <f>5*A$80</f>
        <v>2.0833333333333335</v>
      </c>
      <c r="E458" s="122">
        <f t="shared" si="125"/>
        <v>164.58333333333334</v>
      </c>
      <c r="F458" s="96">
        <f t="shared" si="126"/>
        <v>1.666666666666667</v>
      </c>
      <c r="G458" s="122">
        <f t="shared" si="127"/>
        <v>179.58333333333334</v>
      </c>
      <c r="H458" s="122">
        <f t="shared" si="128"/>
        <v>362.08333333333337</v>
      </c>
      <c r="I458" s="94">
        <f>'Modell During mining'!$G452/1000000</f>
        <v>1.4088999999999998</v>
      </c>
      <c r="J458" s="94">
        <f>'Modell During mining'!$D452</f>
        <v>0.02</v>
      </c>
      <c r="K458" s="93">
        <v>0</v>
      </c>
      <c r="L458" s="93">
        <v>0.03</v>
      </c>
      <c r="M458" s="93">
        <v>0.31</v>
      </c>
      <c r="N458" s="93">
        <v>0.03</v>
      </c>
      <c r="O458" s="93">
        <v>1.26</v>
      </c>
      <c r="P458" s="93">
        <v>0.08</v>
      </c>
      <c r="Q458" s="93">
        <v>0</v>
      </c>
      <c r="R458" s="93">
        <v>0</v>
      </c>
      <c r="S458" s="93">
        <v>0.36</v>
      </c>
      <c r="T458" s="98">
        <f t="shared" si="129"/>
        <v>5.9245948327248228E-2</v>
      </c>
      <c r="U458" s="93">
        <v>25.21</v>
      </c>
      <c r="V458" s="98">
        <f t="shared" si="129"/>
        <v>5.9245948327248228E-2</v>
      </c>
      <c r="W458" s="93">
        <v>21.42</v>
      </c>
      <c r="X458" s="98">
        <f t="shared" si="129"/>
        <v>5.9245948327248228E-2</v>
      </c>
      <c r="Y458" s="93">
        <v>0.11</v>
      </c>
      <c r="Z458" s="98">
        <f t="shared" si="129"/>
        <v>5.9245948327248228E-2</v>
      </c>
      <c r="AA458" s="93">
        <v>5.8</v>
      </c>
      <c r="AB458" s="98">
        <f t="shared" si="129"/>
        <v>5.9245948327248228E-2</v>
      </c>
      <c r="AC458" s="93">
        <v>1.7</v>
      </c>
      <c r="AD458" s="98">
        <f t="shared" si="129"/>
        <v>5.9245948327248228E-2</v>
      </c>
      <c r="AE458" s="93">
        <v>1.84</v>
      </c>
      <c r="AF458" s="98">
        <f t="shared" si="130"/>
        <v>5.9245948327248228E-2</v>
      </c>
      <c r="AG458" s="10">
        <f t="shared" si="131"/>
        <v>7.97</v>
      </c>
      <c r="AH458" s="95">
        <f t="shared" si="132"/>
        <v>2.9788999999999999</v>
      </c>
      <c r="AI458" s="171">
        <f t="shared" si="134"/>
        <v>5.9245948327248228E-2</v>
      </c>
      <c r="AJ458" s="171">
        <f t="shared" si="135"/>
        <v>6.1935698517161478E-2</v>
      </c>
      <c r="AK458" s="171">
        <f t="shared" si="136"/>
        <v>9.4660992494439392E-2</v>
      </c>
    </row>
    <row r="459" spans="1:37" x14ac:dyDescent="0.15">
      <c r="A459" s="10">
        <f>A458+0.5</f>
        <v>2027.5</v>
      </c>
      <c r="B459" s="10">
        <v>0</v>
      </c>
      <c r="C459" s="10">
        <f t="shared" si="133"/>
        <v>79</v>
      </c>
      <c r="D459" s="95">
        <f>6.8*A$79</f>
        <v>3.9666666666666668</v>
      </c>
      <c r="E459" s="122">
        <f t="shared" si="125"/>
        <v>313.36666666666667</v>
      </c>
      <c r="F459" s="96">
        <f t="shared" si="126"/>
        <v>3.1733333333333338</v>
      </c>
      <c r="G459" s="122">
        <f t="shared" si="127"/>
        <v>341.92666666666668</v>
      </c>
      <c r="H459" s="122">
        <f t="shared" si="128"/>
        <v>689.40666666666675</v>
      </c>
      <c r="I459" s="94">
        <f>'Modell During mining'!$G453/1000000</f>
        <v>2.3390562666666677</v>
      </c>
      <c r="J459" s="94">
        <f>'Modell During mining'!$D453</f>
        <v>1.8159134692612783E-2</v>
      </c>
      <c r="K459" s="93">
        <v>0.95</v>
      </c>
      <c r="L459" s="93">
        <v>0.03</v>
      </c>
      <c r="M459" s="93">
        <v>0.31</v>
      </c>
      <c r="N459" s="93">
        <v>0.03</v>
      </c>
      <c r="O459" s="93">
        <v>1.26</v>
      </c>
      <c r="P459" s="93">
        <v>0.08</v>
      </c>
      <c r="Q459" s="93">
        <v>1.6</v>
      </c>
      <c r="R459" s="93">
        <v>0</v>
      </c>
      <c r="S459" s="93">
        <v>0.36</v>
      </c>
      <c r="T459" s="98">
        <f t="shared" si="129"/>
        <v>6.5830364291284305E-2</v>
      </c>
      <c r="U459" s="93">
        <v>25.21</v>
      </c>
      <c r="V459" s="98">
        <f t="shared" si="129"/>
        <v>6.5830364291284305E-2</v>
      </c>
      <c r="W459" s="93">
        <v>21.42</v>
      </c>
      <c r="X459" s="98">
        <f t="shared" si="129"/>
        <v>6.5830364291284305E-2</v>
      </c>
      <c r="Y459" s="93">
        <v>0.11</v>
      </c>
      <c r="Z459" s="98">
        <f t="shared" si="129"/>
        <v>6.5830364291284305E-2</v>
      </c>
      <c r="AA459" s="93">
        <v>5.8</v>
      </c>
      <c r="AB459" s="98">
        <f t="shared" si="129"/>
        <v>6.5830364291284305E-2</v>
      </c>
      <c r="AC459" s="93">
        <v>1.7</v>
      </c>
      <c r="AD459" s="98">
        <f t="shared" si="129"/>
        <v>6.5830364291284305E-2</v>
      </c>
      <c r="AE459" s="93">
        <v>1.84</v>
      </c>
      <c r="AF459" s="98">
        <f t="shared" si="130"/>
        <v>6.5830364291284305E-2</v>
      </c>
      <c r="AG459" s="10">
        <f t="shared" si="131"/>
        <v>7.97</v>
      </c>
      <c r="AH459" s="95">
        <f t="shared" si="132"/>
        <v>6.4590562666666678</v>
      </c>
      <c r="AI459" s="171">
        <f t="shared" si="134"/>
        <v>6.5830364291284305E-2</v>
      </c>
      <c r="AJ459" s="171">
        <f t="shared" si="135"/>
        <v>6.8132502388305136E-2</v>
      </c>
      <c r="AK459" s="171">
        <f t="shared" si="136"/>
        <v>9.6141849235391832E-2</v>
      </c>
    </row>
    <row r="460" spans="1:37" x14ac:dyDescent="0.15">
      <c r="A460" s="10">
        <f>A458+1</f>
        <v>2028</v>
      </c>
      <c r="C460" s="10">
        <f t="shared" si="133"/>
        <v>79</v>
      </c>
      <c r="D460" s="95">
        <f>5*A$80</f>
        <v>2.0833333333333335</v>
      </c>
      <c r="E460" s="122">
        <f t="shared" si="125"/>
        <v>164.58333333333334</v>
      </c>
      <c r="F460" s="96">
        <f t="shared" si="126"/>
        <v>1.666666666666667</v>
      </c>
      <c r="G460" s="122">
        <f t="shared" si="127"/>
        <v>179.58333333333334</v>
      </c>
      <c r="H460" s="122">
        <f t="shared" si="128"/>
        <v>362.08333333333337</v>
      </c>
      <c r="I460" s="94">
        <f>'Modell During mining'!$G454/1000000</f>
        <v>1.477033333333333</v>
      </c>
      <c r="J460" s="94">
        <f>'Modell During mining'!$D454</f>
        <v>1.9999999999999997E-2</v>
      </c>
      <c r="K460" s="93">
        <v>0</v>
      </c>
      <c r="L460" s="93">
        <v>0.03</v>
      </c>
      <c r="M460" s="93">
        <v>0.31</v>
      </c>
      <c r="N460" s="93">
        <v>0.03</v>
      </c>
      <c r="O460" s="93">
        <v>1.26</v>
      </c>
      <c r="P460" s="93">
        <v>0.08</v>
      </c>
      <c r="Q460" s="93">
        <v>0</v>
      </c>
      <c r="R460" s="93">
        <v>0</v>
      </c>
      <c r="S460" s="93">
        <v>0.36</v>
      </c>
      <c r="T460" s="98">
        <f t="shared" si="129"/>
        <v>5.801428637815137E-2</v>
      </c>
      <c r="U460" s="93">
        <v>25.21</v>
      </c>
      <c r="V460" s="98">
        <f t="shared" si="129"/>
        <v>5.801428637815137E-2</v>
      </c>
      <c r="W460" s="93">
        <v>21.42</v>
      </c>
      <c r="X460" s="98">
        <f t="shared" si="129"/>
        <v>5.801428637815137E-2</v>
      </c>
      <c r="Y460" s="93">
        <v>0.11</v>
      </c>
      <c r="Z460" s="98">
        <f t="shared" si="129"/>
        <v>5.801428637815137E-2</v>
      </c>
      <c r="AA460" s="93">
        <v>5.8</v>
      </c>
      <c r="AB460" s="98">
        <f t="shared" si="129"/>
        <v>5.801428637815137E-2</v>
      </c>
      <c r="AC460" s="93">
        <v>1.7</v>
      </c>
      <c r="AD460" s="98">
        <f t="shared" si="129"/>
        <v>5.801428637815137E-2</v>
      </c>
      <c r="AE460" s="93">
        <v>1.84</v>
      </c>
      <c r="AF460" s="98">
        <f t="shared" si="130"/>
        <v>5.801428637815137E-2</v>
      </c>
      <c r="AG460" s="10">
        <f t="shared" si="131"/>
        <v>7.97</v>
      </c>
      <c r="AH460" s="95">
        <f t="shared" si="132"/>
        <v>3.0470333333333333</v>
      </c>
      <c r="AI460" s="171">
        <f t="shared" si="134"/>
        <v>5.801428637815137E-2</v>
      </c>
      <c r="AJ460" s="171">
        <f t="shared" si="135"/>
        <v>6.0648513693962555E-2</v>
      </c>
      <c r="AK460" s="171">
        <f t="shared" si="136"/>
        <v>9.2698279369665335E-2</v>
      </c>
    </row>
    <row r="461" spans="1:37" x14ac:dyDescent="0.15">
      <c r="A461" s="10">
        <f>A460+0.5</f>
        <v>2028.5</v>
      </c>
      <c r="B461" s="10">
        <v>0</v>
      </c>
      <c r="C461" s="10">
        <f t="shared" si="133"/>
        <v>79</v>
      </c>
      <c r="D461" s="95">
        <f>6.8*A$79</f>
        <v>3.9666666666666668</v>
      </c>
      <c r="E461" s="122">
        <f t="shared" si="125"/>
        <v>313.36666666666667</v>
      </c>
      <c r="F461" s="96">
        <f t="shared" si="126"/>
        <v>3.1733333333333338</v>
      </c>
      <c r="G461" s="122">
        <f t="shared" si="127"/>
        <v>341.92666666666668</v>
      </c>
      <c r="H461" s="122">
        <f t="shared" si="128"/>
        <v>689.40666666666675</v>
      </c>
      <c r="I461" s="94">
        <f>'Modell During mining'!$G455/1000000</f>
        <v>2.4407501333333341</v>
      </c>
      <c r="J461" s="94">
        <f>'Modell During mining'!$D455</f>
        <v>1.8186352545386867E-2</v>
      </c>
      <c r="K461" s="93">
        <v>0.95</v>
      </c>
      <c r="L461" s="93">
        <v>0.03</v>
      </c>
      <c r="M461" s="93">
        <v>0.31</v>
      </c>
      <c r="N461" s="93">
        <v>0.03</v>
      </c>
      <c r="O461" s="93">
        <v>1.26</v>
      </c>
      <c r="P461" s="93">
        <v>0.08</v>
      </c>
      <c r="Q461" s="93">
        <v>1.6</v>
      </c>
      <c r="R461" s="93">
        <v>0</v>
      </c>
      <c r="S461" s="93">
        <v>0.36</v>
      </c>
      <c r="T461" s="98">
        <f t="shared" si="129"/>
        <v>6.4267613185687855E-2</v>
      </c>
      <c r="U461" s="93">
        <v>25.21</v>
      </c>
      <c r="V461" s="98">
        <f t="shared" si="129"/>
        <v>6.4267613185687855E-2</v>
      </c>
      <c r="W461" s="93">
        <v>21.42</v>
      </c>
      <c r="X461" s="98">
        <f t="shared" si="129"/>
        <v>6.4267613185687855E-2</v>
      </c>
      <c r="Y461" s="93">
        <v>0.11</v>
      </c>
      <c r="Z461" s="98">
        <f t="shared" si="129"/>
        <v>6.4267613185687855E-2</v>
      </c>
      <c r="AA461" s="93">
        <v>5.8</v>
      </c>
      <c r="AB461" s="98">
        <f t="shared" si="129"/>
        <v>6.4267613185687855E-2</v>
      </c>
      <c r="AC461" s="93">
        <v>1.7</v>
      </c>
      <c r="AD461" s="98">
        <f t="shared" si="129"/>
        <v>6.4267613185687855E-2</v>
      </c>
      <c r="AE461" s="93">
        <v>1.84</v>
      </c>
      <c r="AF461" s="98">
        <f t="shared" si="130"/>
        <v>6.4267613185687855E-2</v>
      </c>
      <c r="AG461" s="10">
        <f t="shared" si="131"/>
        <v>7.97</v>
      </c>
      <c r="AH461" s="95">
        <f t="shared" si="132"/>
        <v>6.5607501333333342</v>
      </c>
      <c r="AI461" s="171">
        <f t="shared" si="134"/>
        <v>6.4267613185687855E-2</v>
      </c>
      <c r="AJ461" s="171">
        <f t="shared" si="135"/>
        <v>6.6513591140180392E-2</v>
      </c>
      <c r="AK461" s="171">
        <f t="shared" si="136"/>
        <v>9.3839656253172907E-2</v>
      </c>
    </row>
    <row r="462" spans="1:37" x14ac:dyDescent="0.15">
      <c r="A462" s="10">
        <f>A460+1</f>
        <v>2029</v>
      </c>
      <c r="C462" s="10">
        <f t="shared" si="133"/>
        <v>79</v>
      </c>
      <c r="D462" s="95">
        <f>5*A$80</f>
        <v>2.0833333333333335</v>
      </c>
      <c r="E462" s="122">
        <f t="shared" si="125"/>
        <v>164.58333333333334</v>
      </c>
      <c r="F462" s="96">
        <f t="shared" si="126"/>
        <v>1.666666666666667</v>
      </c>
      <c r="G462" s="122">
        <f t="shared" si="127"/>
        <v>179.58333333333334</v>
      </c>
      <c r="H462" s="122">
        <f t="shared" si="128"/>
        <v>362.08333333333337</v>
      </c>
      <c r="I462" s="94">
        <f>'Modell During mining'!$G456/1000000</f>
        <v>1.5451666666666664</v>
      </c>
      <c r="J462" s="94">
        <f>'Modell During mining'!$D456</f>
        <v>1.9999999999999997E-2</v>
      </c>
      <c r="K462" s="93">
        <v>0</v>
      </c>
      <c r="L462" s="93">
        <v>0.03</v>
      </c>
      <c r="M462" s="93">
        <v>0.31</v>
      </c>
      <c r="N462" s="93">
        <v>0.03</v>
      </c>
      <c r="O462" s="93">
        <v>1.26</v>
      </c>
      <c r="P462" s="93">
        <v>0.08</v>
      </c>
      <c r="Q462" s="93">
        <v>0</v>
      </c>
      <c r="R462" s="93">
        <v>0</v>
      </c>
      <c r="S462" s="93">
        <v>0.36</v>
      </c>
      <c r="T462" s="98">
        <f t="shared" si="129"/>
        <v>5.6843348089403459E-2</v>
      </c>
      <c r="U462" s="93">
        <v>25.21</v>
      </c>
      <c r="V462" s="98">
        <f t="shared" si="129"/>
        <v>5.6843348089403459E-2</v>
      </c>
      <c r="W462" s="93">
        <v>21.42</v>
      </c>
      <c r="X462" s="98">
        <f t="shared" si="129"/>
        <v>5.6843348089403459E-2</v>
      </c>
      <c r="Y462" s="93">
        <v>0.11</v>
      </c>
      <c r="Z462" s="98">
        <f t="shared" si="129"/>
        <v>5.6843348089403459E-2</v>
      </c>
      <c r="AA462" s="93">
        <v>5.8</v>
      </c>
      <c r="AB462" s="98">
        <f t="shared" si="129"/>
        <v>5.6843348089403459E-2</v>
      </c>
      <c r="AC462" s="93">
        <v>1.7</v>
      </c>
      <c r="AD462" s="98">
        <f t="shared" si="129"/>
        <v>5.6843348089403459E-2</v>
      </c>
      <c r="AE462" s="93">
        <v>1.84</v>
      </c>
      <c r="AF462" s="98">
        <f t="shared" si="130"/>
        <v>5.6843348089403459E-2</v>
      </c>
      <c r="AG462" s="10">
        <f t="shared" si="131"/>
        <v>7.97</v>
      </c>
      <c r="AH462" s="95">
        <f t="shared" si="132"/>
        <v>3.1151666666666662</v>
      </c>
      <c r="AI462" s="171">
        <f t="shared" si="134"/>
        <v>5.6843348089403459E-2</v>
      </c>
      <c r="AJ462" s="171">
        <f t="shared" si="135"/>
        <v>5.942444603912881E-2</v>
      </c>
      <c r="AK462" s="171">
        <f t="shared" si="136"/>
        <v>9.0827804427453931E-2</v>
      </c>
    </row>
    <row r="463" spans="1:37" x14ac:dyDescent="0.15">
      <c r="A463" s="10">
        <f>A462+0.5</f>
        <v>2029.5</v>
      </c>
      <c r="B463" s="10">
        <v>0</v>
      </c>
      <c r="C463" s="10">
        <f t="shared" si="133"/>
        <v>79</v>
      </c>
      <c r="D463" s="95">
        <f>6.8*A$79</f>
        <v>3.9666666666666668</v>
      </c>
      <c r="E463" s="122">
        <f t="shared" si="125"/>
        <v>313.36666666666667</v>
      </c>
      <c r="F463" s="96">
        <f t="shared" si="126"/>
        <v>3.1733333333333338</v>
      </c>
      <c r="G463" s="122">
        <f t="shared" si="127"/>
        <v>341.92666666666668</v>
      </c>
      <c r="H463" s="122">
        <f t="shared" si="128"/>
        <v>689.40666666666675</v>
      </c>
      <c r="I463" s="94">
        <f>'Modell During mining'!$G457/1000000</f>
        <v>2.5424440000000001</v>
      </c>
      <c r="J463" s="94">
        <f>'Modell During mining'!$D457</f>
        <v>1.821139305329832E-2</v>
      </c>
      <c r="K463" s="93">
        <v>0.95</v>
      </c>
      <c r="L463" s="93">
        <v>0.03</v>
      </c>
      <c r="M463" s="93">
        <v>0.31</v>
      </c>
      <c r="N463" s="93">
        <v>0.03</v>
      </c>
      <c r="O463" s="93">
        <v>1.26</v>
      </c>
      <c r="P463" s="93">
        <v>0.08</v>
      </c>
      <c r="Q463" s="93">
        <v>1.6</v>
      </c>
      <c r="R463" s="93">
        <v>0</v>
      </c>
      <c r="S463" s="93">
        <v>0.36</v>
      </c>
      <c r="T463" s="98">
        <f t="shared" si="129"/>
        <v>6.2790067788424872E-2</v>
      </c>
      <c r="U463" s="93">
        <v>25.21</v>
      </c>
      <c r="V463" s="98">
        <f t="shared" si="129"/>
        <v>6.2790067788424872E-2</v>
      </c>
      <c r="W463" s="93">
        <v>21.42</v>
      </c>
      <c r="X463" s="98">
        <f t="shared" si="129"/>
        <v>6.2790067788424872E-2</v>
      </c>
      <c r="Y463" s="93">
        <v>0.11</v>
      </c>
      <c r="Z463" s="98">
        <f t="shared" si="129"/>
        <v>6.2790067788424872E-2</v>
      </c>
      <c r="AA463" s="93">
        <v>5.8</v>
      </c>
      <c r="AB463" s="98">
        <f t="shared" si="129"/>
        <v>6.2790067788424872E-2</v>
      </c>
      <c r="AC463" s="93">
        <v>1.7</v>
      </c>
      <c r="AD463" s="98">
        <f t="shared" si="129"/>
        <v>6.2790067788424872E-2</v>
      </c>
      <c r="AE463" s="93">
        <v>1.84</v>
      </c>
      <c r="AF463" s="98">
        <f t="shared" si="130"/>
        <v>6.2790067788424872E-2</v>
      </c>
      <c r="AG463" s="10">
        <f t="shared" si="131"/>
        <v>7.97</v>
      </c>
      <c r="AH463" s="95">
        <f t="shared" si="132"/>
        <v>6.6624440000000007</v>
      </c>
      <c r="AI463" s="171">
        <f t="shared" si="134"/>
        <v>6.2790067788424872E-2</v>
      </c>
      <c r="AJ463" s="171">
        <f t="shared" si="135"/>
        <v>6.4982934117467722E-2</v>
      </c>
      <c r="AK463" s="171">
        <f t="shared" si="136"/>
        <v>9.1662807787489073E-2</v>
      </c>
    </row>
    <row r="464" spans="1:37" x14ac:dyDescent="0.15">
      <c r="A464" s="10">
        <f>A462+1</f>
        <v>2030</v>
      </c>
      <c r="C464" s="10">
        <f t="shared" si="133"/>
        <v>79</v>
      </c>
      <c r="D464" s="95">
        <f>5*A$80</f>
        <v>2.0833333333333335</v>
      </c>
      <c r="E464" s="122">
        <f t="shared" si="125"/>
        <v>164.58333333333334</v>
      </c>
      <c r="F464" s="96">
        <f t="shared" si="126"/>
        <v>1.666666666666667</v>
      </c>
      <c r="G464" s="122">
        <f t="shared" si="127"/>
        <v>179.58333333333334</v>
      </c>
      <c r="H464" s="122">
        <f t="shared" si="128"/>
        <v>362.08333333333337</v>
      </c>
      <c r="I464" s="94">
        <f>'Modell During mining'!$G458/1000000</f>
        <v>1.6133</v>
      </c>
      <c r="J464" s="94">
        <f>'Modell During mining'!$D458</f>
        <v>1.9999999999999997E-2</v>
      </c>
      <c r="K464" s="93">
        <v>0</v>
      </c>
      <c r="L464" s="93">
        <v>0.03</v>
      </c>
      <c r="M464" s="93">
        <v>0.31</v>
      </c>
      <c r="N464" s="93">
        <v>0.03</v>
      </c>
      <c r="O464" s="93">
        <v>1.26</v>
      </c>
      <c r="P464" s="93">
        <v>0.08</v>
      </c>
      <c r="Q464" s="93">
        <v>0</v>
      </c>
      <c r="R464" s="93">
        <v>0</v>
      </c>
      <c r="S464" s="93">
        <v>0.36</v>
      </c>
      <c r="T464" s="98">
        <f t="shared" si="129"/>
        <v>5.5728579418648755E-2</v>
      </c>
      <c r="U464" s="93">
        <v>25.21</v>
      </c>
      <c r="V464" s="98">
        <f t="shared" si="129"/>
        <v>5.5728579418648755E-2</v>
      </c>
      <c r="W464" s="93">
        <v>21.42</v>
      </c>
      <c r="X464" s="98">
        <f t="shared" si="129"/>
        <v>5.5728579418648755E-2</v>
      </c>
      <c r="Y464" s="93">
        <v>0.11</v>
      </c>
      <c r="Z464" s="98">
        <f t="shared" si="129"/>
        <v>5.5728579418648755E-2</v>
      </c>
      <c r="AA464" s="93">
        <v>5.8</v>
      </c>
      <c r="AB464" s="98">
        <f t="shared" si="129"/>
        <v>5.5728579418648755E-2</v>
      </c>
      <c r="AC464" s="93">
        <v>1.7</v>
      </c>
      <c r="AD464" s="98">
        <f t="shared" si="129"/>
        <v>5.5728579418648755E-2</v>
      </c>
      <c r="AE464" s="93">
        <v>1.84</v>
      </c>
      <c r="AF464" s="98">
        <f t="shared" si="130"/>
        <v>5.5728579418648755E-2</v>
      </c>
      <c r="AG464" s="10">
        <f t="shared" si="131"/>
        <v>7.97</v>
      </c>
      <c r="AH464" s="95">
        <f t="shared" si="132"/>
        <v>3.1833</v>
      </c>
      <c r="AI464" s="171">
        <f t="shared" si="134"/>
        <v>5.5728579418648755E-2</v>
      </c>
      <c r="AJ464" s="171">
        <f t="shared" si="135"/>
        <v>5.8258784109862891E-2</v>
      </c>
      <c r="AK464" s="171">
        <f t="shared" si="136"/>
        <v>8.90429411863016E-2</v>
      </c>
    </row>
    <row r="465" spans="1:37" x14ac:dyDescent="0.15">
      <c r="A465" s="10">
        <f>A464+0.5</f>
        <v>2030.5</v>
      </c>
      <c r="AI465" s="171">
        <f t="shared" si="134"/>
        <v>6.1390837686370749E-2</v>
      </c>
      <c r="AJ465" s="171">
        <f t="shared" si="135"/>
        <v>6.3533380148141416E-2</v>
      </c>
      <c r="AK465" s="171">
        <f t="shared" si="136"/>
        <v>8.9600980099684549E-2</v>
      </c>
    </row>
    <row r="467" spans="1:37" x14ac:dyDescent="0.15">
      <c r="A467" s="10">
        <f>7/12</f>
        <v>0.58333333333333337</v>
      </c>
      <c r="B467" s="10" t="s">
        <v>1086</v>
      </c>
      <c r="C467" s="11" t="s">
        <v>1429</v>
      </c>
      <c r="D467" s="11" t="s">
        <v>1429</v>
      </c>
      <c r="E467" s="11" t="s">
        <v>1429</v>
      </c>
      <c r="F467" s="11"/>
      <c r="G467" s="11" t="s">
        <v>1429</v>
      </c>
      <c r="H467" s="11" t="s">
        <v>1429</v>
      </c>
      <c r="I467" s="11" t="s">
        <v>1429</v>
      </c>
      <c r="J467" s="11" t="s">
        <v>1429</v>
      </c>
      <c r="K467" s="11" t="s">
        <v>1429</v>
      </c>
      <c r="L467" s="11" t="s">
        <v>1429</v>
      </c>
      <c r="M467" s="11" t="s">
        <v>1429</v>
      </c>
      <c r="N467" s="11" t="s">
        <v>1429</v>
      </c>
      <c r="O467" s="11" t="s">
        <v>1429</v>
      </c>
      <c r="P467" s="11" t="s">
        <v>1429</v>
      </c>
      <c r="Q467" s="11" t="s">
        <v>1429</v>
      </c>
      <c r="R467" s="11" t="s">
        <v>1429</v>
      </c>
      <c r="S467" s="11" t="s">
        <v>1429</v>
      </c>
      <c r="T467" s="11" t="s">
        <v>1429</v>
      </c>
      <c r="U467" s="11" t="s">
        <v>1429</v>
      </c>
      <c r="V467" s="11" t="s">
        <v>1429</v>
      </c>
      <c r="W467" s="11" t="s">
        <v>1429</v>
      </c>
      <c r="X467" s="11" t="s">
        <v>1429</v>
      </c>
      <c r="Y467" s="11" t="s">
        <v>1429</v>
      </c>
      <c r="Z467" s="11" t="s">
        <v>1429</v>
      </c>
      <c r="AA467" s="11" t="s">
        <v>1429</v>
      </c>
      <c r="AB467" s="11" t="s">
        <v>1429</v>
      </c>
      <c r="AC467" s="11" t="s">
        <v>1429</v>
      </c>
      <c r="AD467" s="11" t="s">
        <v>1429</v>
      </c>
      <c r="AE467" s="11" t="s">
        <v>1429</v>
      </c>
      <c r="AF467" s="11" t="s">
        <v>1429</v>
      </c>
      <c r="AG467" s="11" t="s">
        <v>1429</v>
      </c>
      <c r="AH467" s="11" t="s">
        <v>1429</v>
      </c>
      <c r="AI467" s="11" t="s">
        <v>1429</v>
      </c>
      <c r="AJ467" s="11" t="s">
        <v>1429</v>
      </c>
      <c r="AK467" s="11" t="s">
        <v>1429</v>
      </c>
    </row>
    <row r="468" spans="1:37" x14ac:dyDescent="0.15">
      <c r="A468">
        <f>5/12</f>
        <v>0.41666666666666669</v>
      </c>
      <c r="B468" s="10" t="s">
        <v>1087</v>
      </c>
      <c r="C468" s="118" t="s">
        <v>1174</v>
      </c>
      <c r="E468" s="10">
        <v>3393</v>
      </c>
      <c r="F468" s="10" t="s">
        <v>1456</v>
      </c>
      <c r="G468" s="10">
        <v>17754</v>
      </c>
      <c r="H468" s="10">
        <v>2224</v>
      </c>
      <c r="L468" s="96"/>
      <c r="N468" s="96"/>
      <c r="P468" s="96"/>
      <c r="R468" s="96"/>
      <c r="S468" s="10"/>
      <c r="T468" s="96"/>
      <c r="V468" s="96"/>
      <c r="X468" s="96"/>
      <c r="Z468" s="96"/>
      <c r="AB468" s="96"/>
      <c r="AD468" s="96"/>
      <c r="AF468" s="96"/>
      <c r="AI468" t="s">
        <v>1443</v>
      </c>
      <c r="AJ468" t="s">
        <v>1444</v>
      </c>
      <c r="AK468" t="s">
        <v>1445</v>
      </c>
    </row>
    <row r="469" spans="1:37" ht="25" customHeight="1" x14ac:dyDescent="0.15">
      <c r="B469" s="10" t="s">
        <v>1058</v>
      </c>
      <c r="C469" s="10" t="s">
        <v>1066</v>
      </c>
      <c r="D469" s="97" t="s">
        <v>1056</v>
      </c>
      <c r="E469" s="97" t="s">
        <v>1439</v>
      </c>
      <c r="F469" s="97" t="s">
        <v>1056</v>
      </c>
      <c r="G469" s="97" t="s">
        <v>1427</v>
      </c>
      <c r="H469" s="97" t="s">
        <v>1428</v>
      </c>
      <c r="I469" s="85" t="s">
        <v>918</v>
      </c>
      <c r="J469" s="85" t="s">
        <v>657</v>
      </c>
      <c r="K469" s="85" t="s">
        <v>919</v>
      </c>
      <c r="L469" s="10" t="s">
        <v>634</v>
      </c>
      <c r="M469" s="85" t="s">
        <v>947</v>
      </c>
      <c r="N469" s="10" t="s">
        <v>634</v>
      </c>
      <c r="O469" s="85" t="s">
        <v>779</v>
      </c>
      <c r="P469" s="10" t="s">
        <v>634</v>
      </c>
      <c r="Q469" s="85" t="s">
        <v>780</v>
      </c>
      <c r="R469" s="10" t="s">
        <v>634</v>
      </c>
      <c r="S469" s="85" t="s">
        <v>948</v>
      </c>
      <c r="T469" s="10" t="s">
        <v>634</v>
      </c>
      <c r="U469" s="85" t="s">
        <v>949</v>
      </c>
      <c r="V469" s="10" t="s">
        <v>634</v>
      </c>
      <c r="W469" s="85" t="s">
        <v>950</v>
      </c>
      <c r="X469" s="10" t="s">
        <v>634</v>
      </c>
      <c r="Y469" s="85" t="s">
        <v>783</v>
      </c>
      <c r="Z469" s="10" t="s">
        <v>634</v>
      </c>
      <c r="AA469" s="85" t="s">
        <v>784</v>
      </c>
      <c r="AB469" s="10" t="s">
        <v>634</v>
      </c>
      <c r="AC469" s="85" t="s">
        <v>785</v>
      </c>
      <c r="AD469" s="10" t="s">
        <v>634</v>
      </c>
      <c r="AE469" s="85" t="s">
        <v>1205</v>
      </c>
      <c r="AF469" s="10" t="s">
        <v>634</v>
      </c>
      <c r="AG469" s="85" t="s">
        <v>1060</v>
      </c>
      <c r="AH469" s="85" t="s">
        <v>1061</v>
      </c>
      <c r="AI469" s="10" t="s">
        <v>1455</v>
      </c>
      <c r="AJ469" s="10" t="s">
        <v>1455</v>
      </c>
      <c r="AK469" s="10" t="s">
        <v>1455</v>
      </c>
    </row>
    <row r="470" spans="1:37" x14ac:dyDescent="0.15">
      <c r="A470" s="10">
        <v>2014.5</v>
      </c>
      <c r="B470" s="10">
        <v>0</v>
      </c>
      <c r="C470" s="10">
        <f>E468</f>
        <v>3393</v>
      </c>
      <c r="D470" s="95">
        <f>5*A467</f>
        <v>2.916666666666667</v>
      </c>
      <c r="E470" s="122">
        <f>C470*D470</f>
        <v>9896.2500000000018</v>
      </c>
      <c r="F470" s="96">
        <f>D470*0.8</f>
        <v>2.3333333333333335</v>
      </c>
    </row>
    <row r="471" spans="1:37" x14ac:dyDescent="0.15">
      <c r="A471" s="10">
        <v>2015</v>
      </c>
      <c r="C471" s="10">
        <f>C470</f>
        <v>3393</v>
      </c>
      <c r="D471" s="95">
        <f>5*A$80</f>
        <v>2.0833333333333335</v>
      </c>
      <c r="E471" s="122">
        <f t="shared" ref="E471:E501" si="137">C471*D471</f>
        <v>7068.7500000000009</v>
      </c>
      <c r="F471" s="96">
        <f t="shared" ref="F471:F501" si="138">D471*0.8</f>
        <v>1.666666666666667</v>
      </c>
    </row>
    <row r="472" spans="1:37" x14ac:dyDescent="0.15">
      <c r="A472" s="10">
        <v>2015.5</v>
      </c>
      <c r="B472" s="10">
        <v>0</v>
      </c>
      <c r="C472" s="10">
        <f t="shared" ref="C472:C501" si="139">C471</f>
        <v>3393</v>
      </c>
      <c r="D472" s="95">
        <f>5.5*A467</f>
        <v>3.2083333333333335</v>
      </c>
      <c r="E472" s="122">
        <f t="shared" si="137"/>
        <v>10885.875</v>
      </c>
      <c r="F472" s="96">
        <f t="shared" si="138"/>
        <v>2.5666666666666669</v>
      </c>
    </row>
    <row r="473" spans="1:37" x14ac:dyDescent="0.15">
      <c r="A473" s="10">
        <f>A471+1</f>
        <v>2016</v>
      </c>
      <c r="C473" s="10">
        <f t="shared" si="139"/>
        <v>3393</v>
      </c>
      <c r="D473" s="95">
        <f>5*A$80</f>
        <v>2.0833333333333335</v>
      </c>
      <c r="E473" s="122">
        <f t="shared" si="137"/>
        <v>7068.7500000000009</v>
      </c>
      <c r="F473" s="96">
        <f t="shared" si="138"/>
        <v>1.666666666666667</v>
      </c>
    </row>
    <row r="474" spans="1:37" x14ac:dyDescent="0.15">
      <c r="A474" s="10">
        <v>2016.5</v>
      </c>
      <c r="B474" s="10">
        <v>0</v>
      </c>
      <c r="C474" s="10">
        <f t="shared" si="139"/>
        <v>3393</v>
      </c>
      <c r="D474" s="95">
        <f>6.5*A467</f>
        <v>3.791666666666667</v>
      </c>
      <c r="E474" s="122">
        <f t="shared" si="137"/>
        <v>12865.125000000002</v>
      </c>
      <c r="F474" s="96">
        <f t="shared" si="138"/>
        <v>3.0333333333333337</v>
      </c>
    </row>
    <row r="475" spans="1:37" x14ac:dyDescent="0.15">
      <c r="A475" s="10">
        <f>A473+1</f>
        <v>2017</v>
      </c>
      <c r="C475" s="10">
        <f t="shared" si="139"/>
        <v>3393</v>
      </c>
      <c r="D475" s="95">
        <f>5*A$80</f>
        <v>2.0833333333333335</v>
      </c>
      <c r="E475" s="122">
        <f t="shared" si="137"/>
        <v>7068.7500000000009</v>
      </c>
      <c r="F475" s="96">
        <f t="shared" si="138"/>
        <v>1.666666666666667</v>
      </c>
    </row>
    <row r="476" spans="1:37" x14ac:dyDescent="0.15">
      <c r="A476" s="10">
        <f>A475+0.5</f>
        <v>2017.5</v>
      </c>
      <c r="B476" s="10">
        <v>0</v>
      </c>
      <c r="C476" s="10">
        <f t="shared" si="139"/>
        <v>3393</v>
      </c>
      <c r="D476" s="95">
        <f>6.8*A$79</f>
        <v>3.9666666666666668</v>
      </c>
      <c r="E476" s="122">
        <f t="shared" si="137"/>
        <v>13458.9</v>
      </c>
      <c r="F476" s="96">
        <f t="shared" si="138"/>
        <v>3.1733333333333338</v>
      </c>
    </row>
    <row r="477" spans="1:37" x14ac:dyDescent="0.15">
      <c r="A477" s="10">
        <f>A475+1</f>
        <v>2018</v>
      </c>
      <c r="C477" s="10">
        <f t="shared" si="139"/>
        <v>3393</v>
      </c>
      <c r="D477" s="95">
        <f>5*A$80</f>
        <v>2.0833333333333335</v>
      </c>
      <c r="E477" s="122">
        <f t="shared" si="137"/>
        <v>7068.7500000000009</v>
      </c>
      <c r="F477" s="96">
        <f t="shared" si="138"/>
        <v>1.666666666666667</v>
      </c>
    </row>
    <row r="478" spans="1:37" x14ac:dyDescent="0.15">
      <c r="A478" s="10">
        <f>A477+0.5</f>
        <v>2018.5</v>
      </c>
      <c r="B478" s="10">
        <v>0</v>
      </c>
      <c r="C478" s="10">
        <f t="shared" si="139"/>
        <v>3393</v>
      </c>
      <c r="D478" s="95">
        <f>6.8*A$79</f>
        <v>3.9666666666666668</v>
      </c>
      <c r="E478" s="122">
        <f t="shared" si="137"/>
        <v>13458.9</v>
      </c>
      <c r="F478" s="96">
        <f t="shared" si="138"/>
        <v>3.1733333333333338</v>
      </c>
    </row>
    <row r="479" spans="1:37" x14ac:dyDescent="0.15">
      <c r="A479" s="10">
        <f>A477+1</f>
        <v>2019</v>
      </c>
      <c r="C479" s="10">
        <f t="shared" si="139"/>
        <v>3393</v>
      </c>
      <c r="D479" s="95">
        <f>5*A$80</f>
        <v>2.0833333333333335</v>
      </c>
      <c r="E479" s="122">
        <f t="shared" si="137"/>
        <v>7068.7500000000009</v>
      </c>
      <c r="F479" s="96">
        <f t="shared" si="138"/>
        <v>1.666666666666667</v>
      </c>
    </row>
    <row r="480" spans="1:37" x14ac:dyDescent="0.15">
      <c r="A480" s="10">
        <f>A479+0.5</f>
        <v>2019.5</v>
      </c>
      <c r="B480" s="10">
        <v>0</v>
      </c>
      <c r="C480" s="10">
        <f t="shared" si="139"/>
        <v>3393</v>
      </c>
      <c r="D480" s="95">
        <f>6.8*A$79</f>
        <v>3.9666666666666668</v>
      </c>
      <c r="E480" s="122">
        <f t="shared" si="137"/>
        <v>13458.9</v>
      </c>
      <c r="F480" s="96">
        <f t="shared" si="138"/>
        <v>3.1733333333333338</v>
      </c>
    </row>
    <row r="481" spans="1:6" x14ac:dyDescent="0.15">
      <c r="A481" s="10">
        <f>A479+1</f>
        <v>2020</v>
      </c>
      <c r="C481" s="10">
        <f t="shared" si="139"/>
        <v>3393</v>
      </c>
      <c r="D481" s="95">
        <f>5*A$80</f>
        <v>2.0833333333333335</v>
      </c>
      <c r="E481" s="122">
        <f t="shared" si="137"/>
        <v>7068.7500000000009</v>
      </c>
      <c r="F481" s="96">
        <f t="shared" si="138"/>
        <v>1.666666666666667</v>
      </c>
    </row>
    <row r="482" spans="1:6" x14ac:dyDescent="0.15">
      <c r="A482" s="10">
        <f>A481+0.5</f>
        <v>2020.5</v>
      </c>
      <c r="B482" s="10">
        <v>0</v>
      </c>
      <c r="C482" s="10">
        <f t="shared" si="139"/>
        <v>3393</v>
      </c>
      <c r="D482" s="95">
        <f>6.8*A$79</f>
        <v>3.9666666666666668</v>
      </c>
      <c r="E482" s="122">
        <f t="shared" si="137"/>
        <v>13458.9</v>
      </c>
      <c r="F482" s="96">
        <f t="shared" si="138"/>
        <v>3.1733333333333338</v>
      </c>
    </row>
    <row r="483" spans="1:6" x14ac:dyDescent="0.15">
      <c r="A483" s="10">
        <f>A481+1</f>
        <v>2021</v>
      </c>
      <c r="C483" s="10">
        <f t="shared" si="139"/>
        <v>3393</v>
      </c>
      <c r="D483" s="95">
        <f>5*A$80</f>
        <v>2.0833333333333335</v>
      </c>
      <c r="E483" s="122">
        <f t="shared" si="137"/>
        <v>7068.7500000000009</v>
      </c>
      <c r="F483" s="96">
        <f t="shared" si="138"/>
        <v>1.666666666666667</v>
      </c>
    </row>
    <row r="484" spans="1:6" x14ac:dyDescent="0.15">
      <c r="A484" s="10">
        <f>A483+0.5</f>
        <v>2021.5</v>
      </c>
      <c r="B484" s="10">
        <v>0</v>
      </c>
      <c r="C484" s="10">
        <f t="shared" si="139"/>
        <v>3393</v>
      </c>
      <c r="D484" s="95">
        <f>6.8*A$79</f>
        <v>3.9666666666666668</v>
      </c>
      <c r="E484" s="122">
        <f t="shared" si="137"/>
        <v>13458.9</v>
      </c>
      <c r="F484" s="96">
        <f t="shared" si="138"/>
        <v>3.1733333333333338</v>
      </c>
    </row>
    <row r="485" spans="1:6" x14ac:dyDescent="0.15">
      <c r="A485" s="10">
        <f>A483+1</f>
        <v>2022</v>
      </c>
      <c r="C485" s="10">
        <f t="shared" si="139"/>
        <v>3393</v>
      </c>
      <c r="D485" s="95">
        <f>5*A$80</f>
        <v>2.0833333333333335</v>
      </c>
      <c r="E485" s="122">
        <f t="shared" si="137"/>
        <v>7068.7500000000009</v>
      </c>
      <c r="F485" s="96">
        <f t="shared" si="138"/>
        <v>1.666666666666667</v>
      </c>
    </row>
    <row r="486" spans="1:6" x14ac:dyDescent="0.15">
      <c r="A486" s="10">
        <f>A485+0.5</f>
        <v>2022.5</v>
      </c>
      <c r="B486" s="10">
        <v>0</v>
      </c>
      <c r="C486" s="10">
        <f t="shared" si="139"/>
        <v>3393</v>
      </c>
      <c r="D486" s="95">
        <f>6.8*A$79</f>
        <v>3.9666666666666668</v>
      </c>
      <c r="E486" s="122">
        <f t="shared" si="137"/>
        <v>13458.9</v>
      </c>
      <c r="F486" s="96">
        <f t="shared" si="138"/>
        <v>3.1733333333333338</v>
      </c>
    </row>
    <row r="487" spans="1:6" x14ac:dyDescent="0.15">
      <c r="A487" s="10">
        <f>A485+1</f>
        <v>2023</v>
      </c>
      <c r="C487" s="10">
        <f t="shared" si="139"/>
        <v>3393</v>
      </c>
      <c r="D487" s="95">
        <f>5*A$80</f>
        <v>2.0833333333333335</v>
      </c>
      <c r="E487" s="122">
        <f t="shared" si="137"/>
        <v>7068.7500000000009</v>
      </c>
      <c r="F487" s="96">
        <f t="shared" si="138"/>
        <v>1.666666666666667</v>
      </c>
    </row>
    <row r="488" spans="1:6" x14ac:dyDescent="0.15">
      <c r="A488" s="10">
        <f>A487+0.5</f>
        <v>2023.5</v>
      </c>
      <c r="B488" s="10">
        <v>0</v>
      </c>
      <c r="C488" s="10">
        <f t="shared" si="139"/>
        <v>3393</v>
      </c>
      <c r="D488" s="95">
        <f>6.8*A$79</f>
        <v>3.9666666666666668</v>
      </c>
      <c r="E488" s="122">
        <f t="shared" si="137"/>
        <v>13458.9</v>
      </c>
      <c r="F488" s="96">
        <f t="shared" si="138"/>
        <v>3.1733333333333338</v>
      </c>
    </row>
    <row r="489" spans="1:6" x14ac:dyDescent="0.15">
      <c r="A489" s="10">
        <f>A487+1</f>
        <v>2024</v>
      </c>
      <c r="C489" s="10">
        <f t="shared" si="139"/>
        <v>3393</v>
      </c>
      <c r="D489" s="95">
        <f>5*A$80</f>
        <v>2.0833333333333335</v>
      </c>
      <c r="E489" s="122">
        <f t="shared" si="137"/>
        <v>7068.7500000000009</v>
      </c>
      <c r="F489" s="96">
        <f t="shared" si="138"/>
        <v>1.666666666666667</v>
      </c>
    </row>
    <row r="490" spans="1:6" x14ac:dyDescent="0.15">
      <c r="A490" s="10">
        <f>A489+0.5</f>
        <v>2024.5</v>
      </c>
      <c r="B490" s="10">
        <v>0</v>
      </c>
      <c r="C490" s="10">
        <f t="shared" si="139"/>
        <v>3393</v>
      </c>
      <c r="D490" s="95">
        <f>6.8*A$79</f>
        <v>3.9666666666666668</v>
      </c>
      <c r="E490" s="122">
        <f t="shared" si="137"/>
        <v>13458.9</v>
      </c>
      <c r="F490" s="96">
        <f t="shared" si="138"/>
        <v>3.1733333333333338</v>
      </c>
    </row>
    <row r="491" spans="1:6" x14ac:dyDescent="0.15">
      <c r="A491" s="10">
        <f>A489+1</f>
        <v>2025</v>
      </c>
      <c r="C491" s="10">
        <f t="shared" si="139"/>
        <v>3393</v>
      </c>
      <c r="D491" s="95">
        <f>5*A$80</f>
        <v>2.0833333333333335</v>
      </c>
      <c r="E491" s="122">
        <f t="shared" si="137"/>
        <v>7068.7500000000009</v>
      </c>
      <c r="F491" s="96">
        <f t="shared" si="138"/>
        <v>1.666666666666667</v>
      </c>
    </row>
    <row r="492" spans="1:6" x14ac:dyDescent="0.15">
      <c r="A492" s="10">
        <f>A491+0.5</f>
        <v>2025.5</v>
      </c>
      <c r="B492" s="10">
        <v>0</v>
      </c>
      <c r="C492" s="10">
        <f t="shared" si="139"/>
        <v>3393</v>
      </c>
      <c r="D492" s="95">
        <f>6.8*A$79</f>
        <v>3.9666666666666668</v>
      </c>
      <c r="E492" s="122">
        <f t="shared" si="137"/>
        <v>13458.9</v>
      </c>
      <c r="F492" s="96">
        <f t="shared" si="138"/>
        <v>3.1733333333333338</v>
      </c>
    </row>
    <row r="493" spans="1:6" x14ac:dyDescent="0.15">
      <c r="A493" s="10">
        <f>A491+1</f>
        <v>2026</v>
      </c>
      <c r="C493" s="10">
        <f t="shared" si="139"/>
        <v>3393</v>
      </c>
      <c r="D493" s="95">
        <f>5*A$80</f>
        <v>2.0833333333333335</v>
      </c>
      <c r="E493" s="122">
        <f t="shared" si="137"/>
        <v>7068.7500000000009</v>
      </c>
      <c r="F493" s="96">
        <f t="shared" si="138"/>
        <v>1.666666666666667</v>
      </c>
    </row>
    <row r="494" spans="1:6" x14ac:dyDescent="0.15">
      <c r="A494" s="10">
        <f>A493+0.5</f>
        <v>2026.5</v>
      </c>
      <c r="B494" s="10">
        <v>0</v>
      </c>
      <c r="C494" s="10">
        <f t="shared" si="139"/>
        <v>3393</v>
      </c>
      <c r="D494" s="95">
        <f>6.8*A$79</f>
        <v>3.9666666666666668</v>
      </c>
      <c r="E494" s="122">
        <f t="shared" si="137"/>
        <v>13458.9</v>
      </c>
      <c r="F494" s="96">
        <f t="shared" si="138"/>
        <v>3.1733333333333338</v>
      </c>
    </row>
    <row r="495" spans="1:6" x14ac:dyDescent="0.15">
      <c r="A495" s="10">
        <f>A493+1</f>
        <v>2027</v>
      </c>
      <c r="C495" s="10">
        <f t="shared" si="139"/>
        <v>3393</v>
      </c>
      <c r="D495" s="95">
        <f>5*A$80</f>
        <v>2.0833333333333335</v>
      </c>
      <c r="E495" s="122">
        <f t="shared" si="137"/>
        <v>7068.7500000000009</v>
      </c>
      <c r="F495" s="96">
        <f t="shared" si="138"/>
        <v>1.666666666666667</v>
      </c>
    </row>
    <row r="496" spans="1:6" x14ac:dyDescent="0.15">
      <c r="A496" s="10">
        <f>A495+0.5</f>
        <v>2027.5</v>
      </c>
      <c r="B496" s="10">
        <v>0</v>
      </c>
      <c r="C496" s="10">
        <f t="shared" si="139"/>
        <v>3393</v>
      </c>
      <c r="D496" s="95">
        <f>6.8*A$79</f>
        <v>3.9666666666666668</v>
      </c>
      <c r="E496" s="122">
        <f t="shared" si="137"/>
        <v>13458.9</v>
      </c>
      <c r="F496" s="96">
        <f t="shared" si="138"/>
        <v>3.1733333333333338</v>
      </c>
    </row>
    <row r="497" spans="1:37" x14ac:dyDescent="0.15">
      <c r="A497" s="10">
        <f>A495+1</f>
        <v>2028</v>
      </c>
      <c r="C497" s="10">
        <f t="shared" si="139"/>
        <v>3393</v>
      </c>
      <c r="D497" s="95">
        <f>5*A$80</f>
        <v>2.0833333333333335</v>
      </c>
      <c r="E497" s="122">
        <f t="shared" si="137"/>
        <v>7068.7500000000009</v>
      </c>
      <c r="F497" s="96">
        <f t="shared" si="138"/>
        <v>1.666666666666667</v>
      </c>
    </row>
    <row r="498" spans="1:37" x14ac:dyDescent="0.15">
      <c r="A498" s="10">
        <f>A497+0.5</f>
        <v>2028.5</v>
      </c>
      <c r="B498" s="10">
        <v>0</v>
      </c>
      <c r="C498" s="10">
        <f t="shared" si="139"/>
        <v>3393</v>
      </c>
      <c r="D498" s="95">
        <f>6.8*A$79</f>
        <v>3.9666666666666668</v>
      </c>
      <c r="E498" s="122">
        <f t="shared" si="137"/>
        <v>13458.9</v>
      </c>
      <c r="F498" s="96">
        <f t="shared" si="138"/>
        <v>3.1733333333333338</v>
      </c>
    </row>
    <row r="499" spans="1:37" x14ac:dyDescent="0.15">
      <c r="A499" s="10">
        <f>A497+1</f>
        <v>2029</v>
      </c>
      <c r="C499" s="10">
        <f t="shared" si="139"/>
        <v>3393</v>
      </c>
      <c r="D499" s="95">
        <f>5*A$80</f>
        <v>2.0833333333333335</v>
      </c>
      <c r="E499" s="122">
        <f t="shared" si="137"/>
        <v>7068.7500000000009</v>
      </c>
      <c r="F499" s="96">
        <f t="shared" si="138"/>
        <v>1.666666666666667</v>
      </c>
    </row>
    <row r="500" spans="1:37" x14ac:dyDescent="0.15">
      <c r="A500" s="10">
        <f>A499+0.5</f>
        <v>2029.5</v>
      </c>
      <c r="B500" s="10">
        <v>0</v>
      </c>
      <c r="C500" s="10">
        <f t="shared" si="139"/>
        <v>3393</v>
      </c>
      <c r="D500" s="95">
        <f>6.8*A$79</f>
        <v>3.9666666666666668</v>
      </c>
      <c r="E500" s="122">
        <f t="shared" si="137"/>
        <v>13458.9</v>
      </c>
      <c r="F500" s="96">
        <f t="shared" si="138"/>
        <v>3.1733333333333338</v>
      </c>
    </row>
    <row r="501" spans="1:37" x14ac:dyDescent="0.15">
      <c r="A501" s="10">
        <f>A499+1</f>
        <v>2030</v>
      </c>
      <c r="C501" s="10">
        <f t="shared" si="139"/>
        <v>3393</v>
      </c>
      <c r="D501" s="95">
        <f>5*A$80</f>
        <v>2.0833333333333335</v>
      </c>
      <c r="E501" s="122">
        <f t="shared" si="137"/>
        <v>7068.7500000000009</v>
      </c>
      <c r="F501" s="96">
        <f t="shared" si="138"/>
        <v>1.666666666666667</v>
      </c>
    </row>
    <row r="502" spans="1:37" x14ac:dyDescent="0.15">
      <c r="A502" s="10">
        <f>A501+0.5</f>
        <v>2030.5</v>
      </c>
    </row>
    <row r="503" spans="1:37" x14ac:dyDescent="0.15">
      <c r="E503" s="16"/>
      <c r="F503" s="16"/>
      <c r="G503" s="17"/>
    </row>
    <row r="504" spans="1:37" x14ac:dyDescent="0.15">
      <c r="A504" s="10">
        <f>7/12</f>
        <v>0.58333333333333337</v>
      </c>
      <c r="B504" s="10" t="s">
        <v>1086</v>
      </c>
      <c r="C504" s="11" t="s">
        <v>132</v>
      </c>
      <c r="D504" s="11" t="s">
        <v>132</v>
      </c>
      <c r="E504" s="11" t="s">
        <v>132</v>
      </c>
      <c r="F504" s="11" t="s">
        <v>132</v>
      </c>
      <c r="G504" s="11" t="s">
        <v>132</v>
      </c>
      <c r="H504" s="11" t="s">
        <v>132</v>
      </c>
      <c r="I504" s="11" t="s">
        <v>132</v>
      </c>
      <c r="J504" s="11" t="s">
        <v>132</v>
      </c>
      <c r="K504" s="11" t="s">
        <v>132</v>
      </c>
      <c r="L504" s="11" t="s">
        <v>132</v>
      </c>
      <c r="M504" s="11" t="s">
        <v>132</v>
      </c>
      <c r="N504" s="11" t="s">
        <v>132</v>
      </c>
      <c r="O504" s="11" t="s">
        <v>132</v>
      </c>
      <c r="P504" s="11" t="s">
        <v>132</v>
      </c>
      <c r="Q504" s="11" t="s">
        <v>132</v>
      </c>
      <c r="R504" s="11" t="s">
        <v>132</v>
      </c>
      <c r="S504" s="11" t="s">
        <v>132</v>
      </c>
      <c r="T504" s="11" t="s">
        <v>132</v>
      </c>
      <c r="U504" s="11" t="s">
        <v>132</v>
      </c>
      <c r="V504" s="11" t="s">
        <v>132</v>
      </c>
      <c r="W504" s="11" t="s">
        <v>132</v>
      </c>
      <c r="X504" s="11" t="s">
        <v>132</v>
      </c>
      <c r="Y504" s="11" t="s">
        <v>132</v>
      </c>
      <c r="Z504" s="11" t="s">
        <v>132</v>
      </c>
      <c r="AA504" s="11" t="s">
        <v>132</v>
      </c>
      <c r="AB504" s="11" t="s">
        <v>132</v>
      </c>
      <c r="AC504" s="11" t="s">
        <v>132</v>
      </c>
      <c r="AD504" s="11" t="s">
        <v>132</v>
      </c>
      <c r="AE504" s="11" t="s">
        <v>132</v>
      </c>
      <c r="AF504" s="11" t="s">
        <v>132</v>
      </c>
      <c r="AG504" s="11" t="s">
        <v>132</v>
      </c>
      <c r="AH504" s="11" t="s">
        <v>132</v>
      </c>
      <c r="AI504" s="11" t="s">
        <v>132</v>
      </c>
      <c r="AJ504" s="11" t="s">
        <v>132</v>
      </c>
      <c r="AK504" s="11" t="s">
        <v>132</v>
      </c>
    </row>
    <row r="505" spans="1:37" x14ac:dyDescent="0.15">
      <c r="A505">
        <f>5/12</f>
        <v>0.41666666666666669</v>
      </c>
      <c r="B505" s="10" t="s">
        <v>1087</v>
      </c>
      <c r="C505" s="118" t="s">
        <v>1184</v>
      </c>
      <c r="E505" s="10">
        <v>38.700000000000003</v>
      </c>
      <c r="F505" s="10" t="s">
        <v>1456</v>
      </c>
      <c r="G505" s="10">
        <v>12.5</v>
      </c>
      <c r="H505" s="10">
        <v>13</v>
      </c>
      <c r="S505" s="10"/>
      <c r="T505" s="10"/>
      <c r="AI505" t="s">
        <v>1443</v>
      </c>
      <c r="AJ505" t="s">
        <v>1444</v>
      </c>
      <c r="AK505" t="s">
        <v>1445</v>
      </c>
    </row>
    <row r="506" spans="1:37" ht="28" customHeight="1" x14ac:dyDescent="0.15">
      <c r="A506" s="85" t="s">
        <v>946</v>
      </c>
      <c r="B506" s="10" t="s">
        <v>1058</v>
      </c>
      <c r="D506" s="97" t="s">
        <v>1056</v>
      </c>
      <c r="E506" s="97" t="s">
        <v>1439</v>
      </c>
      <c r="F506" s="97" t="s">
        <v>1056</v>
      </c>
      <c r="G506" s="97" t="s">
        <v>1427</v>
      </c>
      <c r="H506" s="97" t="s">
        <v>1428</v>
      </c>
      <c r="I506" s="85" t="s">
        <v>1208</v>
      </c>
      <c r="J506" s="85" t="s">
        <v>1201</v>
      </c>
      <c r="K506" s="85" t="s">
        <v>919</v>
      </c>
      <c r="L506" s="85" t="s">
        <v>1201</v>
      </c>
      <c r="M506" s="85" t="s">
        <v>947</v>
      </c>
      <c r="N506" s="85" t="s">
        <v>1202</v>
      </c>
      <c r="O506" s="85" t="s">
        <v>779</v>
      </c>
      <c r="P506" s="85" t="s">
        <v>1203</v>
      </c>
      <c r="Q506" s="85" t="s">
        <v>780</v>
      </c>
      <c r="R506" s="85" t="s">
        <v>1201</v>
      </c>
      <c r="S506" s="85" t="s">
        <v>948</v>
      </c>
      <c r="T506" s="85" t="s">
        <v>1201</v>
      </c>
      <c r="U506" s="85" t="s">
        <v>949</v>
      </c>
      <c r="V506" s="85" t="s">
        <v>1204</v>
      </c>
      <c r="W506" s="85" t="s">
        <v>950</v>
      </c>
      <c r="X506" s="85" t="s">
        <v>1163</v>
      </c>
      <c r="Y506" s="85" t="s">
        <v>783</v>
      </c>
      <c r="Z506" s="85" t="s">
        <v>1164</v>
      </c>
      <c r="AA506" s="85" t="s">
        <v>784</v>
      </c>
      <c r="AB506" s="85" t="s">
        <v>1202</v>
      </c>
      <c r="AC506" s="85" t="s">
        <v>785</v>
      </c>
      <c r="AD506" s="85" t="s">
        <v>1202</v>
      </c>
      <c r="AE506" s="85" t="s">
        <v>1205</v>
      </c>
      <c r="AF506" s="85" t="s">
        <v>1165</v>
      </c>
      <c r="AG506" s="85" t="s">
        <v>1060</v>
      </c>
      <c r="AH506" s="85" t="s">
        <v>1061</v>
      </c>
      <c r="AI506" s="10" t="s">
        <v>748</v>
      </c>
      <c r="AJ506" s="10" t="s">
        <v>748</v>
      </c>
      <c r="AK506" s="10" t="s">
        <v>748</v>
      </c>
    </row>
    <row r="507" spans="1:37" x14ac:dyDescent="0.15">
      <c r="A507" s="10">
        <v>2014.5</v>
      </c>
      <c r="C507" s="10">
        <v>38.700000000000003</v>
      </c>
      <c r="D507" s="96">
        <f>5/12*7</f>
        <v>2.916666666666667</v>
      </c>
      <c r="E507" s="122">
        <f>C507*D507</f>
        <v>112.87500000000001</v>
      </c>
      <c r="F507" s="96">
        <f>D507*0.8</f>
        <v>2.3333333333333335</v>
      </c>
      <c r="G507" s="96">
        <f>(C507*0.4*D507+G$505*0.6*F507)</f>
        <v>62.650000000000013</v>
      </c>
      <c r="H507" s="122">
        <f>(C507*0.4+H$505*0.6)*D507</f>
        <v>67.900000000000006</v>
      </c>
      <c r="I507" s="94">
        <f>'Modell During mining'!G507/1000000</f>
        <v>1.0170360000000001</v>
      </c>
      <c r="J507" s="94">
        <f>'Modell During mining'!D507</f>
        <v>8.9534883720930228E-2</v>
      </c>
      <c r="K507" s="93">
        <v>7.0000000000000007E-2</v>
      </c>
      <c r="L507" s="93">
        <v>0.05</v>
      </c>
      <c r="M507" s="93">
        <v>7.0000000000000007E-2</v>
      </c>
      <c r="N507" s="93">
        <v>0.05</v>
      </c>
      <c r="O507" s="93">
        <v>1.26</v>
      </c>
      <c r="P507" s="93">
        <v>0.01</v>
      </c>
      <c r="Q507" s="93">
        <v>1.6</v>
      </c>
      <c r="R507" s="93">
        <v>0</v>
      </c>
      <c r="S507" s="93">
        <v>0.36</v>
      </c>
      <c r="T507" s="93">
        <f>$AF507</f>
        <v>0.34</v>
      </c>
      <c r="U507" s="93">
        <v>25.21</v>
      </c>
      <c r="V507" s="93">
        <f>$AF507</f>
        <v>0.34</v>
      </c>
      <c r="W507" s="93">
        <v>21.42</v>
      </c>
      <c r="X507" s="93">
        <f>$AF507</f>
        <v>0.34</v>
      </c>
      <c r="Y507" s="93">
        <v>0.11</v>
      </c>
      <c r="Z507" s="93">
        <f>$AF507</f>
        <v>0.34</v>
      </c>
      <c r="AA507" s="93">
        <v>5.8</v>
      </c>
      <c r="AB507" s="93">
        <f>$AF507</f>
        <v>0.34</v>
      </c>
      <c r="AC507" s="93">
        <v>1.7</v>
      </c>
      <c r="AD507" s="10">
        <v>19.2</v>
      </c>
      <c r="AE507" s="93">
        <v>1.84</v>
      </c>
      <c r="AF507" s="10">
        <v>0.34</v>
      </c>
      <c r="AG507" s="10">
        <f t="shared" ref="AG507:AG538" si="140">S507+Y507+AA507+AC507</f>
        <v>7.97</v>
      </c>
      <c r="AH507" s="95">
        <f>I507+K507+M507+O507+Q507</f>
        <v>4.0170360000000009</v>
      </c>
      <c r="AI507" s="10">
        <v>0.34</v>
      </c>
      <c r="AJ507" s="10">
        <v>0.34</v>
      </c>
      <c r="AK507" s="10">
        <v>0.34</v>
      </c>
    </row>
    <row r="508" spans="1:37" x14ac:dyDescent="0.15">
      <c r="A508" s="10">
        <v>2015</v>
      </c>
      <c r="C508" s="10">
        <v>38.700000000000003</v>
      </c>
      <c r="D508" s="96">
        <f>5/12*5</f>
        <v>2.0833333333333335</v>
      </c>
      <c r="E508" s="122">
        <f t="shared" ref="E508:E538" si="141">C508*D508</f>
        <v>80.625000000000014</v>
      </c>
      <c r="F508" s="96">
        <f t="shared" ref="F508:F538" si="142">D508*0.8</f>
        <v>1.666666666666667</v>
      </c>
      <c r="G508" s="96">
        <f t="shared" ref="G508:G538" si="143">(C508*0.4*D508+G$505*0.6*F508)</f>
        <v>44.750000000000007</v>
      </c>
      <c r="H508" s="122">
        <f t="shared" ref="H508:H538" si="144">(C508*0.4+H$505*0.6)*D508</f>
        <v>48.500000000000007</v>
      </c>
      <c r="I508" s="94">
        <f>'Modell During mining'!G508/1000000</f>
        <v>0.78051599999999999</v>
      </c>
      <c r="J508" s="94">
        <f>'Modell During mining'!D508</f>
        <v>8.3333333333333343E-2</v>
      </c>
      <c r="K508" s="93">
        <v>0</v>
      </c>
      <c r="L508" s="93">
        <v>0.05</v>
      </c>
      <c r="M508" s="93">
        <v>0</v>
      </c>
      <c r="N508" s="93">
        <v>0.05</v>
      </c>
      <c r="O508" s="93">
        <v>1.26</v>
      </c>
      <c r="P508" s="93">
        <v>0.01</v>
      </c>
      <c r="Q508" s="93">
        <v>0</v>
      </c>
      <c r="R508" s="93">
        <v>0</v>
      </c>
      <c r="S508" s="93">
        <v>0.36</v>
      </c>
      <c r="T508" s="98">
        <f>$AF507</f>
        <v>0.34</v>
      </c>
      <c r="U508" s="93">
        <v>25.21</v>
      </c>
      <c r="V508" s="98">
        <f>$AF508</f>
        <v>16.66775322696747</v>
      </c>
      <c r="W508" s="93">
        <v>21.42</v>
      </c>
      <c r="X508" s="98">
        <f>$AF508</f>
        <v>16.66775322696747</v>
      </c>
      <c r="Y508" s="93">
        <v>0.11</v>
      </c>
      <c r="Z508" s="98">
        <f>$AF508</f>
        <v>16.66775322696747</v>
      </c>
      <c r="AA508" s="93">
        <v>5.8</v>
      </c>
      <c r="AB508" s="98">
        <f>$AF508</f>
        <v>16.66775322696747</v>
      </c>
      <c r="AC508" s="93">
        <v>1.7</v>
      </c>
      <c r="AD508" s="93">
        <v>2.5</v>
      </c>
      <c r="AE508" s="93">
        <v>1.84</v>
      </c>
      <c r="AF508" s="96">
        <f>AI508</f>
        <v>16.66775322696747</v>
      </c>
      <c r="AG508" s="10">
        <f t="shared" si="140"/>
        <v>7.97</v>
      </c>
      <c r="AH508" s="95">
        <f t="shared" ref="AH508:AH538" si="145">I508+K508+M508+O508+Q508</f>
        <v>2.0405160000000002</v>
      </c>
      <c r="AI508" s="96">
        <f>((E507+$I507*$J507+$K507*$L507+$M507*$N507+$O507*$P507-$S507*$T507)/($I507+$K507+$M507+$O507+$Q507+$I507-$S507)*$AH507+$AE507*$AF507)/($AH507+$AE507)</f>
        <v>16.66775322696747</v>
      </c>
      <c r="AJ508" s="96">
        <f>((G507+$I507*$J507+$K507*$L507+$M507*$N507+$O507*$P507-$S507*$T507)/($I507+$K507+$M507+$O507+$Q507+$I507-$S507)*$AH507+$AE507*$AF507)/($AH507+$AE507)</f>
        <v>9.2980096409774191</v>
      </c>
      <c r="AK508" s="96">
        <f>((H507+$I507*$J507+$K507*$L507+$M507*$N507+$O507*$P507-$S507*$T507)/($I507+$K507+$M507+$O507+$Q507+$I507-$S507)*$AH507+$AE507*$AF507)/($AH507+$AE507)</f>
        <v>10.068366113380559</v>
      </c>
    </row>
    <row r="509" spans="1:37" x14ac:dyDescent="0.15">
      <c r="A509" s="10">
        <v>2015.5</v>
      </c>
      <c r="C509" s="10">
        <v>38.700000000000003</v>
      </c>
      <c r="D509" s="96">
        <f>5.5/12*7</f>
        <v>3.208333333333333</v>
      </c>
      <c r="E509" s="122">
        <f t="shared" si="141"/>
        <v>124.16249999999999</v>
      </c>
      <c r="F509" s="96">
        <f t="shared" si="142"/>
        <v>2.5666666666666664</v>
      </c>
      <c r="G509" s="96">
        <f t="shared" si="143"/>
        <v>68.914999999999992</v>
      </c>
      <c r="H509" s="122">
        <f t="shared" si="144"/>
        <v>74.69</v>
      </c>
      <c r="I509" s="94">
        <f>'Modell During mining'!G509/1000000</f>
        <v>1.1187298666666667</v>
      </c>
      <c r="J509" s="94">
        <f>'Modell During mining'!D509</f>
        <v>9.0775026536045508E-2</v>
      </c>
      <c r="K509" s="93">
        <v>7.0000000000000007E-2</v>
      </c>
      <c r="L509" s="93">
        <v>0.05</v>
      </c>
      <c r="M509" s="93">
        <v>7.0000000000000007E-2</v>
      </c>
      <c r="N509" s="93">
        <v>0.05</v>
      </c>
      <c r="O509" s="93">
        <v>1.26</v>
      </c>
      <c r="P509" s="93">
        <v>0.01</v>
      </c>
      <c r="Q509" s="93">
        <v>1.6</v>
      </c>
      <c r="R509" s="93">
        <v>0</v>
      </c>
      <c r="S509" s="93">
        <v>0.36</v>
      </c>
      <c r="T509" s="98">
        <f t="shared" ref="T509:T538" si="146">$AF508</f>
        <v>16.66775322696747</v>
      </c>
      <c r="U509" s="93">
        <v>25.21</v>
      </c>
      <c r="V509" s="98">
        <f t="shared" ref="V509:AB538" si="147">$AF509</f>
        <v>25.120417085360586</v>
      </c>
      <c r="W509" s="93">
        <v>21.42</v>
      </c>
      <c r="X509" s="98">
        <f t="shared" si="147"/>
        <v>25.120417085360586</v>
      </c>
      <c r="Y509" s="93">
        <v>0.11</v>
      </c>
      <c r="Z509" s="98">
        <f t="shared" si="147"/>
        <v>25.120417085360586</v>
      </c>
      <c r="AA509" s="93">
        <v>5.8</v>
      </c>
      <c r="AB509" s="98">
        <f t="shared" si="147"/>
        <v>25.120417085360586</v>
      </c>
      <c r="AC509" s="93">
        <v>1.7</v>
      </c>
      <c r="AD509" s="98">
        <f>$AI508</f>
        <v>16.66775322696747</v>
      </c>
      <c r="AE509" s="93">
        <v>1.84</v>
      </c>
      <c r="AF509" s="96">
        <f t="shared" ref="AF509:AF538" si="148">AI509</f>
        <v>25.120417085360586</v>
      </c>
      <c r="AG509" s="10">
        <f t="shared" si="140"/>
        <v>7.97</v>
      </c>
      <c r="AH509" s="95">
        <f t="shared" si="145"/>
        <v>4.1187298666666674</v>
      </c>
      <c r="AI509" s="96">
        <f>((E508+I508*J508+K508*L508+M508*N508+O508*P508-S508*T508)/(I508+K508+M508+O508+Q508+I508-S508)*AH508+AE508*AF508)/(AH508+AE508)</f>
        <v>25.120417085360586</v>
      </c>
      <c r="AJ509" s="96">
        <f t="shared" ref="AJ509:AJ539" si="149">((G508+$I508*$J508+$K508*$L508+$M508*$N508+$O508*$P508-$S508*$T508)/($I508+$K508+$M508+$O508+$Q508+$I508-$S508)*$AH508+$AE508*$AF508)/($AH508+$AE508)</f>
        <v>17.455187360702588</v>
      </c>
      <c r="AK509" s="96">
        <f t="shared" ref="AK509:AK539" si="150">((H508+$I508*$J508+$K508*$L508+$M508*$N508+$O508*$P508-$S508*$T508)/($I508+$K508+$M508+$O508+$Q508+$I508-$S508)*$AH508+$AE508*$AF508)/($AH508+$AE508)</f>
        <v>18.256430885928161</v>
      </c>
    </row>
    <row r="510" spans="1:37" x14ac:dyDescent="0.15">
      <c r="A510" s="10">
        <f>A508+1</f>
        <v>2016</v>
      </c>
      <c r="C510" s="10">
        <v>38.700000000000003</v>
      </c>
      <c r="D510" s="96">
        <f>5/12*5</f>
        <v>2.0833333333333335</v>
      </c>
      <c r="E510" s="122">
        <f t="shared" si="141"/>
        <v>80.625000000000014</v>
      </c>
      <c r="F510" s="96">
        <f t="shared" si="142"/>
        <v>1.666666666666667</v>
      </c>
      <c r="G510" s="96">
        <f t="shared" si="143"/>
        <v>44.750000000000007</v>
      </c>
      <c r="H510" s="122">
        <f t="shared" si="144"/>
        <v>48.500000000000007</v>
      </c>
      <c r="I510" s="94">
        <f>'Modell During mining'!G510/1000000</f>
        <v>0.84864933333333337</v>
      </c>
      <c r="J510" s="94">
        <f>'Modell During mining'!D510</f>
        <v>8.5474251634361731E-2</v>
      </c>
      <c r="K510" s="93">
        <v>0</v>
      </c>
      <c r="L510" s="93">
        <v>0.05</v>
      </c>
      <c r="M510" s="93">
        <v>0</v>
      </c>
      <c r="N510" s="93">
        <v>0.05</v>
      </c>
      <c r="O510" s="93">
        <v>1.26</v>
      </c>
      <c r="P510" s="93">
        <v>0.01</v>
      </c>
      <c r="Q510" s="93">
        <v>0</v>
      </c>
      <c r="R510" s="93">
        <v>0</v>
      </c>
      <c r="S510" s="93">
        <v>0.36</v>
      </c>
      <c r="T510" s="98">
        <f t="shared" si="146"/>
        <v>25.120417085360586</v>
      </c>
      <c r="U510" s="93">
        <v>25.21</v>
      </c>
      <c r="V510" s="98">
        <f t="shared" si="147"/>
        <v>24.519465813150415</v>
      </c>
      <c r="W510" s="93">
        <v>21.42</v>
      </c>
      <c r="X510" s="98">
        <f t="shared" si="147"/>
        <v>24.519465813150415</v>
      </c>
      <c r="Y510" s="93">
        <v>0.11</v>
      </c>
      <c r="Z510" s="98">
        <f t="shared" si="147"/>
        <v>24.519465813150415</v>
      </c>
      <c r="AA510" s="93">
        <v>5.8</v>
      </c>
      <c r="AB510" s="98">
        <f t="shared" si="147"/>
        <v>24.519465813150415</v>
      </c>
      <c r="AC510" s="93">
        <v>1.7</v>
      </c>
      <c r="AD510" s="93">
        <v>2.5</v>
      </c>
      <c r="AE510" s="93">
        <v>1.84</v>
      </c>
      <c r="AF510" s="96">
        <f t="shared" si="148"/>
        <v>24.519465813150415</v>
      </c>
      <c r="AG510" s="10">
        <f t="shared" si="140"/>
        <v>7.97</v>
      </c>
      <c r="AH510" s="95">
        <f t="shared" si="145"/>
        <v>2.1086493333333332</v>
      </c>
      <c r="AI510" s="96">
        <f t="shared" ref="AI510:AI539" si="151">((E509+I509*J509+K509*L509+M509*N509+O509*P509-S509*T509)/(I509+K509+M509+O509+Q509+I509-S509)*AH509+AE509*AF509)/(AH509+AE509)</f>
        <v>24.519465813150415</v>
      </c>
      <c r="AJ510" s="96">
        <f t="shared" si="149"/>
        <v>16.690064590187472</v>
      </c>
      <c r="AK510" s="96">
        <f t="shared" si="150"/>
        <v>17.508468899207987</v>
      </c>
    </row>
    <row r="511" spans="1:37" x14ac:dyDescent="0.15">
      <c r="A511" s="10">
        <v>2016.5</v>
      </c>
      <c r="C511" s="10">
        <v>38.700000000000003</v>
      </c>
      <c r="D511" s="96">
        <f>5.5/12*7</f>
        <v>3.208333333333333</v>
      </c>
      <c r="E511" s="122">
        <f t="shared" si="141"/>
        <v>124.16249999999999</v>
      </c>
      <c r="F511" s="96">
        <f t="shared" si="142"/>
        <v>2.5666666666666664</v>
      </c>
      <c r="G511" s="96">
        <f t="shared" si="143"/>
        <v>68.914999999999992</v>
      </c>
      <c r="H511" s="122">
        <f t="shared" si="144"/>
        <v>74.69</v>
      </c>
      <c r="I511" s="94">
        <f>'Modell During mining'!G511/1000000</f>
        <v>1.2204237333333334</v>
      </c>
      <c r="J511" s="94">
        <f>'Modell During mining'!D511</f>
        <v>9.1808495366308834E-2</v>
      </c>
      <c r="K511" s="93">
        <v>7.0000000000000007E-2</v>
      </c>
      <c r="L511" s="93">
        <v>0.05</v>
      </c>
      <c r="M511" s="93">
        <v>7.0000000000000007E-2</v>
      </c>
      <c r="N511" s="93">
        <v>0.05</v>
      </c>
      <c r="O511" s="93">
        <v>1.26</v>
      </c>
      <c r="P511" s="93">
        <v>0.01</v>
      </c>
      <c r="Q511" s="93">
        <v>1.6</v>
      </c>
      <c r="R511" s="93">
        <v>0</v>
      </c>
      <c r="S511" s="93">
        <v>0.36</v>
      </c>
      <c r="T511" s="98">
        <f t="shared" si="146"/>
        <v>24.519465813150415</v>
      </c>
      <c r="U511" s="93">
        <v>25.21</v>
      </c>
      <c r="V511" s="98">
        <f t="shared" si="147"/>
        <v>26.160690435149359</v>
      </c>
      <c r="W511" s="93">
        <v>21.42</v>
      </c>
      <c r="X511" s="98">
        <f t="shared" si="147"/>
        <v>26.160690435149359</v>
      </c>
      <c r="Y511" s="93">
        <v>0.11</v>
      </c>
      <c r="Z511" s="98">
        <f t="shared" si="147"/>
        <v>26.160690435149359</v>
      </c>
      <c r="AA511" s="93">
        <v>5.8</v>
      </c>
      <c r="AB511" s="98">
        <f t="shared" si="147"/>
        <v>26.160690435149359</v>
      </c>
      <c r="AC511" s="93">
        <v>1.7</v>
      </c>
      <c r="AD511" s="98">
        <f>$AI510</f>
        <v>24.519465813150415</v>
      </c>
      <c r="AE511" s="93">
        <v>1.84</v>
      </c>
      <c r="AF511" s="96">
        <f t="shared" si="148"/>
        <v>26.160690435149359</v>
      </c>
      <c r="AG511" s="10">
        <f t="shared" si="140"/>
        <v>7.97</v>
      </c>
      <c r="AH511" s="95">
        <f t="shared" si="145"/>
        <v>4.2204237333333339</v>
      </c>
      <c r="AI511" s="96">
        <f t="shared" si="151"/>
        <v>26.160690435149359</v>
      </c>
      <c r="AJ511" s="96">
        <f t="shared" si="149"/>
        <v>18.784607130926407</v>
      </c>
      <c r="AK511" s="96">
        <f t="shared" si="150"/>
        <v>19.555626291646576</v>
      </c>
    </row>
    <row r="512" spans="1:37" x14ac:dyDescent="0.15">
      <c r="A512" s="10">
        <f>A510+1</f>
        <v>2017</v>
      </c>
      <c r="C512" s="10">
        <v>38.700000000000003</v>
      </c>
      <c r="D512" s="96">
        <f>5/12*5</f>
        <v>2.0833333333333335</v>
      </c>
      <c r="E512" s="122">
        <f t="shared" si="141"/>
        <v>80.625000000000014</v>
      </c>
      <c r="F512" s="96">
        <f t="shared" si="142"/>
        <v>1.666666666666667</v>
      </c>
      <c r="G512" s="96">
        <f t="shared" si="143"/>
        <v>44.750000000000007</v>
      </c>
      <c r="H512" s="122">
        <f t="shared" si="144"/>
        <v>48.500000000000007</v>
      </c>
      <c r="I512" s="94">
        <f>'Modell During mining'!G512/1000000</f>
        <v>0.91678266666666675</v>
      </c>
      <c r="J512" s="94">
        <f>'Modell During mining'!D512</f>
        <v>8.7296952967406319E-2</v>
      </c>
      <c r="K512" s="93">
        <v>0</v>
      </c>
      <c r="L512" s="93">
        <v>0.05</v>
      </c>
      <c r="M512" s="93">
        <v>0</v>
      </c>
      <c r="N512" s="93">
        <v>0.05</v>
      </c>
      <c r="O512" s="93">
        <v>1.26</v>
      </c>
      <c r="P512" s="93">
        <v>0.01</v>
      </c>
      <c r="Q512" s="93">
        <v>0</v>
      </c>
      <c r="R512" s="93">
        <v>0</v>
      </c>
      <c r="S512" s="93">
        <v>0.36</v>
      </c>
      <c r="T512" s="98">
        <f t="shared" si="146"/>
        <v>26.160690435149359</v>
      </c>
      <c r="U512" s="93">
        <v>25.21</v>
      </c>
      <c r="V512" s="98">
        <f t="shared" si="147"/>
        <v>23.768775707663075</v>
      </c>
      <c r="W512" s="93">
        <v>21.42</v>
      </c>
      <c r="X512" s="98">
        <f t="shared" si="147"/>
        <v>23.768775707663075</v>
      </c>
      <c r="Y512" s="93">
        <v>0.11</v>
      </c>
      <c r="Z512" s="98">
        <f t="shared" si="147"/>
        <v>23.768775707663075</v>
      </c>
      <c r="AA512" s="93">
        <v>5.8</v>
      </c>
      <c r="AB512" s="98">
        <f t="shared" si="147"/>
        <v>23.768775707663075</v>
      </c>
      <c r="AC512" s="93">
        <v>1.7</v>
      </c>
      <c r="AD512" s="93">
        <v>2.5</v>
      </c>
      <c r="AE512" s="93">
        <v>1.84</v>
      </c>
      <c r="AF512" s="96">
        <f t="shared" si="148"/>
        <v>23.768775707663075</v>
      </c>
      <c r="AG512" s="10">
        <f t="shared" si="140"/>
        <v>7.97</v>
      </c>
      <c r="AH512" s="95">
        <f t="shared" si="145"/>
        <v>2.176782666666667</v>
      </c>
      <c r="AI512" s="96">
        <f t="shared" si="151"/>
        <v>23.768775707663075</v>
      </c>
      <c r="AJ512" s="96">
        <f t="shared" si="149"/>
        <v>16.196445572964834</v>
      </c>
      <c r="AK512" s="96">
        <f t="shared" si="150"/>
        <v>16.987978339658028</v>
      </c>
    </row>
    <row r="513" spans="1:37" x14ac:dyDescent="0.15">
      <c r="A513" s="10">
        <f>A512+0.5</f>
        <v>2017.5</v>
      </c>
      <c r="C513" s="10">
        <v>38.700000000000003</v>
      </c>
      <c r="D513" s="96">
        <f>5.5/12*7</f>
        <v>3.208333333333333</v>
      </c>
      <c r="E513" s="122">
        <f t="shared" si="141"/>
        <v>124.16249999999999</v>
      </c>
      <c r="F513" s="96">
        <f t="shared" si="142"/>
        <v>2.5666666666666664</v>
      </c>
      <c r="G513" s="96">
        <f t="shared" si="143"/>
        <v>68.914999999999992</v>
      </c>
      <c r="H513" s="122">
        <f t="shared" si="144"/>
        <v>74.69</v>
      </c>
      <c r="I513" s="94">
        <f>'Modell During mining'!G513/1000000</f>
        <v>1.3221176000000001</v>
      </c>
      <c r="J513" s="94">
        <f>'Modell During mining'!D513</f>
        <v>9.2682980697027254E-2</v>
      </c>
      <c r="K513" s="93">
        <v>7.0000000000000007E-2</v>
      </c>
      <c r="L513" s="93">
        <v>0.05</v>
      </c>
      <c r="M513" s="93">
        <v>7.0000000000000007E-2</v>
      </c>
      <c r="N513" s="93">
        <v>0.05</v>
      </c>
      <c r="O513" s="93">
        <v>1.26</v>
      </c>
      <c r="P513" s="93">
        <v>0.01</v>
      </c>
      <c r="Q513" s="93">
        <v>1.6</v>
      </c>
      <c r="R513" s="93">
        <v>0</v>
      </c>
      <c r="S513" s="93">
        <v>0.36</v>
      </c>
      <c r="T513" s="98">
        <f t="shared" si="146"/>
        <v>23.768775707663075</v>
      </c>
      <c r="U513" s="93">
        <v>25.21</v>
      </c>
      <c r="V513" s="98">
        <f t="shared" si="147"/>
        <v>25.022944120675973</v>
      </c>
      <c r="W513" s="93">
        <v>21.42</v>
      </c>
      <c r="X513" s="98">
        <f t="shared" si="147"/>
        <v>25.022944120675973</v>
      </c>
      <c r="Y513" s="93">
        <v>0.11</v>
      </c>
      <c r="Z513" s="98">
        <f t="shared" si="147"/>
        <v>25.022944120675973</v>
      </c>
      <c r="AA513" s="93">
        <v>5.8</v>
      </c>
      <c r="AB513" s="98">
        <f t="shared" si="147"/>
        <v>25.022944120675973</v>
      </c>
      <c r="AC513" s="93">
        <v>1.7</v>
      </c>
      <c r="AD513" s="98">
        <f>$AI512</f>
        <v>23.768775707663075</v>
      </c>
      <c r="AE513" s="93">
        <v>1.84</v>
      </c>
      <c r="AF513" s="96">
        <f t="shared" si="148"/>
        <v>25.022944120675973</v>
      </c>
      <c r="AG513" s="10">
        <f t="shared" si="140"/>
        <v>7.97</v>
      </c>
      <c r="AH513" s="95">
        <f t="shared" si="145"/>
        <v>4.3221176000000003</v>
      </c>
      <c r="AI513" s="96">
        <f t="shared" si="151"/>
        <v>25.022944120675973</v>
      </c>
      <c r="AJ513" s="96">
        <f t="shared" si="149"/>
        <v>17.910822283988445</v>
      </c>
      <c r="AK513" s="96">
        <f t="shared" si="150"/>
        <v>18.654249653677038</v>
      </c>
    </row>
    <row r="514" spans="1:37" x14ac:dyDescent="0.15">
      <c r="A514" s="10">
        <f>A512+1</f>
        <v>2018</v>
      </c>
      <c r="C514" s="10">
        <v>38.700000000000003</v>
      </c>
      <c r="D514" s="96">
        <f>5/12*5</f>
        <v>2.0833333333333335</v>
      </c>
      <c r="E514" s="122">
        <f t="shared" si="141"/>
        <v>80.625000000000014</v>
      </c>
      <c r="F514" s="96">
        <f t="shared" si="142"/>
        <v>1.666666666666667</v>
      </c>
      <c r="G514" s="96">
        <f t="shared" si="143"/>
        <v>44.750000000000007</v>
      </c>
      <c r="H514" s="122">
        <f t="shared" si="144"/>
        <v>48.500000000000007</v>
      </c>
      <c r="I514" s="94">
        <f>'Modell During mining'!G514/1000000</f>
        <v>0.98491600000000012</v>
      </c>
      <c r="J514" s="94">
        <f>'Modell During mining'!D514</f>
        <v>8.8867477023421307E-2</v>
      </c>
      <c r="K514" s="93">
        <v>0</v>
      </c>
      <c r="L514" s="93">
        <v>0.05</v>
      </c>
      <c r="M514" s="93">
        <v>0</v>
      </c>
      <c r="N514" s="93">
        <v>0.05</v>
      </c>
      <c r="O514" s="93">
        <v>1.26</v>
      </c>
      <c r="P514" s="93">
        <v>0.01</v>
      </c>
      <c r="Q514" s="93">
        <v>0</v>
      </c>
      <c r="R514" s="93">
        <v>0</v>
      </c>
      <c r="S514" s="93">
        <v>0.36</v>
      </c>
      <c r="T514" s="98">
        <f t="shared" si="146"/>
        <v>25.022944120675973</v>
      </c>
      <c r="U514" s="93">
        <v>25.21</v>
      </c>
      <c r="V514" s="98">
        <f t="shared" si="147"/>
        <v>22.835576743832416</v>
      </c>
      <c r="W514" s="93">
        <v>21.42</v>
      </c>
      <c r="X514" s="98">
        <f t="shared" si="147"/>
        <v>22.835576743832416</v>
      </c>
      <c r="Y514" s="93">
        <v>0.11</v>
      </c>
      <c r="Z514" s="98">
        <f t="shared" si="147"/>
        <v>22.835576743832416</v>
      </c>
      <c r="AA514" s="93">
        <v>5.8</v>
      </c>
      <c r="AB514" s="98">
        <f t="shared" si="147"/>
        <v>22.835576743832416</v>
      </c>
      <c r="AC514" s="93">
        <v>1.7</v>
      </c>
      <c r="AD514" s="93">
        <v>2.5</v>
      </c>
      <c r="AE514" s="93">
        <v>1.84</v>
      </c>
      <c r="AF514" s="96">
        <f t="shared" si="148"/>
        <v>22.835576743832416</v>
      </c>
      <c r="AG514" s="10">
        <f t="shared" si="140"/>
        <v>7.97</v>
      </c>
      <c r="AH514" s="95">
        <f t="shared" si="145"/>
        <v>2.2449159999999999</v>
      </c>
      <c r="AI514" s="96">
        <f t="shared" si="151"/>
        <v>22.835576743832416</v>
      </c>
      <c r="AJ514" s="96">
        <f t="shared" si="149"/>
        <v>15.502316662457485</v>
      </c>
      <c r="AK514" s="96">
        <f t="shared" si="150"/>
        <v>16.268859528106432</v>
      </c>
    </row>
    <row r="515" spans="1:37" x14ac:dyDescent="0.15">
      <c r="A515" s="10">
        <f>A514+0.5</f>
        <v>2018.5</v>
      </c>
      <c r="C515" s="10">
        <v>38.700000000000003</v>
      </c>
      <c r="D515" s="96">
        <f>5.5/12*7</f>
        <v>3.208333333333333</v>
      </c>
      <c r="E515" s="122">
        <f t="shared" si="141"/>
        <v>124.16249999999999</v>
      </c>
      <c r="F515" s="96">
        <f t="shared" si="142"/>
        <v>2.5666666666666664</v>
      </c>
      <c r="G515" s="96">
        <f t="shared" si="143"/>
        <v>68.914999999999992</v>
      </c>
      <c r="H515" s="122">
        <f t="shared" si="144"/>
        <v>74.69</v>
      </c>
      <c r="I515" s="94">
        <f>'Modell During mining'!G515/1000000</f>
        <v>1.4238114666666668</v>
      </c>
      <c r="J515" s="94">
        <f>'Modell During mining'!D515</f>
        <v>9.3432548092041406E-2</v>
      </c>
      <c r="K515" s="93">
        <v>7.0000000000000007E-2</v>
      </c>
      <c r="L515" s="93">
        <v>0.05</v>
      </c>
      <c r="M515" s="93">
        <v>7.0000000000000007E-2</v>
      </c>
      <c r="N515" s="93">
        <v>0.05</v>
      </c>
      <c r="O515" s="93">
        <v>1.26</v>
      </c>
      <c r="P515" s="93">
        <v>0.01</v>
      </c>
      <c r="Q515" s="93">
        <v>3.6</v>
      </c>
      <c r="R515" s="93">
        <v>0</v>
      </c>
      <c r="S515" s="93">
        <v>0.36</v>
      </c>
      <c r="T515" s="98">
        <f t="shared" si="146"/>
        <v>22.835576743832416</v>
      </c>
      <c r="U515" s="93">
        <v>25.21</v>
      </c>
      <c r="V515" s="98">
        <f t="shared" si="147"/>
        <v>24.01952171408718</v>
      </c>
      <c r="W515" s="93">
        <v>21.42</v>
      </c>
      <c r="X515" s="98">
        <f t="shared" si="147"/>
        <v>24.01952171408718</v>
      </c>
      <c r="Y515" s="93">
        <v>0.11</v>
      </c>
      <c r="Z515" s="98">
        <f t="shared" si="147"/>
        <v>24.01952171408718</v>
      </c>
      <c r="AA515" s="93">
        <v>5.8</v>
      </c>
      <c r="AB515" s="98">
        <f t="shared" si="147"/>
        <v>24.01952171408718</v>
      </c>
      <c r="AC515" s="93">
        <v>1.7</v>
      </c>
      <c r="AD515" s="98">
        <f>$AI514</f>
        <v>22.835576743832416</v>
      </c>
      <c r="AE515" s="93">
        <v>1.84</v>
      </c>
      <c r="AF515" s="96">
        <f t="shared" si="148"/>
        <v>24.01952171408718</v>
      </c>
      <c r="AG515" s="10">
        <f t="shared" si="140"/>
        <v>7.97</v>
      </c>
      <c r="AH515" s="95">
        <f t="shared" si="145"/>
        <v>6.4238114666666668</v>
      </c>
      <c r="AI515" s="96">
        <f t="shared" si="151"/>
        <v>24.01952171408718</v>
      </c>
      <c r="AJ515" s="96">
        <f t="shared" si="149"/>
        <v>17.149590308490954</v>
      </c>
      <c r="AK515" s="96">
        <f t="shared" si="150"/>
        <v>17.867701605243173</v>
      </c>
    </row>
    <row r="516" spans="1:37" x14ac:dyDescent="0.15">
      <c r="A516" s="10">
        <f>A514+1</f>
        <v>2019</v>
      </c>
      <c r="C516" s="10">
        <v>38.700000000000003</v>
      </c>
      <c r="D516" s="96">
        <f>5/12*5</f>
        <v>2.0833333333333335</v>
      </c>
      <c r="E516" s="122">
        <f t="shared" si="141"/>
        <v>80.625000000000014</v>
      </c>
      <c r="F516" s="96">
        <f t="shared" si="142"/>
        <v>1.666666666666667</v>
      </c>
      <c r="G516" s="96">
        <f t="shared" si="143"/>
        <v>44.750000000000007</v>
      </c>
      <c r="H516" s="122">
        <f t="shared" si="144"/>
        <v>48.500000000000007</v>
      </c>
      <c r="I516" s="94">
        <f>'Modell During mining'!G516/1000000</f>
        <v>1.0530493333333335</v>
      </c>
      <c r="J516" s="94">
        <f>'Modell During mining'!D516</f>
        <v>9.0234772160088739E-2</v>
      </c>
      <c r="K516" s="93">
        <v>0</v>
      </c>
      <c r="L516" s="93">
        <v>0.05</v>
      </c>
      <c r="M516" s="93">
        <v>0</v>
      </c>
      <c r="N516" s="93">
        <v>0.05</v>
      </c>
      <c r="O516" s="93">
        <v>1.26</v>
      </c>
      <c r="P516" s="93">
        <v>0.01</v>
      </c>
      <c r="Q516" s="93">
        <v>0</v>
      </c>
      <c r="R516" s="93">
        <v>0</v>
      </c>
      <c r="S516" s="93">
        <v>0.36</v>
      </c>
      <c r="T516" s="98">
        <f t="shared" si="146"/>
        <v>24.01952171408718</v>
      </c>
      <c r="U516" s="93">
        <v>25.21</v>
      </c>
      <c r="V516" s="98">
        <f t="shared" si="147"/>
        <v>17.400690590506496</v>
      </c>
      <c r="W516" s="93">
        <v>21.42</v>
      </c>
      <c r="X516" s="98">
        <f t="shared" si="147"/>
        <v>17.400690590506496</v>
      </c>
      <c r="Y516" s="93">
        <v>0.11</v>
      </c>
      <c r="Z516" s="98">
        <f t="shared" si="147"/>
        <v>17.400690590506496</v>
      </c>
      <c r="AA516" s="93">
        <v>5.8</v>
      </c>
      <c r="AB516" s="98">
        <f t="shared" si="147"/>
        <v>17.400690590506496</v>
      </c>
      <c r="AC516" s="93">
        <v>1.7</v>
      </c>
      <c r="AD516" s="93">
        <v>2.5</v>
      </c>
      <c r="AE516" s="93">
        <v>1.84</v>
      </c>
      <c r="AF516" s="96">
        <f t="shared" si="148"/>
        <v>17.400690590506496</v>
      </c>
      <c r="AG516" s="10">
        <f t="shared" si="140"/>
        <v>7.97</v>
      </c>
      <c r="AH516" s="95">
        <f t="shared" si="145"/>
        <v>2.3130493333333337</v>
      </c>
      <c r="AI516" s="96">
        <f t="shared" si="151"/>
        <v>17.400690590506496</v>
      </c>
      <c r="AJ516" s="96">
        <f t="shared" si="149"/>
        <v>11.665061608131817</v>
      </c>
      <c r="AK516" s="96">
        <f t="shared" si="150"/>
        <v>12.264604707334746</v>
      </c>
    </row>
    <row r="517" spans="1:37" x14ac:dyDescent="0.15">
      <c r="A517" s="10">
        <f>A516+0.5</f>
        <v>2019.5</v>
      </c>
      <c r="C517" s="10">
        <v>38.700000000000003</v>
      </c>
      <c r="D517" s="96">
        <f>5.5/12*7</f>
        <v>3.208333333333333</v>
      </c>
      <c r="E517" s="122">
        <f t="shared" si="141"/>
        <v>124.16249999999999</v>
      </c>
      <c r="F517" s="96">
        <f t="shared" si="142"/>
        <v>2.5666666666666664</v>
      </c>
      <c r="G517" s="96">
        <f t="shared" si="143"/>
        <v>68.914999999999992</v>
      </c>
      <c r="H517" s="122">
        <f t="shared" si="144"/>
        <v>74.69</v>
      </c>
      <c r="I517" s="94">
        <f>'Modell During mining'!G517/1000000</f>
        <v>1.5255053333333335</v>
      </c>
      <c r="J517" s="94">
        <f>'Modell During mining'!D517</f>
        <v>9.4082179544439482E-2</v>
      </c>
      <c r="K517" s="93">
        <v>7.0000000000000007E-2</v>
      </c>
      <c r="L517" s="93">
        <v>0.05</v>
      </c>
      <c r="M517" s="93">
        <v>7.0000000000000007E-2</v>
      </c>
      <c r="N517" s="93">
        <v>0.05</v>
      </c>
      <c r="O517" s="93">
        <v>1.26</v>
      </c>
      <c r="P517" s="93">
        <v>0.01</v>
      </c>
      <c r="Q517" s="93">
        <v>1.6</v>
      </c>
      <c r="R517" s="93">
        <v>0</v>
      </c>
      <c r="S517" s="93">
        <v>0.36</v>
      </c>
      <c r="T517" s="98">
        <f t="shared" si="146"/>
        <v>17.400690590506496</v>
      </c>
      <c r="U517" s="93">
        <v>25.21</v>
      </c>
      <c r="V517" s="98">
        <f t="shared" si="147"/>
        <v>21.064929611742564</v>
      </c>
      <c r="W517" s="93">
        <v>21.42</v>
      </c>
      <c r="X517" s="98">
        <f t="shared" si="147"/>
        <v>21.064929611742564</v>
      </c>
      <c r="Y517" s="93">
        <v>0.11</v>
      </c>
      <c r="Z517" s="98">
        <f t="shared" si="147"/>
        <v>21.064929611742564</v>
      </c>
      <c r="AA517" s="93">
        <v>5.8</v>
      </c>
      <c r="AB517" s="98">
        <f t="shared" si="147"/>
        <v>21.064929611742564</v>
      </c>
      <c r="AC517" s="93">
        <v>1.7</v>
      </c>
      <c r="AD517" s="98">
        <f>$AI516</f>
        <v>17.400690590506496</v>
      </c>
      <c r="AE517" s="93">
        <v>1.84</v>
      </c>
      <c r="AF517" s="96">
        <f t="shared" si="148"/>
        <v>21.064929611742564</v>
      </c>
      <c r="AG517" s="10">
        <f t="shared" si="140"/>
        <v>7.97</v>
      </c>
      <c r="AH517" s="95">
        <f t="shared" si="145"/>
        <v>4.5255053333333333</v>
      </c>
      <c r="AI517" s="96">
        <f t="shared" si="151"/>
        <v>21.064929611742564</v>
      </c>
      <c r="AJ517" s="96">
        <f t="shared" si="149"/>
        <v>14.418223381457846</v>
      </c>
      <c r="AK517" s="96">
        <f t="shared" si="150"/>
        <v>15.113001036191438</v>
      </c>
    </row>
    <row r="518" spans="1:37" x14ac:dyDescent="0.15">
      <c r="A518" s="10">
        <f>A516+1</f>
        <v>2020</v>
      </c>
      <c r="C518" s="10">
        <v>38.700000000000003</v>
      </c>
      <c r="D518" s="96">
        <f>5/12*5</f>
        <v>2.0833333333333335</v>
      </c>
      <c r="E518" s="122">
        <f t="shared" si="141"/>
        <v>80.625000000000014</v>
      </c>
      <c r="F518" s="96">
        <f t="shared" si="142"/>
        <v>1.666666666666667</v>
      </c>
      <c r="G518" s="96">
        <f t="shared" si="143"/>
        <v>44.750000000000007</v>
      </c>
      <c r="H518" s="122">
        <f t="shared" si="144"/>
        <v>48.500000000000007</v>
      </c>
      <c r="I518" s="94">
        <f>'Modell During mining'!G518/1000000</f>
        <v>1.1211826666666669</v>
      </c>
      <c r="J518" s="94">
        <f>'Modell During mining'!D518</f>
        <v>9.1435888531990625E-2</v>
      </c>
      <c r="K518" s="93">
        <v>0</v>
      </c>
      <c r="L518" s="93">
        <v>0.05</v>
      </c>
      <c r="M518" s="93">
        <v>0</v>
      </c>
      <c r="N518" s="93">
        <v>0.05</v>
      </c>
      <c r="O518" s="93">
        <v>1.26</v>
      </c>
      <c r="P518" s="93">
        <v>0.01</v>
      </c>
      <c r="Q518" s="93">
        <v>0</v>
      </c>
      <c r="R518" s="93">
        <v>0</v>
      </c>
      <c r="S518" s="93">
        <v>0.36</v>
      </c>
      <c r="T518" s="98">
        <f t="shared" si="146"/>
        <v>21.064929611742564</v>
      </c>
      <c r="U518" s="93">
        <v>25.21</v>
      </c>
      <c r="V518" s="98">
        <f t="shared" si="147"/>
        <v>20.837647844746488</v>
      </c>
      <c r="W518" s="93">
        <v>21.42</v>
      </c>
      <c r="X518" s="98">
        <f t="shared" si="147"/>
        <v>20.837647844746488</v>
      </c>
      <c r="Y518" s="93">
        <v>0.11</v>
      </c>
      <c r="Z518" s="98">
        <f t="shared" si="147"/>
        <v>20.837647844746488</v>
      </c>
      <c r="AA518" s="93">
        <v>5.8</v>
      </c>
      <c r="AB518" s="98">
        <f t="shared" si="147"/>
        <v>20.837647844746488</v>
      </c>
      <c r="AC518" s="93">
        <v>1.7</v>
      </c>
      <c r="AD518" s="93">
        <v>2.5</v>
      </c>
      <c r="AE518" s="93">
        <v>1.84</v>
      </c>
      <c r="AF518" s="96">
        <f t="shared" si="148"/>
        <v>20.837647844746488</v>
      </c>
      <c r="AG518" s="10">
        <f t="shared" si="140"/>
        <v>7.97</v>
      </c>
      <c r="AH518" s="95">
        <f t="shared" si="145"/>
        <v>2.3811826666666667</v>
      </c>
      <c r="AI518" s="96">
        <f t="shared" si="151"/>
        <v>20.837647844746488</v>
      </c>
      <c r="AJ518" s="96">
        <f t="shared" si="149"/>
        <v>13.935926422285721</v>
      </c>
      <c r="AK518" s="96">
        <f t="shared" si="150"/>
        <v>14.657360717316465</v>
      </c>
    </row>
    <row r="519" spans="1:37" x14ac:dyDescent="0.15">
      <c r="A519" s="10">
        <f>A518+0.5</f>
        <v>2020.5</v>
      </c>
      <c r="C519" s="10">
        <v>38.700000000000003</v>
      </c>
      <c r="D519" s="96">
        <f>5.5/12*7</f>
        <v>3.208333333333333</v>
      </c>
      <c r="E519" s="122">
        <f t="shared" si="141"/>
        <v>124.16249999999999</v>
      </c>
      <c r="F519" s="96">
        <f t="shared" si="142"/>
        <v>2.5666666666666664</v>
      </c>
      <c r="G519" s="96">
        <f t="shared" si="143"/>
        <v>68.914999999999992</v>
      </c>
      <c r="H519" s="122">
        <f t="shared" si="144"/>
        <v>74.69</v>
      </c>
      <c r="I519" s="94">
        <f>'Modell During mining'!G519/1000000</f>
        <v>1.6271992000000002</v>
      </c>
      <c r="J519" s="94">
        <f>'Modell During mining'!D519</f>
        <v>9.4650611922621392E-2</v>
      </c>
      <c r="K519" s="93">
        <v>7.0000000000000007E-2</v>
      </c>
      <c r="L519" s="93">
        <v>0.05</v>
      </c>
      <c r="M519" s="93">
        <v>7.0000000000000007E-2</v>
      </c>
      <c r="N519" s="93">
        <v>0.05</v>
      </c>
      <c r="O519" s="93">
        <v>1.26</v>
      </c>
      <c r="P519" s="93">
        <v>0.01</v>
      </c>
      <c r="Q519" s="93">
        <v>1.6</v>
      </c>
      <c r="R519" s="93">
        <v>0</v>
      </c>
      <c r="S519" s="93">
        <v>0.36</v>
      </c>
      <c r="T519" s="98">
        <f t="shared" si="146"/>
        <v>20.837647844746488</v>
      </c>
      <c r="U519" s="93">
        <v>25.21</v>
      </c>
      <c r="V519" s="98">
        <f t="shared" si="147"/>
        <v>22.21583112899399</v>
      </c>
      <c r="W519" s="93">
        <v>21.42</v>
      </c>
      <c r="X519" s="98">
        <f t="shared" si="147"/>
        <v>22.21583112899399</v>
      </c>
      <c r="Y519" s="93">
        <v>0.11</v>
      </c>
      <c r="Z519" s="98">
        <f t="shared" si="147"/>
        <v>22.21583112899399</v>
      </c>
      <c r="AA519" s="93">
        <v>5.8</v>
      </c>
      <c r="AB519" s="98">
        <f t="shared" si="147"/>
        <v>22.21583112899399</v>
      </c>
      <c r="AC519" s="93">
        <v>1.7</v>
      </c>
      <c r="AD519" s="98">
        <f>$AI518</f>
        <v>20.837647844746488</v>
      </c>
      <c r="AE519" s="93">
        <v>1.84</v>
      </c>
      <c r="AF519" s="96">
        <f t="shared" si="148"/>
        <v>22.21583112899399</v>
      </c>
      <c r="AG519" s="10">
        <f t="shared" si="140"/>
        <v>7.97</v>
      </c>
      <c r="AH519" s="95">
        <f t="shared" si="145"/>
        <v>4.6271991999999997</v>
      </c>
      <c r="AI519" s="96">
        <f t="shared" si="151"/>
        <v>22.21583112899399</v>
      </c>
      <c r="AJ519" s="96">
        <f t="shared" si="149"/>
        <v>15.775713480501313</v>
      </c>
      <c r="AK519" s="96">
        <f t="shared" si="150"/>
        <v>16.448896509960473</v>
      </c>
    </row>
    <row r="520" spans="1:37" x14ac:dyDescent="0.15">
      <c r="A520" s="10">
        <f>A518+1</f>
        <v>2021</v>
      </c>
      <c r="C520" s="10">
        <v>38.700000000000003</v>
      </c>
      <c r="D520" s="96">
        <f>5/12*5</f>
        <v>2.0833333333333335</v>
      </c>
      <c r="E520" s="122">
        <f t="shared" si="141"/>
        <v>80.625000000000014</v>
      </c>
      <c r="F520" s="96">
        <f t="shared" si="142"/>
        <v>1.666666666666667</v>
      </c>
      <c r="G520" s="96">
        <f t="shared" si="143"/>
        <v>44.750000000000007</v>
      </c>
      <c r="H520" s="122">
        <f t="shared" si="144"/>
        <v>48.500000000000007</v>
      </c>
      <c r="I520" s="94">
        <f>'Modell During mining'!G520/1000000</f>
        <v>1.1893160000000003</v>
      </c>
      <c r="J520" s="94">
        <f>'Modell During mining'!D520</f>
        <v>9.2499386201816844E-2</v>
      </c>
      <c r="K520" s="93">
        <v>0</v>
      </c>
      <c r="L520" s="93">
        <v>0.05</v>
      </c>
      <c r="M520" s="93">
        <v>0</v>
      </c>
      <c r="N520" s="93">
        <v>0.05</v>
      </c>
      <c r="O520" s="93">
        <v>1.26</v>
      </c>
      <c r="P520" s="93">
        <v>0.01</v>
      </c>
      <c r="Q520" s="93">
        <v>0</v>
      </c>
      <c r="R520" s="93">
        <v>0</v>
      </c>
      <c r="S520" s="93">
        <v>0.36</v>
      </c>
      <c r="T520" s="98">
        <f t="shared" si="146"/>
        <v>22.21583112899399</v>
      </c>
      <c r="U520" s="93">
        <v>25.21</v>
      </c>
      <c r="V520" s="98">
        <f t="shared" si="147"/>
        <v>20.502565077549978</v>
      </c>
      <c r="W520" s="93">
        <v>21.42</v>
      </c>
      <c r="X520" s="98">
        <f t="shared" si="147"/>
        <v>20.502565077549978</v>
      </c>
      <c r="Y520" s="93">
        <v>0.11</v>
      </c>
      <c r="Z520" s="98">
        <f t="shared" si="147"/>
        <v>20.502565077549978</v>
      </c>
      <c r="AA520" s="93">
        <v>5.8</v>
      </c>
      <c r="AB520" s="98">
        <f t="shared" si="147"/>
        <v>20.502565077549978</v>
      </c>
      <c r="AC520" s="93">
        <v>1.7</v>
      </c>
      <c r="AD520" s="93">
        <v>2.5</v>
      </c>
      <c r="AE520" s="93">
        <v>1.84</v>
      </c>
      <c r="AF520" s="96">
        <f t="shared" si="148"/>
        <v>20.502565077549978</v>
      </c>
      <c r="AG520" s="10">
        <f t="shared" si="140"/>
        <v>7.97</v>
      </c>
      <c r="AH520" s="95">
        <f t="shared" si="145"/>
        <v>2.4493160000000005</v>
      </c>
      <c r="AI520" s="96">
        <f t="shared" si="151"/>
        <v>20.502565077549978</v>
      </c>
      <c r="AJ520" s="96">
        <f t="shared" si="149"/>
        <v>13.796386679535685</v>
      </c>
      <c r="AK520" s="96">
        <f t="shared" si="150"/>
        <v>14.49738093716784</v>
      </c>
    </row>
    <row r="521" spans="1:37" x14ac:dyDescent="0.15">
      <c r="A521" s="10">
        <f>A520+0.5</f>
        <v>2021.5</v>
      </c>
      <c r="C521" s="10">
        <v>38.700000000000003</v>
      </c>
      <c r="D521" s="96">
        <f>5.5/12*7</f>
        <v>3.208333333333333</v>
      </c>
      <c r="E521" s="122">
        <f t="shared" si="141"/>
        <v>124.16249999999999</v>
      </c>
      <c r="F521" s="96">
        <f t="shared" si="142"/>
        <v>2.5666666666666664</v>
      </c>
      <c r="G521" s="96">
        <f t="shared" si="143"/>
        <v>68.914999999999992</v>
      </c>
      <c r="H521" s="122">
        <f t="shared" si="144"/>
        <v>74.69</v>
      </c>
      <c r="I521" s="94">
        <f>'Modell During mining'!G521/1000000</f>
        <v>1.7288930666666671</v>
      </c>
      <c r="J521" s="94">
        <f>'Modell During mining'!D521</f>
        <v>9.515217366826928E-2</v>
      </c>
      <c r="K521" s="93">
        <v>7.0000000000000007E-2</v>
      </c>
      <c r="L521" s="93">
        <v>0.05</v>
      </c>
      <c r="M521" s="93">
        <v>7.0000000000000007E-2</v>
      </c>
      <c r="N521" s="93">
        <v>0.05</v>
      </c>
      <c r="O521" s="93">
        <v>1.26</v>
      </c>
      <c r="P521" s="93">
        <v>0.01</v>
      </c>
      <c r="Q521" s="93">
        <v>1.6</v>
      </c>
      <c r="R521" s="93">
        <v>0</v>
      </c>
      <c r="S521" s="93">
        <v>0.36</v>
      </c>
      <c r="T521" s="98">
        <f t="shared" si="146"/>
        <v>20.502565077549978</v>
      </c>
      <c r="U521" s="93">
        <v>25.21</v>
      </c>
      <c r="V521" s="98">
        <f t="shared" si="147"/>
        <v>21.4656255695825</v>
      </c>
      <c r="W521" s="93">
        <v>21.42</v>
      </c>
      <c r="X521" s="98">
        <f t="shared" si="147"/>
        <v>21.4656255695825</v>
      </c>
      <c r="Y521" s="93">
        <v>0.11</v>
      </c>
      <c r="Z521" s="98">
        <f t="shared" si="147"/>
        <v>21.4656255695825</v>
      </c>
      <c r="AA521" s="93">
        <v>5.8</v>
      </c>
      <c r="AB521" s="98">
        <f t="shared" si="147"/>
        <v>21.4656255695825</v>
      </c>
      <c r="AC521" s="93">
        <v>1.7</v>
      </c>
      <c r="AD521" s="98">
        <f>$AI520</f>
        <v>20.502565077549978</v>
      </c>
      <c r="AE521" s="93">
        <v>1.84</v>
      </c>
      <c r="AF521" s="96">
        <f t="shared" si="148"/>
        <v>21.4656255695825</v>
      </c>
      <c r="AG521" s="10">
        <f t="shared" si="140"/>
        <v>7.97</v>
      </c>
      <c r="AH521" s="95">
        <f t="shared" si="145"/>
        <v>4.728893066666668</v>
      </c>
      <c r="AI521" s="96">
        <f t="shared" si="151"/>
        <v>21.4656255695825</v>
      </c>
      <c r="AJ521" s="96">
        <f t="shared" si="149"/>
        <v>15.217409875202904</v>
      </c>
      <c r="AK521" s="96">
        <f t="shared" si="150"/>
        <v>15.870533466949899</v>
      </c>
    </row>
    <row r="522" spans="1:37" x14ac:dyDescent="0.15">
      <c r="A522" s="10">
        <f>A520+1</f>
        <v>2022</v>
      </c>
      <c r="C522" s="10">
        <v>38.700000000000003</v>
      </c>
      <c r="D522" s="96">
        <f>5/12*5</f>
        <v>2.0833333333333335</v>
      </c>
      <c r="E522" s="122">
        <f t="shared" si="141"/>
        <v>80.625000000000014</v>
      </c>
      <c r="F522" s="96">
        <f t="shared" si="142"/>
        <v>1.666666666666667</v>
      </c>
      <c r="G522" s="96">
        <f t="shared" si="143"/>
        <v>44.750000000000007</v>
      </c>
      <c r="H522" s="122">
        <f t="shared" si="144"/>
        <v>48.500000000000007</v>
      </c>
      <c r="I522" s="94">
        <f>'Modell During mining'!G522/1000000</f>
        <v>1.2574493333333334</v>
      </c>
      <c r="J522" s="94">
        <f>'Modell During mining'!D522</f>
        <v>9.3447635265887452E-2</v>
      </c>
      <c r="K522" s="93">
        <v>0</v>
      </c>
      <c r="L522" s="93">
        <v>0.05</v>
      </c>
      <c r="M522" s="93">
        <v>0</v>
      </c>
      <c r="N522" s="93">
        <v>0.05</v>
      </c>
      <c r="O522" s="93">
        <v>1.26</v>
      </c>
      <c r="P522" s="93">
        <v>0.01</v>
      </c>
      <c r="Q522" s="93">
        <v>0</v>
      </c>
      <c r="R522" s="93">
        <v>0</v>
      </c>
      <c r="S522" s="93">
        <v>0.36</v>
      </c>
      <c r="T522" s="98">
        <f t="shared" si="146"/>
        <v>21.4656255695825</v>
      </c>
      <c r="U522" s="93">
        <v>25.21</v>
      </c>
      <c r="V522" s="98">
        <f t="shared" si="147"/>
        <v>19.821420052202544</v>
      </c>
      <c r="W522" s="93">
        <v>21.42</v>
      </c>
      <c r="X522" s="98">
        <f t="shared" si="147"/>
        <v>19.821420052202544</v>
      </c>
      <c r="Y522" s="93">
        <v>0.11</v>
      </c>
      <c r="Z522" s="98">
        <f t="shared" si="147"/>
        <v>19.821420052202544</v>
      </c>
      <c r="AA522" s="93">
        <v>5.8</v>
      </c>
      <c r="AB522" s="98">
        <f t="shared" si="147"/>
        <v>19.821420052202544</v>
      </c>
      <c r="AC522" s="93">
        <v>1.7</v>
      </c>
      <c r="AD522" s="93">
        <v>2.5</v>
      </c>
      <c r="AE522" s="93">
        <v>1.84</v>
      </c>
      <c r="AF522" s="96">
        <f t="shared" si="148"/>
        <v>19.821420052202544</v>
      </c>
      <c r="AG522" s="10">
        <f t="shared" si="140"/>
        <v>7.97</v>
      </c>
      <c r="AH522" s="95">
        <f t="shared" si="145"/>
        <v>2.5174493333333334</v>
      </c>
      <c r="AI522" s="96">
        <f t="shared" si="151"/>
        <v>19.821420052202544</v>
      </c>
      <c r="AJ522" s="96">
        <f t="shared" si="149"/>
        <v>13.299015332245137</v>
      </c>
      <c r="AK522" s="96">
        <f t="shared" si="150"/>
        <v>13.980799797745913</v>
      </c>
    </row>
    <row r="523" spans="1:37" x14ac:dyDescent="0.15">
      <c r="A523" s="10">
        <f>A522+0.5</f>
        <v>2022.5</v>
      </c>
      <c r="C523" s="10">
        <v>38.700000000000003</v>
      </c>
      <c r="D523" s="96">
        <f>5.5/12*7</f>
        <v>3.208333333333333</v>
      </c>
      <c r="E523" s="122">
        <f t="shared" si="141"/>
        <v>124.16249999999999</v>
      </c>
      <c r="F523" s="96">
        <f t="shared" si="142"/>
        <v>2.5666666666666664</v>
      </c>
      <c r="G523" s="96">
        <f t="shared" si="143"/>
        <v>68.914999999999992</v>
      </c>
      <c r="H523" s="122">
        <f t="shared" si="144"/>
        <v>74.69</v>
      </c>
      <c r="I523" s="94">
        <f>'Modell During mining'!G523/1000000</f>
        <v>1.8305869333333338</v>
      </c>
      <c r="J523" s="94">
        <f>'Modell During mining'!D523</f>
        <v>9.5598009294213984E-2</v>
      </c>
      <c r="K523" s="93">
        <v>7.0000000000000007E-2</v>
      </c>
      <c r="L523" s="93">
        <v>0.05</v>
      </c>
      <c r="M523" s="93">
        <v>7.0000000000000007E-2</v>
      </c>
      <c r="N523" s="93">
        <v>0.05</v>
      </c>
      <c r="O523" s="93">
        <v>1.26</v>
      </c>
      <c r="P523" s="93">
        <v>0.01</v>
      </c>
      <c r="Q523" s="93">
        <v>0.6</v>
      </c>
      <c r="R523" s="93">
        <v>0</v>
      </c>
      <c r="S523" s="93">
        <v>0.36</v>
      </c>
      <c r="T523" s="98">
        <f t="shared" si="146"/>
        <v>19.821420052202544</v>
      </c>
      <c r="U523" s="93">
        <v>25.21</v>
      </c>
      <c r="V523" s="98">
        <f t="shared" si="147"/>
        <v>20.724732743905115</v>
      </c>
      <c r="W523" s="93">
        <v>21.42</v>
      </c>
      <c r="X523" s="98">
        <f t="shared" si="147"/>
        <v>20.724732743905115</v>
      </c>
      <c r="Y523" s="93">
        <v>0.11</v>
      </c>
      <c r="Z523" s="98">
        <f t="shared" si="147"/>
        <v>20.724732743905115</v>
      </c>
      <c r="AA523" s="93">
        <v>5.8</v>
      </c>
      <c r="AB523" s="98">
        <f t="shared" si="147"/>
        <v>20.724732743905115</v>
      </c>
      <c r="AC523" s="93">
        <v>1.7</v>
      </c>
      <c r="AD523" s="98">
        <f>$AI522</f>
        <v>19.821420052202544</v>
      </c>
      <c r="AE523" s="93">
        <v>1.84</v>
      </c>
      <c r="AF523" s="96">
        <f t="shared" si="148"/>
        <v>20.724732743905115</v>
      </c>
      <c r="AG523" s="10">
        <f t="shared" si="140"/>
        <v>7.97</v>
      </c>
      <c r="AH523" s="95">
        <f t="shared" si="145"/>
        <v>3.830586933333334</v>
      </c>
      <c r="AI523" s="96">
        <f t="shared" si="151"/>
        <v>20.724732743905115</v>
      </c>
      <c r="AJ523" s="96">
        <f t="shared" si="149"/>
        <v>14.655378568612967</v>
      </c>
      <c r="AK523" s="96">
        <f t="shared" si="150"/>
        <v>15.289805834322946</v>
      </c>
    </row>
    <row r="524" spans="1:37" x14ac:dyDescent="0.15">
      <c r="A524" s="10">
        <f>A522+1</f>
        <v>2023</v>
      </c>
      <c r="C524" s="10">
        <v>38.700000000000003</v>
      </c>
      <c r="D524" s="96">
        <f>5/12*5</f>
        <v>2.0833333333333335</v>
      </c>
      <c r="E524" s="122">
        <f t="shared" si="141"/>
        <v>80.625000000000014</v>
      </c>
      <c r="F524" s="96">
        <f t="shared" si="142"/>
        <v>1.666666666666667</v>
      </c>
      <c r="G524" s="96">
        <f t="shared" si="143"/>
        <v>44.750000000000007</v>
      </c>
      <c r="H524" s="122">
        <f t="shared" si="144"/>
        <v>48.500000000000007</v>
      </c>
      <c r="I524" s="94">
        <f>'Modell During mining'!G524/1000000</f>
        <v>1.3255826666666668</v>
      </c>
      <c r="J524" s="94">
        <f>'Modell During mining'!D524</f>
        <v>9.4298406637785451E-2</v>
      </c>
      <c r="K524" s="93">
        <v>0</v>
      </c>
      <c r="L524" s="93">
        <v>0.05</v>
      </c>
      <c r="M524" s="93">
        <v>0</v>
      </c>
      <c r="N524" s="93">
        <v>0.05</v>
      </c>
      <c r="O524" s="93">
        <v>1.26</v>
      </c>
      <c r="P524" s="93">
        <v>0.01</v>
      </c>
      <c r="Q524" s="93">
        <v>0</v>
      </c>
      <c r="R524" s="93">
        <v>0</v>
      </c>
      <c r="S524" s="93">
        <v>0.36</v>
      </c>
      <c r="T524" s="98">
        <f t="shared" si="146"/>
        <v>20.724732743905115</v>
      </c>
      <c r="U524" s="93">
        <v>25.21</v>
      </c>
      <c r="V524" s="98">
        <f t="shared" si="147"/>
        <v>21.662091113920773</v>
      </c>
      <c r="W524" s="93">
        <v>21.42</v>
      </c>
      <c r="X524" s="98">
        <f t="shared" si="147"/>
        <v>21.662091113920773</v>
      </c>
      <c r="Y524" s="93">
        <v>0.11</v>
      </c>
      <c r="Z524" s="98">
        <f t="shared" si="147"/>
        <v>21.662091113920773</v>
      </c>
      <c r="AA524" s="93">
        <v>5.8</v>
      </c>
      <c r="AB524" s="98">
        <f t="shared" si="147"/>
        <v>21.662091113920773</v>
      </c>
      <c r="AC524" s="93">
        <v>1.7</v>
      </c>
      <c r="AD524" s="93">
        <v>2.5</v>
      </c>
      <c r="AE524" s="93">
        <v>1.84</v>
      </c>
      <c r="AF524" s="96">
        <f t="shared" si="148"/>
        <v>21.662091113920773</v>
      </c>
      <c r="AG524" s="10">
        <f t="shared" si="140"/>
        <v>7.97</v>
      </c>
      <c r="AH524" s="95">
        <f t="shared" si="145"/>
        <v>2.5855826666666668</v>
      </c>
      <c r="AI524" s="96">
        <f t="shared" si="151"/>
        <v>21.662091113920773</v>
      </c>
      <c r="AJ524" s="96">
        <f t="shared" si="149"/>
        <v>14.622006282705778</v>
      </c>
      <c r="AK524" s="96">
        <f t="shared" si="150"/>
        <v>15.357903651822326</v>
      </c>
    </row>
    <row r="525" spans="1:37" x14ac:dyDescent="0.15">
      <c r="A525" s="10">
        <f>A524+0.5</f>
        <v>2023.5</v>
      </c>
      <c r="C525" s="10">
        <v>38.700000000000003</v>
      </c>
      <c r="D525" s="96">
        <f>5.5/12*7</f>
        <v>3.208333333333333</v>
      </c>
      <c r="E525" s="122">
        <f t="shared" si="141"/>
        <v>124.16249999999999</v>
      </c>
      <c r="F525" s="96">
        <f t="shared" si="142"/>
        <v>2.5666666666666664</v>
      </c>
      <c r="G525" s="96">
        <f t="shared" si="143"/>
        <v>68.914999999999992</v>
      </c>
      <c r="H525" s="122">
        <f t="shared" si="144"/>
        <v>74.69</v>
      </c>
      <c r="I525" s="94">
        <f>'Modell During mining'!G525/1000000</f>
        <v>1.9322808000000005</v>
      </c>
      <c r="J525" s="94">
        <f>'Modell During mining'!D525</f>
        <v>9.5996917218242814E-2</v>
      </c>
      <c r="K525" s="93">
        <v>7.0000000000000007E-2</v>
      </c>
      <c r="L525" s="93">
        <v>0.05</v>
      </c>
      <c r="M525" s="93">
        <v>7.0000000000000007E-2</v>
      </c>
      <c r="N525" s="93">
        <v>0.05</v>
      </c>
      <c r="O525" s="93">
        <v>1.26</v>
      </c>
      <c r="P525" s="93">
        <v>0.01</v>
      </c>
      <c r="Q525" s="93">
        <v>1.6</v>
      </c>
      <c r="R525" s="93">
        <v>0</v>
      </c>
      <c r="S525" s="93">
        <v>0.36</v>
      </c>
      <c r="T525" s="98">
        <f t="shared" si="146"/>
        <v>21.662091113920773</v>
      </c>
      <c r="U525" s="93">
        <v>25.21</v>
      </c>
      <c r="V525" s="98">
        <f t="shared" si="147"/>
        <v>21.065877721106013</v>
      </c>
      <c r="W525" s="93">
        <v>21.42</v>
      </c>
      <c r="X525" s="98">
        <f t="shared" si="147"/>
        <v>21.065877721106013</v>
      </c>
      <c r="Y525" s="93">
        <v>0.11</v>
      </c>
      <c r="Z525" s="98">
        <f t="shared" si="147"/>
        <v>21.065877721106013</v>
      </c>
      <c r="AA525" s="93">
        <v>5.8</v>
      </c>
      <c r="AB525" s="98">
        <f t="shared" si="147"/>
        <v>21.065877721106013</v>
      </c>
      <c r="AC525" s="93">
        <v>1.7</v>
      </c>
      <c r="AD525" s="98">
        <f>$AI524</f>
        <v>21.662091113920773</v>
      </c>
      <c r="AE525" s="93">
        <v>1.84</v>
      </c>
      <c r="AF525" s="96">
        <f t="shared" si="148"/>
        <v>21.065877721106013</v>
      </c>
      <c r="AG525" s="10">
        <f t="shared" si="140"/>
        <v>7.97</v>
      </c>
      <c r="AH525" s="95">
        <f t="shared" si="145"/>
        <v>4.9322808000000009</v>
      </c>
      <c r="AI525" s="96">
        <f t="shared" si="151"/>
        <v>21.065877721106013</v>
      </c>
      <c r="AJ525" s="96">
        <f t="shared" si="149"/>
        <v>15.163744778947628</v>
      </c>
      <c r="AK525" s="96">
        <f t="shared" si="150"/>
        <v>15.780692473249898</v>
      </c>
    </row>
    <row r="526" spans="1:37" x14ac:dyDescent="0.15">
      <c r="A526" s="10">
        <f>A524+1</f>
        <v>2024</v>
      </c>
      <c r="C526" s="10">
        <v>38.700000000000003</v>
      </c>
      <c r="D526" s="96">
        <f>5/12*5</f>
        <v>2.0833333333333335</v>
      </c>
      <c r="E526" s="122">
        <f t="shared" si="141"/>
        <v>80.625000000000014</v>
      </c>
      <c r="F526" s="96">
        <f t="shared" si="142"/>
        <v>1.666666666666667</v>
      </c>
      <c r="G526" s="96">
        <f t="shared" si="143"/>
        <v>44.750000000000007</v>
      </c>
      <c r="H526" s="122">
        <f t="shared" si="144"/>
        <v>48.500000000000007</v>
      </c>
      <c r="I526" s="94">
        <f>'Modell During mining'!G526/1000000</f>
        <v>1.393716</v>
      </c>
      <c r="J526" s="94">
        <f>'Modell During mining'!D526</f>
        <v>9.5065996228786934E-2</v>
      </c>
      <c r="K526" s="93">
        <v>0</v>
      </c>
      <c r="L526" s="93">
        <v>0.05</v>
      </c>
      <c r="M526" s="93">
        <v>0</v>
      </c>
      <c r="N526" s="93">
        <v>0.05</v>
      </c>
      <c r="O526" s="93">
        <v>1.26</v>
      </c>
      <c r="P526" s="93">
        <v>0.01</v>
      </c>
      <c r="Q526" s="93">
        <v>0</v>
      </c>
      <c r="R526" s="93">
        <v>0</v>
      </c>
      <c r="S526" s="93">
        <v>0.36</v>
      </c>
      <c r="T526" s="98">
        <f t="shared" si="146"/>
        <v>21.065877721106013</v>
      </c>
      <c r="U526" s="93">
        <v>25.21</v>
      </c>
      <c r="V526" s="98">
        <f t="shared" si="147"/>
        <v>18.775560998559431</v>
      </c>
      <c r="W526" s="93">
        <v>21.42</v>
      </c>
      <c r="X526" s="98">
        <f t="shared" si="147"/>
        <v>18.775560998559431</v>
      </c>
      <c r="Y526" s="93">
        <v>0.11</v>
      </c>
      <c r="Z526" s="98">
        <f t="shared" si="147"/>
        <v>18.775560998559431</v>
      </c>
      <c r="AA526" s="93">
        <v>5.8</v>
      </c>
      <c r="AB526" s="98">
        <f t="shared" si="147"/>
        <v>18.775560998559431</v>
      </c>
      <c r="AC526" s="93">
        <v>1.7</v>
      </c>
      <c r="AD526" s="93">
        <v>2.5</v>
      </c>
      <c r="AE526" s="93">
        <v>1.84</v>
      </c>
      <c r="AF526" s="96">
        <f t="shared" si="148"/>
        <v>18.775560998559431</v>
      </c>
      <c r="AG526" s="10">
        <f t="shared" si="140"/>
        <v>7.97</v>
      </c>
      <c r="AH526" s="95">
        <f t="shared" si="145"/>
        <v>2.6537160000000002</v>
      </c>
      <c r="AI526" s="96">
        <f t="shared" si="151"/>
        <v>18.775560998559431</v>
      </c>
      <c r="AJ526" s="96">
        <f t="shared" si="149"/>
        <v>12.589596316914758</v>
      </c>
      <c r="AK526" s="96">
        <f t="shared" si="150"/>
        <v>13.236212834159845</v>
      </c>
    </row>
    <row r="527" spans="1:37" x14ac:dyDescent="0.15">
      <c r="A527" s="10">
        <f>A526+0.5</f>
        <v>2024.5</v>
      </c>
      <c r="C527" s="10">
        <v>38.700000000000003</v>
      </c>
      <c r="D527" s="96">
        <f>5.5/12*7</f>
        <v>3.208333333333333</v>
      </c>
      <c r="E527" s="122">
        <f t="shared" si="141"/>
        <v>124.16249999999999</v>
      </c>
      <c r="F527" s="96">
        <f t="shared" si="142"/>
        <v>2.5666666666666664</v>
      </c>
      <c r="G527" s="96">
        <f t="shared" si="143"/>
        <v>68.914999999999992</v>
      </c>
      <c r="H527" s="122">
        <f t="shared" si="144"/>
        <v>74.69</v>
      </c>
      <c r="I527" s="94">
        <f>'Modell During mining'!G527/1000000</f>
        <v>2.0339746666666674</v>
      </c>
      <c r="J527" s="94">
        <f>'Modell During mining'!D527</f>
        <v>9.6355936258793115E-2</v>
      </c>
      <c r="K527" s="93">
        <v>7.0000000000000007E-2</v>
      </c>
      <c r="L527" s="93">
        <v>0.05</v>
      </c>
      <c r="M527" s="93">
        <v>7.0000000000000007E-2</v>
      </c>
      <c r="N527" s="93">
        <v>0.05</v>
      </c>
      <c r="O527" s="93">
        <v>1.26</v>
      </c>
      <c r="P527" s="93">
        <v>0.01</v>
      </c>
      <c r="Q527" s="93">
        <v>1.6</v>
      </c>
      <c r="R527" s="93">
        <v>0</v>
      </c>
      <c r="S527" s="93">
        <v>0.36</v>
      </c>
      <c r="T527" s="98">
        <f t="shared" si="146"/>
        <v>18.775560998559431</v>
      </c>
      <c r="U527" s="93">
        <v>25.21</v>
      </c>
      <c r="V527" s="98">
        <f t="shared" si="147"/>
        <v>19.40859472458639</v>
      </c>
      <c r="W527" s="93">
        <v>21.42</v>
      </c>
      <c r="X527" s="98">
        <f t="shared" si="147"/>
        <v>19.40859472458639</v>
      </c>
      <c r="Y527" s="93">
        <v>0.11</v>
      </c>
      <c r="Z527" s="98">
        <f t="shared" si="147"/>
        <v>19.40859472458639</v>
      </c>
      <c r="AA527" s="93">
        <v>5.8</v>
      </c>
      <c r="AB527" s="98">
        <f t="shared" si="147"/>
        <v>19.40859472458639</v>
      </c>
      <c r="AC527" s="93">
        <v>1.7</v>
      </c>
      <c r="AD527" s="98">
        <f>$AI526</f>
        <v>18.775560998559431</v>
      </c>
      <c r="AE527" s="93">
        <v>1.84</v>
      </c>
      <c r="AF527" s="96">
        <f t="shared" si="148"/>
        <v>19.40859472458639</v>
      </c>
      <c r="AG527" s="10">
        <f t="shared" si="140"/>
        <v>7.97</v>
      </c>
      <c r="AH527" s="95">
        <f t="shared" si="145"/>
        <v>5.0339746666666674</v>
      </c>
      <c r="AI527" s="96">
        <f t="shared" si="151"/>
        <v>19.40859472458639</v>
      </c>
      <c r="AJ527" s="96">
        <f t="shared" si="149"/>
        <v>13.6632418129818</v>
      </c>
      <c r="AK527" s="96">
        <f t="shared" si="150"/>
        <v>14.263801350780192</v>
      </c>
    </row>
    <row r="528" spans="1:37" x14ac:dyDescent="0.15">
      <c r="A528" s="10">
        <f>A526+1</f>
        <v>2025</v>
      </c>
      <c r="C528" s="10">
        <v>38.700000000000003</v>
      </c>
      <c r="D528" s="96">
        <f>5/12*5</f>
        <v>2.0833333333333335</v>
      </c>
      <c r="E528" s="122">
        <f t="shared" si="141"/>
        <v>80.625000000000014</v>
      </c>
      <c r="F528" s="96">
        <f t="shared" si="142"/>
        <v>1.666666666666667</v>
      </c>
      <c r="G528" s="96">
        <f t="shared" si="143"/>
        <v>44.750000000000007</v>
      </c>
      <c r="H528" s="122">
        <f t="shared" si="144"/>
        <v>48.500000000000007</v>
      </c>
      <c r="I528" s="94">
        <f>'Modell During mining'!G528/1000000</f>
        <v>1.4618493333333333</v>
      </c>
      <c r="J528" s="94">
        <f>'Modell During mining'!D528</f>
        <v>9.576203475597575E-2</v>
      </c>
      <c r="K528" s="93">
        <v>0</v>
      </c>
      <c r="L528" s="93">
        <v>0.05</v>
      </c>
      <c r="M528" s="93">
        <v>0</v>
      </c>
      <c r="N528" s="93">
        <v>0.05</v>
      </c>
      <c r="O528" s="93">
        <v>1.26</v>
      </c>
      <c r="P528" s="93">
        <v>0.01</v>
      </c>
      <c r="Q528" s="93">
        <v>0</v>
      </c>
      <c r="R528" s="93">
        <v>0</v>
      </c>
      <c r="S528" s="93">
        <v>0.36</v>
      </c>
      <c r="T528" s="98">
        <f t="shared" si="146"/>
        <v>19.40859472458639</v>
      </c>
      <c r="U528" s="93">
        <v>25.21</v>
      </c>
      <c r="V528" s="98">
        <f t="shared" si="147"/>
        <v>18.035970140484483</v>
      </c>
      <c r="W528" s="93">
        <v>21.42</v>
      </c>
      <c r="X528" s="98">
        <f t="shared" si="147"/>
        <v>18.035970140484483</v>
      </c>
      <c r="Y528" s="93">
        <v>0.11</v>
      </c>
      <c r="Z528" s="98">
        <f t="shared" si="147"/>
        <v>18.035970140484483</v>
      </c>
      <c r="AA528" s="93">
        <v>5.8</v>
      </c>
      <c r="AB528" s="98">
        <f t="shared" si="147"/>
        <v>18.035970140484483</v>
      </c>
      <c r="AC528" s="93">
        <v>1.7</v>
      </c>
      <c r="AD528" s="93">
        <v>2.5</v>
      </c>
      <c r="AE528" s="93">
        <v>1.84</v>
      </c>
      <c r="AF528" s="96">
        <f t="shared" si="148"/>
        <v>18.035970140484483</v>
      </c>
      <c r="AG528" s="10">
        <f t="shared" si="140"/>
        <v>7.97</v>
      </c>
      <c r="AH528" s="95">
        <f t="shared" si="145"/>
        <v>2.7218493333333331</v>
      </c>
      <c r="AI528" s="96">
        <f t="shared" si="151"/>
        <v>18.035970140484483</v>
      </c>
      <c r="AJ528" s="96">
        <f t="shared" si="149"/>
        <v>12.00446148564945</v>
      </c>
      <c r="AK528" s="96">
        <f t="shared" si="150"/>
        <v>12.634932773611304</v>
      </c>
    </row>
    <row r="529" spans="1:37" x14ac:dyDescent="0.15">
      <c r="A529" s="10">
        <f>A528+0.5</f>
        <v>2025.5</v>
      </c>
      <c r="C529" s="10">
        <v>38.700000000000003</v>
      </c>
      <c r="D529" s="96">
        <f>5.5/12*7</f>
        <v>3.208333333333333</v>
      </c>
      <c r="E529" s="122">
        <f t="shared" si="141"/>
        <v>124.16249999999999</v>
      </c>
      <c r="F529" s="96">
        <f t="shared" si="142"/>
        <v>2.5666666666666664</v>
      </c>
      <c r="G529" s="96">
        <f t="shared" si="143"/>
        <v>68.914999999999992</v>
      </c>
      <c r="H529" s="122">
        <f t="shared" si="144"/>
        <v>74.69</v>
      </c>
      <c r="I529" s="94">
        <f>'Modell During mining'!G529/1000000</f>
        <v>2.1356685333333343</v>
      </c>
      <c r="J529" s="94">
        <f>'Modell During mining'!D529</f>
        <v>9.6680764568084651E-2</v>
      </c>
      <c r="K529" s="93">
        <v>7.0000000000000007E-2</v>
      </c>
      <c r="L529" s="93">
        <v>0.05</v>
      </c>
      <c r="M529" s="93">
        <v>7.0000000000000007E-2</v>
      </c>
      <c r="N529" s="93">
        <v>0.05</v>
      </c>
      <c r="O529" s="93">
        <v>1.26</v>
      </c>
      <c r="P529" s="93">
        <v>0.01</v>
      </c>
      <c r="Q529" s="93">
        <v>1.6</v>
      </c>
      <c r="R529" s="93">
        <v>0</v>
      </c>
      <c r="S529" s="93">
        <v>0.36</v>
      </c>
      <c r="T529" s="98">
        <f t="shared" si="146"/>
        <v>18.035970140484483</v>
      </c>
      <c r="U529" s="93">
        <v>25.21</v>
      </c>
      <c r="V529" s="98">
        <f t="shared" si="147"/>
        <v>18.789084710648726</v>
      </c>
      <c r="W529" s="93">
        <v>21.42</v>
      </c>
      <c r="X529" s="98">
        <f t="shared" si="147"/>
        <v>18.789084710648726</v>
      </c>
      <c r="Y529" s="93">
        <v>0.11</v>
      </c>
      <c r="Z529" s="98">
        <f t="shared" si="147"/>
        <v>18.789084710648726</v>
      </c>
      <c r="AA529" s="93">
        <v>5.8</v>
      </c>
      <c r="AB529" s="98">
        <f t="shared" si="147"/>
        <v>18.789084710648726</v>
      </c>
      <c r="AC529" s="93">
        <v>1.7</v>
      </c>
      <c r="AD529" s="98">
        <f>$AI528</f>
        <v>18.035970140484483</v>
      </c>
      <c r="AE529" s="93">
        <v>1.84</v>
      </c>
      <c r="AF529" s="96">
        <f t="shared" si="148"/>
        <v>18.789084710648726</v>
      </c>
      <c r="AG529" s="10">
        <f t="shared" si="140"/>
        <v>7.97</v>
      </c>
      <c r="AH529" s="95">
        <f t="shared" si="145"/>
        <v>5.1356685333333338</v>
      </c>
      <c r="AI529" s="96">
        <f t="shared" si="151"/>
        <v>18.789084710648726</v>
      </c>
      <c r="AJ529" s="96">
        <f t="shared" si="149"/>
        <v>13.191104047037626</v>
      </c>
      <c r="AK529" s="96">
        <f t="shared" si="150"/>
        <v>13.776258820237393</v>
      </c>
    </row>
    <row r="530" spans="1:37" x14ac:dyDescent="0.15">
      <c r="A530" s="10">
        <f>A528+1</f>
        <v>2026</v>
      </c>
      <c r="C530" s="10">
        <v>38.700000000000003</v>
      </c>
      <c r="D530" s="96">
        <f>5/12*5</f>
        <v>2.0833333333333335</v>
      </c>
      <c r="E530" s="122">
        <f t="shared" si="141"/>
        <v>80.625000000000014</v>
      </c>
      <c r="F530" s="96">
        <f t="shared" si="142"/>
        <v>1.666666666666667</v>
      </c>
      <c r="G530" s="96">
        <f t="shared" si="143"/>
        <v>44.750000000000007</v>
      </c>
      <c r="H530" s="122">
        <f t="shared" si="144"/>
        <v>48.500000000000007</v>
      </c>
      <c r="I530" s="94">
        <f>'Modell During mining'!G530/1000000</f>
        <v>1.5299826666666665</v>
      </c>
      <c r="J530" s="94">
        <f>'Modell During mining'!D530</f>
        <v>9.6396081175647297E-2</v>
      </c>
      <c r="K530" s="93">
        <v>0</v>
      </c>
      <c r="L530" s="93">
        <v>0.05</v>
      </c>
      <c r="M530" s="93">
        <v>0</v>
      </c>
      <c r="N530" s="93">
        <v>0.05</v>
      </c>
      <c r="O530" s="93">
        <v>1.26</v>
      </c>
      <c r="P530" s="93">
        <v>0.01</v>
      </c>
      <c r="Q530" s="93">
        <v>0</v>
      </c>
      <c r="R530" s="93">
        <v>0</v>
      </c>
      <c r="S530" s="93">
        <v>0.36</v>
      </c>
      <c r="T530" s="98">
        <f t="shared" si="146"/>
        <v>18.789084710648726</v>
      </c>
      <c r="U530" s="93">
        <v>25.21</v>
      </c>
      <c r="V530" s="98">
        <f t="shared" si="147"/>
        <v>17.514832570969752</v>
      </c>
      <c r="W530" s="93">
        <v>21.42</v>
      </c>
      <c r="X530" s="98">
        <f t="shared" si="147"/>
        <v>17.514832570969752</v>
      </c>
      <c r="Y530" s="93">
        <v>0.11</v>
      </c>
      <c r="Z530" s="98">
        <f t="shared" si="147"/>
        <v>17.514832570969752</v>
      </c>
      <c r="AA530" s="93">
        <v>5.8</v>
      </c>
      <c r="AB530" s="98">
        <f t="shared" si="147"/>
        <v>17.514832570969752</v>
      </c>
      <c r="AC530" s="93">
        <v>1.7</v>
      </c>
      <c r="AD530" s="93">
        <v>2.5</v>
      </c>
      <c r="AE530" s="93">
        <v>1.84</v>
      </c>
      <c r="AF530" s="96">
        <f t="shared" si="148"/>
        <v>17.514832570969752</v>
      </c>
      <c r="AG530" s="10">
        <f t="shared" si="140"/>
        <v>7.97</v>
      </c>
      <c r="AH530" s="95">
        <f t="shared" si="145"/>
        <v>2.7899826666666665</v>
      </c>
      <c r="AI530" s="96">
        <f t="shared" si="151"/>
        <v>17.514832570969752</v>
      </c>
      <c r="AJ530" s="96">
        <f t="shared" si="149"/>
        <v>11.629626065049484</v>
      </c>
      <c r="AK530" s="96">
        <f t="shared" si="150"/>
        <v>12.244804445459268</v>
      </c>
    </row>
    <row r="531" spans="1:37" x14ac:dyDescent="0.15">
      <c r="A531" s="10">
        <f>A530+0.5</f>
        <v>2026.5</v>
      </c>
      <c r="C531" s="10">
        <v>38.700000000000003</v>
      </c>
      <c r="D531" s="96">
        <f>5.5/12*7</f>
        <v>3.208333333333333</v>
      </c>
      <c r="E531" s="122">
        <f t="shared" si="141"/>
        <v>124.16249999999999</v>
      </c>
      <c r="F531" s="96">
        <f t="shared" si="142"/>
        <v>2.5666666666666664</v>
      </c>
      <c r="G531" s="96">
        <f t="shared" si="143"/>
        <v>68.914999999999992</v>
      </c>
      <c r="H531" s="122">
        <f t="shared" si="144"/>
        <v>74.69</v>
      </c>
      <c r="I531" s="94">
        <f>'Modell During mining'!G531/1000000</f>
        <v>2.2373624000000008</v>
      </c>
      <c r="J531" s="94">
        <f>'Modell During mining'!D531</f>
        <v>9.6976064315731789E-2</v>
      </c>
      <c r="K531" s="93">
        <v>7.0000000000000007E-2</v>
      </c>
      <c r="L531" s="93">
        <v>0.05</v>
      </c>
      <c r="M531" s="93">
        <v>7.0000000000000007E-2</v>
      </c>
      <c r="N531" s="93">
        <v>0.05</v>
      </c>
      <c r="O531" s="93">
        <v>1.26</v>
      </c>
      <c r="P531" s="93">
        <v>0.01</v>
      </c>
      <c r="Q531" s="93">
        <v>1.6</v>
      </c>
      <c r="R531" s="93">
        <v>0</v>
      </c>
      <c r="S531" s="93">
        <v>0.36</v>
      </c>
      <c r="T531" s="98">
        <f t="shared" si="146"/>
        <v>17.514832570969752</v>
      </c>
      <c r="U531" s="93">
        <v>25.21</v>
      </c>
      <c r="V531" s="98">
        <f t="shared" si="147"/>
        <v>18.224386437512184</v>
      </c>
      <c r="W531" s="93">
        <v>21.42</v>
      </c>
      <c r="X531" s="98">
        <f t="shared" si="147"/>
        <v>18.224386437512184</v>
      </c>
      <c r="Y531" s="93">
        <v>0.11</v>
      </c>
      <c r="Z531" s="98">
        <f t="shared" si="147"/>
        <v>18.224386437512184</v>
      </c>
      <c r="AA531" s="93">
        <v>5.8</v>
      </c>
      <c r="AB531" s="98">
        <f t="shared" si="147"/>
        <v>18.224386437512184</v>
      </c>
      <c r="AC531" s="93">
        <v>1.7</v>
      </c>
      <c r="AD531" s="98">
        <f>$AI530</f>
        <v>17.514832570969752</v>
      </c>
      <c r="AE531" s="93">
        <v>1.84</v>
      </c>
      <c r="AF531" s="96">
        <f t="shared" si="148"/>
        <v>18.224386437512184</v>
      </c>
      <c r="AG531" s="10">
        <f t="shared" si="140"/>
        <v>7.97</v>
      </c>
      <c r="AH531" s="95">
        <f t="shared" si="145"/>
        <v>5.2373624000000003</v>
      </c>
      <c r="AI531" s="96">
        <f t="shared" si="151"/>
        <v>18.224386437512184</v>
      </c>
      <c r="AJ531" s="96">
        <f t="shared" si="149"/>
        <v>12.765266125176685</v>
      </c>
      <c r="AK531" s="96">
        <f t="shared" si="150"/>
        <v>13.33590587907935</v>
      </c>
    </row>
    <row r="532" spans="1:37" x14ac:dyDescent="0.15">
      <c r="A532" s="10">
        <f>A530+1</f>
        <v>2027</v>
      </c>
      <c r="C532" s="10">
        <v>38.700000000000003</v>
      </c>
      <c r="D532" s="96">
        <f>5/12*5</f>
        <v>2.0833333333333335</v>
      </c>
      <c r="E532" s="122">
        <f t="shared" si="141"/>
        <v>80.625000000000014</v>
      </c>
      <c r="F532" s="96">
        <f t="shared" si="142"/>
        <v>1.666666666666667</v>
      </c>
      <c r="G532" s="96">
        <f t="shared" si="143"/>
        <v>44.750000000000007</v>
      </c>
      <c r="H532" s="122">
        <f t="shared" si="144"/>
        <v>48.500000000000007</v>
      </c>
      <c r="I532" s="94">
        <f>'Modell During mining'!G532/1000000</f>
        <v>1.5981159999999999</v>
      </c>
      <c r="J532" s="94">
        <f>'Modell During mining'!D532</f>
        <v>9.6976064315731775E-2</v>
      </c>
      <c r="K532" s="93">
        <v>0</v>
      </c>
      <c r="L532" s="93">
        <v>0.05</v>
      </c>
      <c r="M532" s="93">
        <v>0</v>
      </c>
      <c r="N532" s="93">
        <v>0.05</v>
      </c>
      <c r="O532" s="93">
        <v>1.26</v>
      </c>
      <c r="P532" s="93">
        <v>0.01</v>
      </c>
      <c r="Q532" s="93">
        <v>0</v>
      </c>
      <c r="R532" s="93">
        <v>0</v>
      </c>
      <c r="S532" s="93">
        <v>0.36</v>
      </c>
      <c r="T532" s="98">
        <f t="shared" si="146"/>
        <v>18.224386437512184</v>
      </c>
      <c r="U532" s="93">
        <v>25.21</v>
      </c>
      <c r="V532" s="98">
        <f t="shared" si="147"/>
        <v>17.021201245959084</v>
      </c>
      <c r="W532" s="93">
        <v>21.42</v>
      </c>
      <c r="X532" s="98">
        <f t="shared" si="147"/>
        <v>17.021201245959084</v>
      </c>
      <c r="Y532" s="93">
        <v>0.11</v>
      </c>
      <c r="Z532" s="98">
        <f t="shared" si="147"/>
        <v>17.021201245959084</v>
      </c>
      <c r="AA532" s="93">
        <v>5.8</v>
      </c>
      <c r="AB532" s="98">
        <f t="shared" si="147"/>
        <v>17.021201245959084</v>
      </c>
      <c r="AC532" s="93">
        <v>1.7</v>
      </c>
      <c r="AD532" s="93">
        <v>2.5</v>
      </c>
      <c r="AE532" s="93">
        <v>1.84</v>
      </c>
      <c r="AF532" s="96">
        <f t="shared" si="148"/>
        <v>17.021201245959084</v>
      </c>
      <c r="AG532" s="10">
        <f t="shared" si="140"/>
        <v>7.97</v>
      </c>
      <c r="AH532" s="95">
        <f t="shared" si="145"/>
        <v>2.8581159999999999</v>
      </c>
      <c r="AI532" s="96">
        <f t="shared" si="151"/>
        <v>17.021201245959084</v>
      </c>
      <c r="AJ532" s="96">
        <f t="shared" si="149"/>
        <v>11.274803063626868</v>
      </c>
      <c r="AK532" s="96">
        <f t="shared" si="150"/>
        <v>11.875471863173793</v>
      </c>
    </row>
    <row r="533" spans="1:37" x14ac:dyDescent="0.15">
      <c r="A533" s="10">
        <f>A532+0.5</f>
        <v>2027.5</v>
      </c>
      <c r="C533" s="10">
        <v>38.700000000000003</v>
      </c>
      <c r="D533" s="96">
        <f>5.5/12*7</f>
        <v>3.208333333333333</v>
      </c>
      <c r="E533" s="122">
        <f t="shared" si="141"/>
        <v>124.16249999999999</v>
      </c>
      <c r="F533" s="96">
        <f t="shared" si="142"/>
        <v>2.5666666666666664</v>
      </c>
      <c r="G533" s="96">
        <f t="shared" si="143"/>
        <v>68.914999999999992</v>
      </c>
      <c r="H533" s="122">
        <f t="shared" si="144"/>
        <v>74.69</v>
      </c>
      <c r="I533" s="94">
        <f>'Modell During mining'!G533/1000000</f>
        <v>2.3390562666666677</v>
      </c>
      <c r="J533" s="94">
        <f>'Modell During mining'!D533</f>
        <v>9.7245686892981686E-2</v>
      </c>
      <c r="K533" s="93">
        <v>7.0000000000000007E-2</v>
      </c>
      <c r="L533" s="93">
        <v>0.05</v>
      </c>
      <c r="M533" s="93">
        <v>7.0000000000000007E-2</v>
      </c>
      <c r="N533" s="93">
        <v>0.05</v>
      </c>
      <c r="O533" s="93">
        <v>1.26</v>
      </c>
      <c r="P533" s="93">
        <v>0.01</v>
      </c>
      <c r="Q533" s="93">
        <v>1.6</v>
      </c>
      <c r="R533" s="93">
        <v>0</v>
      </c>
      <c r="S533" s="93">
        <v>0.36</v>
      </c>
      <c r="T533" s="98">
        <f t="shared" si="146"/>
        <v>17.021201245959084</v>
      </c>
      <c r="U533" s="93">
        <v>25.21</v>
      </c>
      <c r="V533" s="98">
        <f t="shared" si="147"/>
        <v>17.690858891587443</v>
      </c>
      <c r="W533" s="93">
        <v>21.42</v>
      </c>
      <c r="X533" s="98">
        <f t="shared" si="147"/>
        <v>17.690858891587443</v>
      </c>
      <c r="Y533" s="93">
        <v>0.11</v>
      </c>
      <c r="Z533" s="98">
        <f t="shared" si="147"/>
        <v>17.690858891587443</v>
      </c>
      <c r="AA533" s="93">
        <v>5.8</v>
      </c>
      <c r="AB533" s="98">
        <f t="shared" si="147"/>
        <v>17.690858891587443</v>
      </c>
      <c r="AC533" s="93">
        <v>1.7</v>
      </c>
      <c r="AD533" s="98">
        <f>$AI532</f>
        <v>17.021201245959084</v>
      </c>
      <c r="AE533" s="93">
        <v>1.84</v>
      </c>
      <c r="AF533" s="96">
        <f t="shared" si="148"/>
        <v>17.690858891587443</v>
      </c>
      <c r="AG533" s="10">
        <f t="shared" si="140"/>
        <v>7.97</v>
      </c>
      <c r="AH533" s="95">
        <f t="shared" si="145"/>
        <v>5.3390562666666668</v>
      </c>
      <c r="AI533" s="96">
        <f t="shared" si="151"/>
        <v>17.690858891587443</v>
      </c>
      <c r="AJ533" s="96">
        <f t="shared" si="149"/>
        <v>12.362867931590678</v>
      </c>
      <c r="AK533" s="96">
        <f t="shared" si="150"/>
        <v>12.919800784552013</v>
      </c>
    </row>
    <row r="534" spans="1:37" x14ac:dyDescent="0.15">
      <c r="A534" s="10">
        <f>A532+1</f>
        <v>2028</v>
      </c>
      <c r="C534" s="10">
        <v>38.700000000000003</v>
      </c>
      <c r="D534" s="96">
        <f>5/12*5</f>
        <v>2.0833333333333335</v>
      </c>
      <c r="E534" s="122">
        <f t="shared" si="141"/>
        <v>80.625000000000014</v>
      </c>
      <c r="F534" s="96">
        <f t="shared" si="142"/>
        <v>1.666666666666667</v>
      </c>
      <c r="G534" s="96">
        <f t="shared" si="143"/>
        <v>44.750000000000007</v>
      </c>
      <c r="H534" s="122">
        <f t="shared" si="144"/>
        <v>48.500000000000007</v>
      </c>
      <c r="I534" s="94">
        <f>'Modell During mining'!G534/1000000</f>
        <v>1.666249333333333</v>
      </c>
      <c r="J534" s="94">
        <f>'Modell During mining'!D534</f>
        <v>9.7508616157485836E-2</v>
      </c>
      <c r="K534" s="93">
        <v>0</v>
      </c>
      <c r="L534" s="93">
        <v>0.05</v>
      </c>
      <c r="M534" s="93">
        <v>0</v>
      </c>
      <c r="N534" s="93">
        <v>0.05</v>
      </c>
      <c r="O534" s="93">
        <v>1.26</v>
      </c>
      <c r="P534" s="93">
        <v>0.01</v>
      </c>
      <c r="Q534" s="93">
        <v>0</v>
      </c>
      <c r="R534" s="93">
        <v>0</v>
      </c>
      <c r="S534" s="93">
        <v>0.36</v>
      </c>
      <c r="T534" s="98">
        <f t="shared" si="146"/>
        <v>17.690858891587443</v>
      </c>
      <c r="U534" s="93">
        <v>25.21</v>
      </c>
      <c r="V534" s="98">
        <f t="shared" si="147"/>
        <v>16.554518518418472</v>
      </c>
      <c r="W534" s="93">
        <v>21.42</v>
      </c>
      <c r="X534" s="98">
        <f t="shared" si="147"/>
        <v>16.554518518418472</v>
      </c>
      <c r="Y534" s="93">
        <v>0.11</v>
      </c>
      <c r="Z534" s="98">
        <f t="shared" si="147"/>
        <v>16.554518518418472</v>
      </c>
      <c r="AA534" s="93">
        <v>5.8</v>
      </c>
      <c r="AB534" s="98">
        <f t="shared" si="147"/>
        <v>16.554518518418472</v>
      </c>
      <c r="AC534" s="93">
        <v>1.7</v>
      </c>
      <c r="AD534" s="93">
        <v>2.5</v>
      </c>
      <c r="AE534" s="93">
        <v>1.84</v>
      </c>
      <c r="AF534" s="96">
        <f t="shared" si="148"/>
        <v>16.554518518418472</v>
      </c>
      <c r="AG534" s="10">
        <f t="shared" si="140"/>
        <v>7.97</v>
      </c>
      <c r="AH534" s="95">
        <f t="shared" si="145"/>
        <v>2.9262493333333328</v>
      </c>
      <c r="AI534" s="96">
        <f t="shared" si="151"/>
        <v>16.554518518418472</v>
      </c>
      <c r="AJ534" s="96">
        <f t="shared" si="149"/>
        <v>10.940023670196705</v>
      </c>
      <c r="AK534" s="96">
        <f t="shared" si="150"/>
        <v>11.526904664784347</v>
      </c>
    </row>
    <row r="535" spans="1:37" x14ac:dyDescent="0.15">
      <c r="A535" s="10">
        <f>A534+0.5</f>
        <v>2028.5</v>
      </c>
      <c r="C535" s="10">
        <v>38.700000000000003</v>
      </c>
      <c r="D535" s="96">
        <f>5.5/12*7</f>
        <v>3.208333333333333</v>
      </c>
      <c r="E535" s="122">
        <f t="shared" si="141"/>
        <v>124.16249999999999</v>
      </c>
      <c r="F535" s="96">
        <f t="shared" si="142"/>
        <v>2.5666666666666664</v>
      </c>
      <c r="G535" s="96">
        <f t="shared" si="143"/>
        <v>68.914999999999992</v>
      </c>
      <c r="H535" s="122">
        <f t="shared" si="144"/>
        <v>74.69</v>
      </c>
      <c r="I535" s="94">
        <f>'Modell During mining'!G535/1000000</f>
        <v>2.4407501333333341</v>
      </c>
      <c r="J535" s="94">
        <f>'Modell During mining'!D535</f>
        <v>9.7492841818138318E-2</v>
      </c>
      <c r="K535" s="93">
        <v>7.0000000000000007E-2</v>
      </c>
      <c r="L535" s="93">
        <v>0.05</v>
      </c>
      <c r="M535" s="93">
        <v>7.0000000000000007E-2</v>
      </c>
      <c r="N535" s="93">
        <v>0.05</v>
      </c>
      <c r="O535" s="93">
        <v>1.26</v>
      </c>
      <c r="P535" s="93">
        <v>0.01</v>
      </c>
      <c r="Q535" s="93">
        <v>1.6</v>
      </c>
      <c r="R535" s="93">
        <v>0</v>
      </c>
      <c r="S535" s="93">
        <v>0.36</v>
      </c>
      <c r="T535" s="98">
        <f t="shared" si="146"/>
        <v>16.554518518418472</v>
      </c>
      <c r="U535" s="93">
        <v>25.21</v>
      </c>
      <c r="V535" s="98">
        <f t="shared" si="147"/>
        <v>17.187602003873522</v>
      </c>
      <c r="W535" s="93">
        <v>21.42</v>
      </c>
      <c r="X535" s="98">
        <f t="shared" si="147"/>
        <v>17.187602003873522</v>
      </c>
      <c r="Y535" s="93">
        <v>0.11</v>
      </c>
      <c r="Z535" s="98">
        <f t="shared" si="147"/>
        <v>17.187602003873522</v>
      </c>
      <c r="AA535" s="93">
        <v>5.8</v>
      </c>
      <c r="AB535" s="98">
        <f t="shared" si="147"/>
        <v>17.187602003873522</v>
      </c>
      <c r="AC535" s="93">
        <v>1.7</v>
      </c>
      <c r="AD535" s="98">
        <f>$AI534</f>
        <v>16.554518518418472</v>
      </c>
      <c r="AE535" s="93">
        <v>1.84</v>
      </c>
      <c r="AF535" s="96">
        <f t="shared" si="148"/>
        <v>17.187602003873522</v>
      </c>
      <c r="AG535" s="10">
        <f t="shared" si="140"/>
        <v>7.97</v>
      </c>
      <c r="AH535" s="95">
        <f t="shared" si="145"/>
        <v>5.4407501333333332</v>
      </c>
      <c r="AI535" s="96">
        <f t="shared" si="151"/>
        <v>17.187602003873522</v>
      </c>
      <c r="AJ535" s="96">
        <f t="shared" si="149"/>
        <v>11.983693525244837</v>
      </c>
      <c r="AK535" s="96">
        <f t="shared" si="150"/>
        <v>12.527656083986512</v>
      </c>
    </row>
    <row r="536" spans="1:37" x14ac:dyDescent="0.15">
      <c r="A536" s="10">
        <f>A534+1</f>
        <v>2029</v>
      </c>
      <c r="C536" s="10">
        <v>38.700000000000003</v>
      </c>
      <c r="D536" s="96">
        <f>5/12*5</f>
        <v>2.0833333333333335</v>
      </c>
      <c r="E536" s="122">
        <f t="shared" si="141"/>
        <v>80.625000000000014</v>
      </c>
      <c r="F536" s="96">
        <f t="shared" si="142"/>
        <v>1.666666666666667</v>
      </c>
      <c r="G536" s="96">
        <f t="shared" si="143"/>
        <v>44.750000000000007</v>
      </c>
      <c r="H536" s="122">
        <f t="shared" si="144"/>
        <v>48.500000000000007</v>
      </c>
      <c r="I536" s="94">
        <f>'Modell During mining'!G536/1000000</f>
        <v>1.7343826666666662</v>
      </c>
      <c r="J536" s="94">
        <f>'Modell During mining'!D536</f>
        <v>9.7999326561535427E-2</v>
      </c>
      <c r="K536" s="93">
        <v>0</v>
      </c>
      <c r="L536" s="93">
        <v>0.05</v>
      </c>
      <c r="M536" s="93">
        <v>0</v>
      </c>
      <c r="N536" s="93">
        <v>0.05</v>
      </c>
      <c r="O536" s="93">
        <v>1.26</v>
      </c>
      <c r="P536" s="93">
        <v>0.01</v>
      </c>
      <c r="Q536" s="93">
        <v>0</v>
      </c>
      <c r="R536" s="93">
        <v>0</v>
      </c>
      <c r="S536" s="93">
        <v>0.36</v>
      </c>
      <c r="T536" s="98">
        <f t="shared" si="146"/>
        <v>17.187602003873522</v>
      </c>
      <c r="U536" s="93">
        <v>25.21</v>
      </c>
      <c r="V536" s="98">
        <f t="shared" si="147"/>
        <v>16.112994573781609</v>
      </c>
      <c r="W536" s="93">
        <v>21.42</v>
      </c>
      <c r="X536" s="98">
        <f t="shared" si="147"/>
        <v>16.112994573781609</v>
      </c>
      <c r="Y536" s="93">
        <v>0.11</v>
      </c>
      <c r="Z536" s="98">
        <f t="shared" si="147"/>
        <v>16.112994573781609</v>
      </c>
      <c r="AA536" s="93">
        <v>5.8</v>
      </c>
      <c r="AB536" s="98">
        <f t="shared" si="147"/>
        <v>16.112994573781609</v>
      </c>
      <c r="AC536" s="93">
        <v>1.7</v>
      </c>
      <c r="AD536" s="93">
        <v>2.5</v>
      </c>
      <c r="AE536" s="93">
        <v>1.84</v>
      </c>
      <c r="AF536" s="96">
        <f t="shared" si="148"/>
        <v>16.112994573781609</v>
      </c>
      <c r="AG536" s="10">
        <f t="shared" si="140"/>
        <v>7.97</v>
      </c>
      <c r="AH536" s="95">
        <f t="shared" si="145"/>
        <v>2.9943826666666662</v>
      </c>
      <c r="AI536" s="96">
        <f t="shared" si="151"/>
        <v>16.112994573781609</v>
      </c>
      <c r="AJ536" s="96">
        <f t="shared" si="149"/>
        <v>10.624025171286878</v>
      </c>
      <c r="AK536" s="96">
        <f t="shared" si="150"/>
        <v>11.197785039143469</v>
      </c>
    </row>
    <row r="537" spans="1:37" x14ac:dyDescent="0.15">
      <c r="A537" s="10">
        <f>A536+0.5</f>
        <v>2029.5</v>
      </c>
      <c r="C537" s="10">
        <v>38.700000000000003</v>
      </c>
      <c r="D537" s="96">
        <f>5.5/12*7</f>
        <v>3.208333333333333</v>
      </c>
      <c r="E537" s="122">
        <f t="shared" si="141"/>
        <v>124.16249999999999</v>
      </c>
      <c r="F537" s="96">
        <f t="shared" si="142"/>
        <v>2.5666666666666664</v>
      </c>
      <c r="G537" s="96">
        <f t="shared" si="143"/>
        <v>68.914999999999992</v>
      </c>
      <c r="H537" s="122">
        <f t="shared" si="144"/>
        <v>74.69</v>
      </c>
      <c r="I537" s="94">
        <f>'Modell During mining'!G537/1000000</f>
        <v>2.5424440000000001</v>
      </c>
      <c r="J537" s="94">
        <f>'Modell During mining'!D537</f>
        <v>9.7720225106236375E-2</v>
      </c>
      <c r="K537" s="93">
        <v>7.0000000000000007E-2</v>
      </c>
      <c r="L537" s="93">
        <v>0.05</v>
      </c>
      <c r="M537" s="93">
        <v>7.0000000000000007E-2</v>
      </c>
      <c r="N537" s="93">
        <v>0.05</v>
      </c>
      <c r="O537" s="93">
        <v>1.26</v>
      </c>
      <c r="P537" s="93">
        <v>0.01</v>
      </c>
      <c r="Q537" s="93">
        <v>1.6</v>
      </c>
      <c r="R537" s="93">
        <v>0</v>
      </c>
      <c r="S537" s="93">
        <v>0.36</v>
      </c>
      <c r="T537" s="98">
        <f t="shared" si="146"/>
        <v>16.112994573781609</v>
      </c>
      <c r="U537" s="93">
        <v>25.21</v>
      </c>
      <c r="V537" s="98">
        <f t="shared" si="147"/>
        <v>16.712166404488556</v>
      </c>
      <c r="W537" s="93">
        <v>21.42</v>
      </c>
      <c r="X537" s="98">
        <f t="shared" si="147"/>
        <v>16.712166404488556</v>
      </c>
      <c r="Y537" s="93">
        <v>0.11</v>
      </c>
      <c r="Z537" s="98">
        <f t="shared" si="147"/>
        <v>16.712166404488556</v>
      </c>
      <c r="AA537" s="93">
        <v>5.8</v>
      </c>
      <c r="AB537" s="98">
        <f t="shared" si="147"/>
        <v>16.712166404488556</v>
      </c>
      <c r="AC537" s="93">
        <v>1.7</v>
      </c>
      <c r="AD537" s="98">
        <f>$AI536</f>
        <v>16.112994573781609</v>
      </c>
      <c r="AE537" s="93">
        <v>1.84</v>
      </c>
      <c r="AF537" s="96">
        <f t="shared" si="148"/>
        <v>16.712166404488556</v>
      </c>
      <c r="AG537" s="10">
        <f t="shared" si="140"/>
        <v>7.97</v>
      </c>
      <c r="AH537" s="95">
        <f t="shared" si="145"/>
        <v>5.5424439999999997</v>
      </c>
      <c r="AI537" s="96">
        <f t="shared" si="151"/>
        <v>16.712166404488556</v>
      </c>
      <c r="AJ537" s="96">
        <f t="shared" si="149"/>
        <v>11.625895727103972</v>
      </c>
      <c r="AK537" s="96">
        <f t="shared" si="150"/>
        <v>12.157561651569258</v>
      </c>
    </row>
    <row r="538" spans="1:37" x14ac:dyDescent="0.15">
      <c r="A538" s="10">
        <f>A536+1</f>
        <v>2030</v>
      </c>
      <c r="C538" s="10">
        <v>38.700000000000003</v>
      </c>
      <c r="D538" s="96">
        <f>5/12*5</f>
        <v>2.0833333333333335</v>
      </c>
      <c r="E538" s="122">
        <f t="shared" si="141"/>
        <v>80.625000000000014</v>
      </c>
      <c r="F538" s="96">
        <f t="shared" si="142"/>
        <v>1.666666666666667</v>
      </c>
      <c r="G538" s="96">
        <f t="shared" si="143"/>
        <v>44.750000000000007</v>
      </c>
      <c r="H538" s="122">
        <f t="shared" si="144"/>
        <v>48.500000000000007</v>
      </c>
      <c r="I538" s="94">
        <f>'Modell During mining'!G538/1000000</f>
        <v>1.802516</v>
      </c>
      <c r="J538" s="94">
        <f>'Modell During mining'!D538</f>
        <v>9.8452940223554192E-2</v>
      </c>
      <c r="K538" s="93">
        <v>0</v>
      </c>
      <c r="L538" s="93">
        <v>0.05</v>
      </c>
      <c r="M538" s="93">
        <v>0</v>
      </c>
      <c r="N538" s="93">
        <v>0.05</v>
      </c>
      <c r="O538" s="93">
        <v>1.26</v>
      </c>
      <c r="P538" s="93">
        <v>0.01</v>
      </c>
      <c r="Q538" s="93">
        <v>0</v>
      </c>
      <c r="R538" s="93">
        <v>0</v>
      </c>
      <c r="S538" s="93">
        <v>0.36</v>
      </c>
      <c r="T538" s="98">
        <f t="shared" si="146"/>
        <v>16.712166404488556</v>
      </c>
      <c r="U538" s="93">
        <v>25.21</v>
      </c>
      <c r="V538" s="98">
        <f t="shared" si="147"/>
        <v>15.69464159896776</v>
      </c>
      <c r="W538" s="93">
        <v>21.42</v>
      </c>
      <c r="X538" s="98">
        <f t="shared" si="147"/>
        <v>15.69464159896776</v>
      </c>
      <c r="Y538" s="93">
        <v>0.11</v>
      </c>
      <c r="Z538" s="98">
        <f t="shared" si="147"/>
        <v>15.69464159896776</v>
      </c>
      <c r="AA538" s="93">
        <v>5.8</v>
      </c>
      <c r="AB538" s="98">
        <f t="shared" si="147"/>
        <v>15.69464159896776</v>
      </c>
      <c r="AC538" s="93">
        <v>1.7</v>
      </c>
      <c r="AD538" s="93">
        <v>2.5</v>
      </c>
      <c r="AE538" s="93">
        <v>1.84</v>
      </c>
      <c r="AF538" s="96">
        <f t="shared" si="148"/>
        <v>15.69464159896776</v>
      </c>
      <c r="AG538" s="10">
        <f t="shared" si="140"/>
        <v>7.97</v>
      </c>
      <c r="AH538" s="95">
        <f t="shared" si="145"/>
        <v>3.062516</v>
      </c>
      <c r="AI538" s="96">
        <f t="shared" si="151"/>
        <v>15.69464159896776</v>
      </c>
      <c r="AJ538" s="96">
        <f t="shared" si="149"/>
        <v>10.32529311603917</v>
      </c>
      <c r="AK538" s="96">
        <f t="shared" si="150"/>
        <v>10.886549055021252</v>
      </c>
    </row>
    <row r="539" spans="1:37" x14ac:dyDescent="0.15">
      <c r="A539" s="10">
        <f>A538+0.5</f>
        <v>2030.5</v>
      </c>
      <c r="AI539" s="96">
        <f t="shared" si="151"/>
        <v>16.26230416869932</v>
      </c>
      <c r="AJ539" s="96">
        <f t="shared" si="149"/>
        <v>11.287759027883029</v>
      </c>
      <c r="AK539" s="96">
        <f t="shared" si="150"/>
        <v>11.807746324832467</v>
      </c>
    </row>
    <row r="541" spans="1:37" x14ac:dyDescent="0.15">
      <c r="A541" s="10">
        <f>7/12</f>
        <v>0.58333333333333337</v>
      </c>
      <c r="B541" s="10" t="s">
        <v>1086</v>
      </c>
      <c r="C541" s="11" t="s">
        <v>5</v>
      </c>
      <c r="D541" s="11" t="s">
        <v>5</v>
      </c>
      <c r="E541" s="11" t="s">
        <v>5</v>
      </c>
      <c r="F541" s="11" t="s">
        <v>5</v>
      </c>
      <c r="G541" s="11" t="s">
        <v>5</v>
      </c>
      <c r="H541" s="11" t="s">
        <v>5</v>
      </c>
      <c r="I541" s="11" t="s">
        <v>5</v>
      </c>
      <c r="J541" s="11" t="s">
        <v>5</v>
      </c>
      <c r="K541" s="11" t="s">
        <v>5</v>
      </c>
      <c r="L541" s="11" t="s">
        <v>5</v>
      </c>
      <c r="M541" s="11" t="s">
        <v>5</v>
      </c>
      <c r="N541" s="11" t="s">
        <v>5</v>
      </c>
      <c r="O541" s="11" t="s">
        <v>5</v>
      </c>
      <c r="P541" s="11" t="s">
        <v>5</v>
      </c>
      <c r="Q541" s="11" t="s">
        <v>5</v>
      </c>
      <c r="R541" s="11" t="s">
        <v>5</v>
      </c>
      <c r="S541" s="11" t="s">
        <v>5</v>
      </c>
      <c r="T541" s="11" t="s">
        <v>5</v>
      </c>
      <c r="U541" s="11" t="s">
        <v>5</v>
      </c>
      <c r="V541" s="11" t="s">
        <v>5</v>
      </c>
      <c r="W541" s="11" t="s">
        <v>5</v>
      </c>
      <c r="X541" s="11" t="s">
        <v>5</v>
      </c>
      <c r="Y541" s="11" t="s">
        <v>5</v>
      </c>
      <c r="Z541" s="11" t="s">
        <v>5</v>
      </c>
      <c r="AA541" s="11" t="s">
        <v>5</v>
      </c>
      <c r="AB541" s="11" t="s">
        <v>5</v>
      </c>
      <c r="AC541" s="11" t="s">
        <v>5</v>
      </c>
      <c r="AD541" s="11" t="s">
        <v>5</v>
      </c>
      <c r="AE541" s="11" t="s">
        <v>5</v>
      </c>
      <c r="AF541" s="11" t="s">
        <v>5</v>
      </c>
      <c r="AG541" s="11" t="s">
        <v>5</v>
      </c>
      <c r="AH541" s="11" t="s">
        <v>5</v>
      </c>
      <c r="AI541" s="11" t="s">
        <v>5</v>
      </c>
      <c r="AJ541" s="11" t="s">
        <v>5</v>
      </c>
      <c r="AK541" s="11" t="s">
        <v>5</v>
      </c>
    </row>
    <row r="542" spans="1:37" x14ac:dyDescent="0.15">
      <c r="A542">
        <f>5/12</f>
        <v>0.41666666666666669</v>
      </c>
      <c r="B542" s="10" t="s">
        <v>1087</v>
      </c>
      <c r="C542" s="118" t="s">
        <v>1184</v>
      </c>
      <c r="E542" s="83">
        <v>0.67333333333333334</v>
      </c>
      <c r="F542" s="10" t="s">
        <v>1456</v>
      </c>
      <c r="G542" s="83">
        <v>0.16311111111111107</v>
      </c>
      <c r="H542" s="81">
        <v>0.24402618213552499</v>
      </c>
      <c r="S542" s="10"/>
      <c r="T542" s="10"/>
      <c r="AI542" t="s">
        <v>1443</v>
      </c>
      <c r="AJ542" t="s">
        <v>1444</v>
      </c>
      <c r="AK542" t="s">
        <v>1445</v>
      </c>
    </row>
    <row r="543" spans="1:37" ht="28" customHeight="1" x14ac:dyDescent="0.15">
      <c r="A543" s="85" t="s">
        <v>946</v>
      </c>
      <c r="B543" s="10" t="s">
        <v>1058</v>
      </c>
      <c r="D543" s="97" t="s">
        <v>1056</v>
      </c>
      <c r="E543" s="97" t="s">
        <v>1439</v>
      </c>
      <c r="F543" s="97" t="s">
        <v>1056</v>
      </c>
      <c r="G543" s="97" t="s">
        <v>1427</v>
      </c>
      <c r="H543" s="97" t="s">
        <v>1428</v>
      </c>
      <c r="I543" s="85" t="s">
        <v>1208</v>
      </c>
      <c r="J543" s="85" t="s">
        <v>1201</v>
      </c>
      <c r="K543" s="85" t="s">
        <v>919</v>
      </c>
      <c r="L543" s="85" t="s">
        <v>1201</v>
      </c>
      <c r="M543" s="85" t="s">
        <v>947</v>
      </c>
      <c r="N543" s="85" t="s">
        <v>1202</v>
      </c>
      <c r="O543" s="85" t="s">
        <v>779</v>
      </c>
      <c r="P543" s="85" t="s">
        <v>1203</v>
      </c>
      <c r="Q543" s="85" t="s">
        <v>780</v>
      </c>
      <c r="R543" s="85" t="s">
        <v>1201</v>
      </c>
      <c r="S543" s="85" t="s">
        <v>948</v>
      </c>
      <c r="T543" s="85" t="s">
        <v>1201</v>
      </c>
      <c r="U543" s="85" t="s">
        <v>949</v>
      </c>
      <c r="V543" s="85" t="s">
        <v>1204</v>
      </c>
      <c r="W543" s="85" t="s">
        <v>950</v>
      </c>
      <c r="X543" s="85" t="s">
        <v>1163</v>
      </c>
      <c r="Y543" s="85" t="s">
        <v>783</v>
      </c>
      <c r="Z543" s="85" t="s">
        <v>1164</v>
      </c>
      <c r="AA543" s="85" t="s">
        <v>784</v>
      </c>
      <c r="AB543" s="85" t="s">
        <v>1202</v>
      </c>
      <c r="AC543" s="85" t="s">
        <v>785</v>
      </c>
      <c r="AD543" s="85" t="s">
        <v>1202</v>
      </c>
      <c r="AE543" s="85" t="s">
        <v>1205</v>
      </c>
      <c r="AF543" s="85" t="s">
        <v>1165</v>
      </c>
      <c r="AG543" s="85" t="s">
        <v>1060</v>
      </c>
      <c r="AH543" s="85" t="s">
        <v>1061</v>
      </c>
      <c r="AI543" s="10" t="s">
        <v>748</v>
      </c>
      <c r="AJ543" s="10" t="s">
        <v>748</v>
      </c>
      <c r="AK543" s="10" t="s">
        <v>748</v>
      </c>
    </row>
    <row r="544" spans="1:37" x14ac:dyDescent="0.15">
      <c r="A544" s="10">
        <v>2014.5</v>
      </c>
      <c r="C544" s="83">
        <v>0.67333333333333334</v>
      </c>
      <c r="D544" s="96">
        <f>5/12*7</f>
        <v>2.916666666666667</v>
      </c>
      <c r="E544" s="122">
        <f>C544*D544</f>
        <v>1.963888888888889</v>
      </c>
      <c r="F544" s="96">
        <f>D544*0.8</f>
        <v>2.3333333333333335</v>
      </c>
      <c r="G544" s="96">
        <f>(C544*0.4*D544+G$542*0.6*F544)</f>
        <v>1.0139111111111112</v>
      </c>
      <c r="H544" s="96">
        <f>(C544*0.4+H$542*0.6)*D544</f>
        <v>1.2126013742927244</v>
      </c>
      <c r="I544" s="94">
        <f>'Modell During mining'!G547/1000000</f>
        <v>1.0170360000000001</v>
      </c>
      <c r="J544" s="94">
        <f>'Modell During mining'!D547</f>
        <v>8.1395348837209284E-3</v>
      </c>
      <c r="K544" s="93">
        <v>0.95</v>
      </c>
      <c r="L544" s="93">
        <v>0.26</v>
      </c>
      <c r="M544" s="93">
        <v>0.31</v>
      </c>
      <c r="N544" s="93">
        <v>0.26</v>
      </c>
      <c r="O544" s="93">
        <v>1.26</v>
      </c>
      <c r="P544" s="93">
        <v>0.04</v>
      </c>
      <c r="Q544" s="93">
        <v>1.6</v>
      </c>
      <c r="R544" s="93">
        <v>0</v>
      </c>
      <c r="S544" s="93">
        <v>0.36</v>
      </c>
      <c r="T544" s="93">
        <f>$AF544</f>
        <v>5.0999999999999997E-2</v>
      </c>
      <c r="U544" s="93">
        <v>25.21</v>
      </c>
      <c r="V544" s="93">
        <f>$AF544</f>
        <v>5.0999999999999997E-2</v>
      </c>
      <c r="W544" s="93">
        <v>21.42</v>
      </c>
      <c r="X544" s="93">
        <f>$AF544</f>
        <v>5.0999999999999997E-2</v>
      </c>
      <c r="Y544" s="93">
        <v>0.11</v>
      </c>
      <c r="Z544" s="93">
        <f>$AF544</f>
        <v>5.0999999999999997E-2</v>
      </c>
      <c r="AA544" s="93">
        <v>5.8</v>
      </c>
      <c r="AB544" s="93">
        <f>$AF544</f>
        <v>5.0999999999999997E-2</v>
      </c>
      <c r="AC544" s="93">
        <v>1.7</v>
      </c>
      <c r="AD544" s="93">
        <f>$AF544</f>
        <v>5.0999999999999997E-2</v>
      </c>
      <c r="AE544" s="93">
        <v>1.84</v>
      </c>
      <c r="AF544" s="10">
        <v>5.0999999999999997E-2</v>
      </c>
      <c r="AG544" s="10">
        <f t="shared" ref="AG544:AG575" si="152">S544+Y544+AA544+AC544</f>
        <v>7.97</v>
      </c>
      <c r="AH544" s="95">
        <f t="shared" ref="AH544:AH575" si="153">I544+K544+M544+O544+Q544</f>
        <v>5.1370360000000002</v>
      </c>
      <c r="AI544" s="93">
        <f t="shared" ref="AI544:AK544" si="154">$AF544</f>
        <v>5.0999999999999997E-2</v>
      </c>
      <c r="AJ544" s="93">
        <f t="shared" si="154"/>
        <v>5.0999999999999997E-2</v>
      </c>
      <c r="AK544" s="93">
        <f t="shared" si="154"/>
        <v>5.0999999999999997E-2</v>
      </c>
    </row>
    <row r="545" spans="1:37" x14ac:dyDescent="0.15">
      <c r="A545" s="10">
        <v>2015</v>
      </c>
      <c r="C545" s="83">
        <v>0.67333333333333334</v>
      </c>
      <c r="D545" s="96">
        <f>5/12*5</f>
        <v>2.0833333333333335</v>
      </c>
      <c r="E545" s="122">
        <f t="shared" ref="E545:E575" si="155">C545*D545</f>
        <v>1.4027777777777779</v>
      </c>
      <c r="F545" s="96">
        <f t="shared" ref="F545:F575" si="156">D545*0.8</f>
        <v>1.666666666666667</v>
      </c>
      <c r="G545" s="96">
        <f t="shared" ref="G545:G575" si="157">(C545*0.4*D545+G$542*0.6*F545)</f>
        <v>0.72422222222222232</v>
      </c>
      <c r="H545" s="96">
        <f t="shared" ref="H545:H575" si="158">(C545*0.4+H$542*0.6)*D545</f>
        <v>0.86614383878051748</v>
      </c>
      <c r="I545" s="94">
        <f>'Modell During mining'!G548/1000000</f>
        <v>0.78051599999999999</v>
      </c>
      <c r="J545" s="94">
        <f>'Modell During mining'!D548</f>
        <v>7.575757575757576E-3</v>
      </c>
      <c r="K545" s="93">
        <v>0</v>
      </c>
      <c r="L545" s="93">
        <v>0.26</v>
      </c>
      <c r="M545" s="93">
        <v>0</v>
      </c>
      <c r="N545" s="93">
        <v>0.26</v>
      </c>
      <c r="O545" s="93">
        <v>1.26</v>
      </c>
      <c r="P545" s="93">
        <v>0.04</v>
      </c>
      <c r="Q545" s="93">
        <v>0</v>
      </c>
      <c r="R545" s="93">
        <v>0</v>
      </c>
      <c r="S545" s="93">
        <v>0.36</v>
      </c>
      <c r="T545" s="98">
        <f>$AF545</f>
        <v>0.30976261262200028</v>
      </c>
      <c r="U545" s="93">
        <v>25.21</v>
      </c>
      <c r="V545" s="98">
        <f>$AF545</f>
        <v>0.30976261262200028</v>
      </c>
      <c r="W545" s="93">
        <v>21.42</v>
      </c>
      <c r="X545" s="98">
        <f>$AF545</f>
        <v>0.30976261262200028</v>
      </c>
      <c r="Y545" s="93">
        <v>0.11</v>
      </c>
      <c r="Z545" s="121">
        <f>$AF545</f>
        <v>0.30976261262200028</v>
      </c>
      <c r="AA545" s="93">
        <v>5.8</v>
      </c>
      <c r="AB545" s="98">
        <f>$AF545</f>
        <v>0.30976261262200028</v>
      </c>
      <c r="AC545" s="93">
        <v>1.7</v>
      </c>
      <c r="AD545" s="175">
        <f t="shared" ref="AD545:AD575" si="159">$AF545</f>
        <v>0.30976261262200028</v>
      </c>
      <c r="AE545" s="93">
        <v>1.84</v>
      </c>
      <c r="AF545" s="96">
        <f t="shared" ref="AF545:AF575" si="160">AI545</f>
        <v>0.30976261262200028</v>
      </c>
      <c r="AG545" s="10">
        <f t="shared" si="152"/>
        <v>7.97</v>
      </c>
      <c r="AH545" s="95">
        <f t="shared" si="153"/>
        <v>2.0405160000000002</v>
      </c>
      <c r="AI545" s="96">
        <f>((E544+$I544*$J544+$K544*$L544+$M544*$N544+$O544*$P544-$S544*$T544)/($I544+$K544+$M544+$O544+$Q544+$I544-$S544)*$AH544+$AE544*$AF544)/($AH544+$AE544)</f>
        <v>0.30976261262200028</v>
      </c>
      <c r="AJ545" s="96">
        <f>((G544+$I544*$J544+$K544*$L544+$M544*$N544+$O544*$P544-$S544*$T544)/($I544+$K544+$M544+$O544+$Q544+$I544-$S544)*$AH544+$AE544*$AF544)/($AH544+$AE544)</f>
        <v>0.18904484268397864</v>
      </c>
      <c r="AK545" s="96">
        <f t="shared" ref="AK545:AK576" si="161">((H544+$I544*$J544+$K544*$L544+$M544*$N544+$O544*$P544-$S544*$T544)/($I544+$K544+$M544+$O544+$Q544+$I544-$S544)*$AH544+$AE544*$AF544)/($AH544+$AE544)</f>
        <v>0.21429327063751522</v>
      </c>
    </row>
    <row r="546" spans="1:37" x14ac:dyDescent="0.15">
      <c r="A546" s="10">
        <v>2015.5</v>
      </c>
      <c r="C546" s="83">
        <v>0.67333333333333334</v>
      </c>
      <c r="D546" s="96">
        <f>5.5/12*7</f>
        <v>3.208333333333333</v>
      </c>
      <c r="E546" s="122">
        <f t="shared" si="155"/>
        <v>2.1602777777777775</v>
      </c>
      <c r="F546" s="96">
        <f t="shared" si="156"/>
        <v>2.5666666666666664</v>
      </c>
      <c r="G546" s="96">
        <f t="shared" si="157"/>
        <v>1.1153022222222222</v>
      </c>
      <c r="H546" s="96">
        <f t="shared" si="158"/>
        <v>1.3338615117219967</v>
      </c>
      <c r="I546" s="94">
        <f>'Modell During mining'!G549/1000000</f>
        <v>1.1187298666666667</v>
      </c>
      <c r="J546" s="94">
        <f>'Modell During mining'!D549</f>
        <v>8.2522751396405004E-3</v>
      </c>
      <c r="K546" s="93">
        <v>0.95</v>
      </c>
      <c r="L546" s="93">
        <v>0.26</v>
      </c>
      <c r="M546" s="93">
        <v>0.31</v>
      </c>
      <c r="N546" s="93">
        <v>0.26</v>
      </c>
      <c r="O546" s="93">
        <v>1.26</v>
      </c>
      <c r="P546" s="93">
        <v>0.04</v>
      </c>
      <c r="Q546" s="93">
        <v>1.6</v>
      </c>
      <c r="R546" s="93">
        <v>0</v>
      </c>
      <c r="S546" s="93">
        <v>0.36</v>
      </c>
      <c r="T546" s="98">
        <f t="shared" ref="T546" si="162">$AF546</f>
        <v>0.43480799648933843</v>
      </c>
      <c r="U546" s="93">
        <v>25.21</v>
      </c>
      <c r="V546" s="98">
        <f t="shared" ref="V546:AB546" si="163">$AF546</f>
        <v>0.43480799648933843</v>
      </c>
      <c r="W546" s="93">
        <v>21.42</v>
      </c>
      <c r="X546" s="98">
        <f t="shared" si="163"/>
        <v>0.43480799648933843</v>
      </c>
      <c r="Y546" s="93">
        <v>0.11</v>
      </c>
      <c r="Z546" s="98">
        <f t="shared" si="163"/>
        <v>0.43480799648933843</v>
      </c>
      <c r="AA546" s="93">
        <v>5.8</v>
      </c>
      <c r="AB546" s="98">
        <f t="shared" si="163"/>
        <v>0.43480799648933843</v>
      </c>
      <c r="AC546" s="93">
        <v>1.7</v>
      </c>
      <c r="AD546" s="175">
        <f t="shared" si="159"/>
        <v>0.43480799648933843</v>
      </c>
      <c r="AE546" s="93">
        <v>1.84</v>
      </c>
      <c r="AF546" s="96">
        <f t="shared" si="160"/>
        <v>0.43480799648933843</v>
      </c>
      <c r="AG546" s="10">
        <f t="shared" si="152"/>
        <v>7.97</v>
      </c>
      <c r="AH546" s="95">
        <f t="shared" si="153"/>
        <v>5.2387298666666666</v>
      </c>
      <c r="AI546" s="96">
        <f>((E545+I545*J545+K545*L545+M545*N545+O545*P545-S545*T545)/(I545+K545+M545+O545+Q545+I545-S545)*AH545+AE545*AF545)/(AH545+AE545)</f>
        <v>0.43480799648933843</v>
      </c>
      <c r="AJ546" s="96">
        <f t="shared" ref="AJ546:AJ576" si="164">((G545+$I545*$J545+$K545*$L545+$M545*$N545+$O545*$P545-$S545*$T545)/($I545+$K545+$M545+$O545+$Q545+$I545-$S545)*$AH545+$AE545*$AF545)/($AH545+$AE545)</f>
        <v>0.28982446438407677</v>
      </c>
      <c r="AK546" s="96">
        <f t="shared" si="161"/>
        <v>0.32014813807924497</v>
      </c>
    </row>
    <row r="547" spans="1:37" x14ac:dyDescent="0.15">
      <c r="A547" s="10">
        <f>A545+1</f>
        <v>2016</v>
      </c>
      <c r="C547" s="83">
        <v>0.67333333333333334</v>
      </c>
      <c r="D547" s="96">
        <f>5/12*5</f>
        <v>2.0833333333333335</v>
      </c>
      <c r="E547" s="122">
        <f t="shared" si="155"/>
        <v>1.4027777777777779</v>
      </c>
      <c r="F547" s="96">
        <f t="shared" si="156"/>
        <v>1.666666666666667</v>
      </c>
      <c r="G547" s="96">
        <f t="shared" si="157"/>
        <v>0.72422222222222232</v>
      </c>
      <c r="H547" s="96">
        <f t="shared" si="158"/>
        <v>0.86614383878051748</v>
      </c>
      <c r="I547" s="94">
        <f>'Modell During mining'!G550/1000000</f>
        <v>0.84864933333333337</v>
      </c>
      <c r="J547" s="94">
        <f>'Modell During mining'!D550</f>
        <v>7.7703865122147036E-3</v>
      </c>
      <c r="K547" s="93">
        <v>0</v>
      </c>
      <c r="L547" s="93">
        <v>0.26</v>
      </c>
      <c r="M547" s="93">
        <v>0</v>
      </c>
      <c r="N547" s="93">
        <v>0.26</v>
      </c>
      <c r="O547" s="93">
        <v>1.26</v>
      </c>
      <c r="P547" s="93">
        <v>0.04</v>
      </c>
      <c r="Q547" s="93">
        <v>0</v>
      </c>
      <c r="R547" s="93">
        <v>0</v>
      </c>
      <c r="S547" s="93">
        <v>0.36</v>
      </c>
      <c r="T547" s="98">
        <f t="shared" ref="T547" si="165">$AF547</f>
        <v>0.40805998797610521</v>
      </c>
      <c r="U547" s="93">
        <v>25.21</v>
      </c>
      <c r="V547" s="98">
        <f t="shared" ref="V547:AB547" si="166">$AF547</f>
        <v>0.40805998797610521</v>
      </c>
      <c r="W547" s="93">
        <v>21.42</v>
      </c>
      <c r="X547" s="98">
        <f t="shared" si="166"/>
        <v>0.40805998797610521</v>
      </c>
      <c r="Y547" s="93">
        <v>0.11</v>
      </c>
      <c r="Z547" s="98">
        <f t="shared" si="166"/>
        <v>0.40805998797610521</v>
      </c>
      <c r="AA547" s="93">
        <v>5.8</v>
      </c>
      <c r="AB547" s="98">
        <f t="shared" si="166"/>
        <v>0.40805998797610521</v>
      </c>
      <c r="AC547" s="93">
        <v>1.7</v>
      </c>
      <c r="AD547" s="175">
        <f t="shared" si="159"/>
        <v>0.40805998797610521</v>
      </c>
      <c r="AE547" s="93">
        <v>1.84</v>
      </c>
      <c r="AF547" s="96">
        <f t="shared" si="160"/>
        <v>0.40805998797610521</v>
      </c>
      <c r="AG547" s="10">
        <f t="shared" si="152"/>
        <v>7.97</v>
      </c>
      <c r="AH547" s="95">
        <f t="shared" si="153"/>
        <v>2.1086493333333332</v>
      </c>
      <c r="AI547" s="96">
        <f t="shared" ref="AI547:AI576" si="167">((E546+I546*J546+K546*L546+M546*N546+O546*P546-S546*T546)/(I546+K546+M546+O546+Q546+I546-S546)*AH546+AE546*AF546)/(AH546+AE546)</f>
        <v>0.40805998797610521</v>
      </c>
      <c r="AJ547" s="96">
        <f t="shared" si="164"/>
        <v>0.27911351844598759</v>
      </c>
      <c r="AK547" s="96">
        <f t="shared" si="161"/>
        <v>0.30608299980292114</v>
      </c>
    </row>
    <row r="548" spans="1:37" x14ac:dyDescent="0.15">
      <c r="A548" s="10">
        <v>2016.5</v>
      </c>
      <c r="C548" s="83">
        <v>0.67333333333333334</v>
      </c>
      <c r="D548" s="96">
        <f>5.5/12*7</f>
        <v>3.208333333333333</v>
      </c>
      <c r="E548" s="122">
        <f t="shared" si="155"/>
        <v>2.1602777777777775</v>
      </c>
      <c r="F548" s="96">
        <f t="shared" si="156"/>
        <v>2.5666666666666664</v>
      </c>
      <c r="G548" s="96">
        <f t="shared" si="157"/>
        <v>1.1153022222222222</v>
      </c>
      <c r="H548" s="96">
        <f t="shared" si="158"/>
        <v>1.3338615117219967</v>
      </c>
      <c r="I548" s="94">
        <f>'Modell During mining'!G551/1000000</f>
        <v>1.2204237333333334</v>
      </c>
      <c r="J548" s="94">
        <f>'Modell During mining'!D551</f>
        <v>8.3462268514826205E-3</v>
      </c>
      <c r="K548" s="93">
        <v>0.95</v>
      </c>
      <c r="L548" s="93">
        <v>0.26</v>
      </c>
      <c r="M548" s="93">
        <v>0.31</v>
      </c>
      <c r="N548" s="93">
        <v>0.26</v>
      </c>
      <c r="O548" s="93">
        <v>1.26</v>
      </c>
      <c r="P548" s="93">
        <v>0.04</v>
      </c>
      <c r="Q548" s="93">
        <v>1.6</v>
      </c>
      <c r="R548" s="93">
        <v>0</v>
      </c>
      <c r="S548" s="93">
        <v>0.36</v>
      </c>
      <c r="T548" s="98">
        <f t="shared" ref="T548" si="168">$AF548</f>
        <v>0.46008154569740384</v>
      </c>
      <c r="U548" s="93">
        <v>25.21</v>
      </c>
      <c r="V548" s="98">
        <f t="shared" ref="V548:AB548" si="169">$AF548</f>
        <v>0.46008154569740384</v>
      </c>
      <c r="W548" s="93">
        <v>21.42</v>
      </c>
      <c r="X548" s="98">
        <f t="shared" si="169"/>
        <v>0.46008154569740384</v>
      </c>
      <c r="Y548" s="93">
        <v>0.11</v>
      </c>
      <c r="Z548" s="98">
        <f t="shared" si="169"/>
        <v>0.46008154569740384</v>
      </c>
      <c r="AA548" s="93">
        <v>5.8</v>
      </c>
      <c r="AB548" s="98">
        <f t="shared" si="169"/>
        <v>0.46008154569740384</v>
      </c>
      <c r="AC548" s="93">
        <v>1.7</v>
      </c>
      <c r="AD548" s="175">
        <f t="shared" si="159"/>
        <v>0.46008154569740384</v>
      </c>
      <c r="AE548" s="93">
        <v>1.84</v>
      </c>
      <c r="AF548" s="96">
        <f t="shared" si="160"/>
        <v>0.46008154569740384</v>
      </c>
      <c r="AG548" s="10">
        <f t="shared" si="152"/>
        <v>7.97</v>
      </c>
      <c r="AH548" s="95">
        <f t="shared" si="153"/>
        <v>5.3404237333333331</v>
      </c>
      <c r="AI548" s="96">
        <f t="shared" si="167"/>
        <v>0.46008154569740384</v>
      </c>
      <c r="AJ548" s="96">
        <f t="shared" si="164"/>
        <v>0.32056705637834976</v>
      </c>
      <c r="AK548" s="96">
        <f t="shared" si="161"/>
        <v>0.34974686589483683</v>
      </c>
    </row>
    <row r="549" spans="1:37" x14ac:dyDescent="0.15">
      <c r="A549" s="10">
        <f>A547+1</f>
        <v>2017</v>
      </c>
      <c r="C549" s="83">
        <v>0.67333333333333334</v>
      </c>
      <c r="D549" s="96">
        <f>5/12*5</f>
        <v>2.0833333333333335</v>
      </c>
      <c r="E549" s="122">
        <f t="shared" si="155"/>
        <v>1.4027777777777779</v>
      </c>
      <c r="F549" s="96">
        <f t="shared" si="156"/>
        <v>1.666666666666667</v>
      </c>
      <c r="G549" s="96">
        <f t="shared" si="157"/>
        <v>0.72422222222222232</v>
      </c>
      <c r="H549" s="96">
        <f t="shared" si="158"/>
        <v>0.86614383878051748</v>
      </c>
      <c r="I549" s="94">
        <f>'Modell During mining'!G552/1000000</f>
        <v>0.91678266666666675</v>
      </c>
      <c r="J549" s="94">
        <f>'Modell During mining'!D552</f>
        <v>7.9360866334005735E-3</v>
      </c>
      <c r="K549" s="93">
        <v>0</v>
      </c>
      <c r="L549" s="93">
        <v>0.26</v>
      </c>
      <c r="M549" s="93">
        <v>0</v>
      </c>
      <c r="N549" s="93">
        <v>0.26</v>
      </c>
      <c r="O549" s="93">
        <v>1.26</v>
      </c>
      <c r="P549" s="93">
        <v>0.04</v>
      </c>
      <c r="Q549" s="93">
        <v>0</v>
      </c>
      <c r="R549" s="93">
        <v>0</v>
      </c>
      <c r="S549" s="93">
        <v>0.36</v>
      </c>
      <c r="T549" s="98">
        <f t="shared" ref="T549" si="170">$AF549</f>
        <v>0.40370104378764121</v>
      </c>
      <c r="U549" s="93">
        <v>25.21</v>
      </c>
      <c r="V549" s="98">
        <f t="shared" ref="V549:AB549" si="171">$AF549</f>
        <v>0.40370104378764121</v>
      </c>
      <c r="W549" s="93">
        <v>21.42</v>
      </c>
      <c r="X549" s="98">
        <f t="shared" si="171"/>
        <v>0.40370104378764121</v>
      </c>
      <c r="Y549" s="93">
        <v>0.11</v>
      </c>
      <c r="Z549" s="98">
        <f t="shared" si="171"/>
        <v>0.40370104378764121</v>
      </c>
      <c r="AA549" s="93">
        <v>5.8</v>
      </c>
      <c r="AB549" s="98">
        <f t="shared" si="171"/>
        <v>0.40370104378764121</v>
      </c>
      <c r="AC549" s="93">
        <v>1.7</v>
      </c>
      <c r="AD549" s="175">
        <f t="shared" si="159"/>
        <v>0.40370104378764121</v>
      </c>
      <c r="AE549" s="93">
        <v>1.84</v>
      </c>
      <c r="AF549" s="96">
        <f t="shared" si="160"/>
        <v>0.40370104378764121</v>
      </c>
      <c r="AG549" s="10">
        <f t="shared" si="152"/>
        <v>7.97</v>
      </c>
      <c r="AH549" s="95">
        <f t="shared" si="153"/>
        <v>2.176782666666667</v>
      </c>
      <c r="AI549" s="96">
        <f t="shared" si="167"/>
        <v>0.40370104378764121</v>
      </c>
      <c r="AJ549" s="96">
        <f t="shared" si="164"/>
        <v>0.27836363075774562</v>
      </c>
      <c r="AK549" s="96">
        <f t="shared" si="161"/>
        <v>0.30457826878819222</v>
      </c>
    </row>
    <row r="550" spans="1:37" x14ac:dyDescent="0.15">
      <c r="A550" s="10">
        <f>A549+0.5</f>
        <v>2017.5</v>
      </c>
      <c r="C550" s="83">
        <v>0.67333333333333334</v>
      </c>
      <c r="D550" s="96">
        <f>5.5/12*7</f>
        <v>3.208333333333333</v>
      </c>
      <c r="E550" s="122">
        <f t="shared" si="155"/>
        <v>2.1602777777777775</v>
      </c>
      <c r="F550" s="96">
        <f t="shared" si="156"/>
        <v>2.5666666666666664</v>
      </c>
      <c r="G550" s="96">
        <f t="shared" si="157"/>
        <v>1.1153022222222222</v>
      </c>
      <c r="H550" s="96">
        <f t="shared" si="158"/>
        <v>1.3338615117219967</v>
      </c>
      <c r="I550" s="94">
        <f>'Modell During mining'!G553/1000000</f>
        <v>1.3221176000000001</v>
      </c>
      <c r="J550" s="94">
        <f>'Modell During mining'!D553</f>
        <v>8.425725517911568E-3</v>
      </c>
      <c r="K550" s="93">
        <v>0.95</v>
      </c>
      <c r="L550" s="93">
        <v>0.26</v>
      </c>
      <c r="M550" s="93">
        <v>0.31</v>
      </c>
      <c r="N550" s="93">
        <v>0.26</v>
      </c>
      <c r="O550" s="93">
        <v>1.26</v>
      </c>
      <c r="P550" s="93">
        <v>0.04</v>
      </c>
      <c r="Q550" s="93">
        <v>1.6</v>
      </c>
      <c r="R550" s="93">
        <v>0</v>
      </c>
      <c r="S550" s="93">
        <v>0.36</v>
      </c>
      <c r="T550" s="98">
        <f t="shared" ref="T550" si="172">$AF550</f>
        <v>0.44564578899004975</v>
      </c>
      <c r="U550" s="93">
        <v>25.21</v>
      </c>
      <c r="V550" s="98">
        <f t="shared" ref="V550:AB550" si="173">$AF550</f>
        <v>0.44564578899004975</v>
      </c>
      <c r="W550" s="93">
        <v>21.42</v>
      </c>
      <c r="X550" s="98">
        <f t="shared" si="173"/>
        <v>0.44564578899004975</v>
      </c>
      <c r="Y550" s="93">
        <v>0.11</v>
      </c>
      <c r="Z550" s="98">
        <f t="shared" si="173"/>
        <v>0.44564578899004975</v>
      </c>
      <c r="AA550" s="93">
        <v>5.8</v>
      </c>
      <c r="AB550" s="98">
        <f t="shared" si="173"/>
        <v>0.44564578899004975</v>
      </c>
      <c r="AC550" s="93">
        <v>1.7</v>
      </c>
      <c r="AD550" s="175">
        <f t="shared" si="159"/>
        <v>0.44564578899004975</v>
      </c>
      <c r="AE550" s="93">
        <v>1.84</v>
      </c>
      <c r="AF550" s="96">
        <f t="shared" si="160"/>
        <v>0.44564578899004975</v>
      </c>
      <c r="AG550" s="10">
        <f t="shared" si="152"/>
        <v>7.97</v>
      </c>
      <c r="AH550" s="95">
        <f t="shared" si="153"/>
        <v>5.4421175999999996</v>
      </c>
      <c r="AI550" s="96">
        <f t="shared" si="167"/>
        <v>0.44564578899004975</v>
      </c>
      <c r="AJ550" s="96">
        <f t="shared" si="164"/>
        <v>0.31112398316225037</v>
      </c>
      <c r="AK550" s="96">
        <f t="shared" si="161"/>
        <v>0.33925956025555332</v>
      </c>
    </row>
    <row r="551" spans="1:37" x14ac:dyDescent="0.15">
      <c r="A551" s="10">
        <f>A549+1</f>
        <v>2018</v>
      </c>
      <c r="C551" s="83">
        <v>0.67333333333333334</v>
      </c>
      <c r="D551" s="96">
        <f>5/12*5</f>
        <v>2.0833333333333335</v>
      </c>
      <c r="E551" s="122">
        <f t="shared" si="155"/>
        <v>1.4027777777777779</v>
      </c>
      <c r="F551" s="96">
        <f t="shared" si="156"/>
        <v>1.666666666666667</v>
      </c>
      <c r="G551" s="96">
        <f t="shared" si="157"/>
        <v>0.72422222222222232</v>
      </c>
      <c r="H551" s="96">
        <f t="shared" si="158"/>
        <v>0.86614383878051748</v>
      </c>
      <c r="I551" s="94">
        <f>'Modell During mining'!G554/1000000</f>
        <v>0.98491600000000012</v>
      </c>
      <c r="J551" s="94">
        <f>'Modell During mining'!D554</f>
        <v>8.0788615475837523E-3</v>
      </c>
      <c r="K551" s="93">
        <v>0</v>
      </c>
      <c r="L551" s="93">
        <v>0.26</v>
      </c>
      <c r="M551" s="93">
        <v>0</v>
      </c>
      <c r="N551" s="93">
        <v>0.26</v>
      </c>
      <c r="O551" s="93">
        <v>1.26</v>
      </c>
      <c r="P551" s="93">
        <v>0.04</v>
      </c>
      <c r="Q551" s="93">
        <v>0</v>
      </c>
      <c r="R551" s="93">
        <v>0</v>
      </c>
      <c r="S551" s="93">
        <v>0.36</v>
      </c>
      <c r="T551" s="98">
        <f t="shared" ref="T551" si="174">$AF551</f>
        <v>0.39137964876156361</v>
      </c>
      <c r="U551" s="93">
        <v>25.21</v>
      </c>
      <c r="V551" s="98">
        <f t="shared" ref="V551:AB551" si="175">$AF551</f>
        <v>0.39137964876156361</v>
      </c>
      <c r="W551" s="93">
        <v>21.42</v>
      </c>
      <c r="X551" s="98">
        <f t="shared" si="175"/>
        <v>0.39137964876156361</v>
      </c>
      <c r="Y551" s="93">
        <v>0.11</v>
      </c>
      <c r="Z551" s="98">
        <f t="shared" si="175"/>
        <v>0.39137964876156361</v>
      </c>
      <c r="AA551" s="93">
        <v>5.8</v>
      </c>
      <c r="AB551" s="98">
        <f t="shared" si="175"/>
        <v>0.39137964876156361</v>
      </c>
      <c r="AC551" s="93">
        <v>1.7</v>
      </c>
      <c r="AD551" s="175">
        <f t="shared" si="159"/>
        <v>0.39137964876156361</v>
      </c>
      <c r="AE551" s="93">
        <v>1.84</v>
      </c>
      <c r="AF551" s="96">
        <f t="shared" si="160"/>
        <v>0.39137964876156361</v>
      </c>
      <c r="AG551" s="10">
        <f t="shared" si="152"/>
        <v>7.97</v>
      </c>
      <c r="AH551" s="95">
        <f t="shared" si="153"/>
        <v>2.2449159999999999</v>
      </c>
      <c r="AI551" s="96">
        <f t="shared" si="167"/>
        <v>0.39137964876156361</v>
      </c>
      <c r="AJ551" s="96">
        <f t="shared" si="164"/>
        <v>0.26943883406249863</v>
      </c>
      <c r="AK551" s="96">
        <f t="shared" si="161"/>
        <v>0.29494306493178662</v>
      </c>
    </row>
    <row r="552" spans="1:37" x14ac:dyDescent="0.15">
      <c r="A552" s="10">
        <f>A551+0.5</f>
        <v>2018.5</v>
      </c>
      <c r="C552" s="83">
        <v>0.67333333333333334</v>
      </c>
      <c r="D552" s="96">
        <f>5.5/12*7</f>
        <v>3.208333333333333</v>
      </c>
      <c r="E552" s="122">
        <f t="shared" si="155"/>
        <v>2.1602777777777775</v>
      </c>
      <c r="F552" s="96">
        <f t="shared" si="156"/>
        <v>2.5666666666666664</v>
      </c>
      <c r="G552" s="96">
        <f t="shared" si="157"/>
        <v>1.1153022222222222</v>
      </c>
      <c r="H552" s="96">
        <f t="shared" si="158"/>
        <v>1.3338615117219967</v>
      </c>
      <c r="I552" s="94">
        <f>'Modell During mining'!G555/1000000</f>
        <v>1.4238114666666668</v>
      </c>
      <c r="J552" s="94">
        <f>'Modell During mining'!D555</f>
        <v>8.4938680083673987E-3</v>
      </c>
      <c r="K552" s="93">
        <v>0.95</v>
      </c>
      <c r="L552" s="93">
        <v>0.26</v>
      </c>
      <c r="M552" s="93">
        <v>0.31</v>
      </c>
      <c r="N552" s="93">
        <v>0.26</v>
      </c>
      <c r="O552" s="93">
        <v>1.26</v>
      </c>
      <c r="P552" s="93">
        <v>0.04</v>
      </c>
      <c r="Q552" s="93">
        <v>3.6</v>
      </c>
      <c r="R552" s="93">
        <v>0</v>
      </c>
      <c r="S552" s="93">
        <v>0.36</v>
      </c>
      <c r="T552" s="98">
        <f t="shared" ref="T552" si="176">$AF552</f>
        <v>0.42911290528981361</v>
      </c>
      <c r="U552" s="93">
        <v>25.21</v>
      </c>
      <c r="V552" s="98">
        <f t="shared" ref="V552:AB552" si="177">$AF552</f>
        <v>0.42911290528981361</v>
      </c>
      <c r="W552" s="93">
        <v>21.42</v>
      </c>
      <c r="X552" s="98">
        <f t="shared" si="177"/>
        <v>0.42911290528981361</v>
      </c>
      <c r="Y552" s="93">
        <v>0.11</v>
      </c>
      <c r="Z552" s="98">
        <f t="shared" si="177"/>
        <v>0.42911290528981361</v>
      </c>
      <c r="AA552" s="93">
        <v>5.8</v>
      </c>
      <c r="AB552" s="98">
        <f t="shared" si="177"/>
        <v>0.42911290528981361</v>
      </c>
      <c r="AC552" s="93">
        <v>1.7</v>
      </c>
      <c r="AD552" s="175">
        <f t="shared" si="159"/>
        <v>0.42911290528981361</v>
      </c>
      <c r="AE552" s="93">
        <v>1.84</v>
      </c>
      <c r="AF552" s="96">
        <f t="shared" si="160"/>
        <v>0.42911290528981361</v>
      </c>
      <c r="AG552" s="10">
        <f t="shared" si="152"/>
        <v>7.97</v>
      </c>
      <c r="AH552" s="95">
        <f t="shared" si="153"/>
        <v>7.5438114666666678</v>
      </c>
      <c r="AI552" s="96">
        <f t="shared" si="167"/>
        <v>0.42911290528981361</v>
      </c>
      <c r="AJ552" s="96">
        <f t="shared" si="164"/>
        <v>0.29917199597823435</v>
      </c>
      <c r="AK552" s="96">
        <f t="shared" si="161"/>
        <v>0.32634946693926059</v>
      </c>
    </row>
    <row r="553" spans="1:37" x14ac:dyDescent="0.15">
      <c r="A553" s="10">
        <f>A551+1</f>
        <v>2019</v>
      </c>
      <c r="C553" s="83">
        <v>0.67333333333333334</v>
      </c>
      <c r="D553" s="96">
        <f>5/12*5</f>
        <v>2.0833333333333335</v>
      </c>
      <c r="E553" s="122">
        <f t="shared" si="155"/>
        <v>1.4027777777777779</v>
      </c>
      <c r="F553" s="96">
        <f t="shared" si="156"/>
        <v>1.666666666666667</v>
      </c>
      <c r="G553" s="96">
        <f t="shared" si="157"/>
        <v>0.72422222222222232</v>
      </c>
      <c r="H553" s="96">
        <f t="shared" si="158"/>
        <v>0.86614383878051748</v>
      </c>
      <c r="I553" s="94">
        <f>'Modell During mining'!G556/1000000</f>
        <v>1.0530493333333335</v>
      </c>
      <c r="J553" s="94">
        <f>'Modell During mining'!D556</f>
        <v>8.2031611054626148E-3</v>
      </c>
      <c r="K553" s="93">
        <v>0</v>
      </c>
      <c r="L553" s="93">
        <v>0.26</v>
      </c>
      <c r="M553" s="93">
        <v>0</v>
      </c>
      <c r="N553" s="93">
        <v>0.26</v>
      </c>
      <c r="O553" s="93">
        <v>1.26</v>
      </c>
      <c r="P553" s="93">
        <v>0.04</v>
      </c>
      <c r="Q553" s="93">
        <v>0</v>
      </c>
      <c r="R553" s="93">
        <v>0</v>
      </c>
      <c r="S553" s="93">
        <v>0.36</v>
      </c>
      <c r="T553" s="98">
        <f t="shared" ref="T553" si="178">$AF553</f>
        <v>0.3079081144707449</v>
      </c>
      <c r="U553" s="93">
        <v>25.21</v>
      </c>
      <c r="V553" s="98">
        <f t="shared" ref="V553:AB553" si="179">$AF553</f>
        <v>0.3079081144707449</v>
      </c>
      <c r="W553" s="93">
        <v>21.42</v>
      </c>
      <c r="X553" s="98">
        <f t="shared" si="179"/>
        <v>0.3079081144707449</v>
      </c>
      <c r="Y553" s="93">
        <v>0.11</v>
      </c>
      <c r="Z553" s="98">
        <f t="shared" si="179"/>
        <v>0.3079081144707449</v>
      </c>
      <c r="AA553" s="93">
        <v>5.8</v>
      </c>
      <c r="AB553" s="98">
        <f t="shared" si="179"/>
        <v>0.3079081144707449</v>
      </c>
      <c r="AC553" s="93">
        <v>1.7</v>
      </c>
      <c r="AD553" s="175">
        <f t="shared" si="159"/>
        <v>0.3079081144707449</v>
      </c>
      <c r="AE553" s="93">
        <v>1.84</v>
      </c>
      <c r="AF553" s="96">
        <f t="shared" si="160"/>
        <v>0.3079081144707449</v>
      </c>
      <c r="AG553" s="10">
        <f t="shared" si="152"/>
        <v>7.97</v>
      </c>
      <c r="AH553" s="95">
        <f t="shared" si="153"/>
        <v>2.3130493333333337</v>
      </c>
      <c r="AI553" s="96">
        <f t="shared" si="167"/>
        <v>0.3079081144707449</v>
      </c>
      <c r="AJ553" s="96">
        <f t="shared" si="164"/>
        <v>0.21031156805512832</v>
      </c>
      <c r="AK553" s="96">
        <f t="shared" si="161"/>
        <v>0.23072413342933804</v>
      </c>
    </row>
    <row r="554" spans="1:37" x14ac:dyDescent="0.15">
      <c r="A554" s="10">
        <f>A553+0.5</f>
        <v>2019.5</v>
      </c>
      <c r="C554" s="83">
        <v>0.67333333333333334</v>
      </c>
      <c r="D554" s="96">
        <f>5.5/12*7</f>
        <v>3.208333333333333</v>
      </c>
      <c r="E554" s="122">
        <f t="shared" si="155"/>
        <v>2.1602777777777775</v>
      </c>
      <c r="F554" s="96">
        <f t="shared" si="156"/>
        <v>2.5666666666666664</v>
      </c>
      <c r="G554" s="96">
        <f t="shared" si="157"/>
        <v>1.1153022222222222</v>
      </c>
      <c r="H554" s="96">
        <f t="shared" si="158"/>
        <v>1.3338615117219967</v>
      </c>
      <c r="I554" s="94">
        <f>'Modell During mining'!G557/1000000</f>
        <v>1.5255053333333335</v>
      </c>
      <c r="J554" s="94">
        <f>'Modell During mining'!D557</f>
        <v>8.5529254131308623E-3</v>
      </c>
      <c r="K554" s="93">
        <v>0.95</v>
      </c>
      <c r="L554" s="93">
        <v>0.26</v>
      </c>
      <c r="M554" s="93">
        <v>0.31</v>
      </c>
      <c r="N554" s="93">
        <v>0.26</v>
      </c>
      <c r="O554" s="93">
        <v>1.26</v>
      </c>
      <c r="P554" s="93">
        <v>0.04</v>
      </c>
      <c r="Q554" s="93">
        <v>1.6</v>
      </c>
      <c r="R554" s="93">
        <v>0</v>
      </c>
      <c r="S554" s="93">
        <v>0.36</v>
      </c>
      <c r="T554" s="98">
        <f t="shared" ref="T554" si="180">$AF554</f>
        <v>0.38671758082919605</v>
      </c>
      <c r="U554" s="93">
        <v>25.21</v>
      </c>
      <c r="V554" s="98">
        <f t="shared" ref="V554:AB554" si="181">$AF554</f>
        <v>0.38671758082919605</v>
      </c>
      <c r="W554" s="93">
        <v>21.42</v>
      </c>
      <c r="X554" s="98">
        <f t="shared" si="181"/>
        <v>0.38671758082919605</v>
      </c>
      <c r="Y554" s="93">
        <v>0.11</v>
      </c>
      <c r="Z554" s="98">
        <f t="shared" si="181"/>
        <v>0.38671758082919605</v>
      </c>
      <c r="AA554" s="93">
        <v>5.8</v>
      </c>
      <c r="AB554" s="98">
        <f t="shared" si="181"/>
        <v>0.38671758082919605</v>
      </c>
      <c r="AC554" s="93">
        <v>1.7</v>
      </c>
      <c r="AD554" s="175">
        <f t="shared" si="159"/>
        <v>0.38671758082919605</v>
      </c>
      <c r="AE554" s="93">
        <v>1.84</v>
      </c>
      <c r="AF554" s="96">
        <f t="shared" si="160"/>
        <v>0.38671758082919605</v>
      </c>
      <c r="AG554" s="10">
        <f t="shared" si="152"/>
        <v>7.97</v>
      </c>
      <c r="AH554" s="95">
        <f t="shared" si="153"/>
        <v>5.6455053333333343</v>
      </c>
      <c r="AI554" s="96">
        <f t="shared" si="167"/>
        <v>0.38671758082919605</v>
      </c>
      <c r="AJ554" s="96">
        <f t="shared" si="164"/>
        <v>0.26099885083043878</v>
      </c>
      <c r="AK554" s="96">
        <f t="shared" si="161"/>
        <v>0.28729324227267145</v>
      </c>
    </row>
    <row r="555" spans="1:37" x14ac:dyDescent="0.15">
      <c r="A555" s="10">
        <f>A553+1</f>
        <v>2020</v>
      </c>
      <c r="C555" s="83">
        <v>0.67333333333333334</v>
      </c>
      <c r="D555" s="96">
        <f>5/12*5</f>
        <v>2.0833333333333335</v>
      </c>
      <c r="E555" s="122">
        <f t="shared" si="155"/>
        <v>1.4027777777777779</v>
      </c>
      <c r="F555" s="96">
        <f t="shared" si="156"/>
        <v>1.666666666666667</v>
      </c>
      <c r="G555" s="96">
        <f t="shared" si="157"/>
        <v>0.72422222222222232</v>
      </c>
      <c r="H555" s="96">
        <f t="shared" si="158"/>
        <v>0.86614383878051748</v>
      </c>
      <c r="I555" s="94">
        <f>'Modell During mining'!G558/1000000</f>
        <v>1.1211826666666669</v>
      </c>
      <c r="J555" s="94">
        <f>'Modell During mining'!D558</f>
        <v>8.3123535029082391E-3</v>
      </c>
      <c r="K555" s="93">
        <v>0</v>
      </c>
      <c r="L555" s="93">
        <v>0.26</v>
      </c>
      <c r="M555" s="93">
        <v>0</v>
      </c>
      <c r="N555" s="93">
        <v>0.26</v>
      </c>
      <c r="O555" s="93">
        <v>1.26</v>
      </c>
      <c r="P555" s="93">
        <v>0.04</v>
      </c>
      <c r="Q555" s="93">
        <v>0</v>
      </c>
      <c r="R555" s="93">
        <v>0</v>
      </c>
      <c r="S555" s="93">
        <v>0.36</v>
      </c>
      <c r="T555" s="98">
        <f t="shared" ref="T555" si="182">$AF555</f>
        <v>0.36215400643225998</v>
      </c>
      <c r="U555" s="93">
        <v>25.21</v>
      </c>
      <c r="V555" s="98">
        <f t="shared" ref="V555:AB555" si="183">$AF555</f>
        <v>0.36215400643225998</v>
      </c>
      <c r="W555" s="93">
        <v>21.42</v>
      </c>
      <c r="X555" s="98">
        <f t="shared" si="183"/>
        <v>0.36215400643225998</v>
      </c>
      <c r="Y555" s="93">
        <v>0.11</v>
      </c>
      <c r="Z555" s="98">
        <f t="shared" si="183"/>
        <v>0.36215400643225998</v>
      </c>
      <c r="AA555" s="93">
        <v>5.8</v>
      </c>
      <c r="AB555" s="98">
        <f t="shared" si="183"/>
        <v>0.36215400643225998</v>
      </c>
      <c r="AC555" s="93">
        <v>1.7</v>
      </c>
      <c r="AD555" s="175">
        <f t="shared" si="159"/>
        <v>0.36215400643225998</v>
      </c>
      <c r="AE555" s="93">
        <v>1.84</v>
      </c>
      <c r="AF555" s="96">
        <f t="shared" si="160"/>
        <v>0.36215400643225998</v>
      </c>
      <c r="AG555" s="10">
        <f t="shared" si="152"/>
        <v>7.97</v>
      </c>
      <c r="AH555" s="95">
        <f t="shared" si="153"/>
        <v>2.3811826666666667</v>
      </c>
      <c r="AI555" s="96">
        <f t="shared" si="167"/>
        <v>0.36215400643225998</v>
      </c>
      <c r="AJ555" s="96">
        <f t="shared" si="164"/>
        <v>0.24644257427849223</v>
      </c>
      <c r="AK555" s="96">
        <f t="shared" si="161"/>
        <v>0.27064391397881055</v>
      </c>
    </row>
    <row r="556" spans="1:37" x14ac:dyDescent="0.15">
      <c r="A556" s="10">
        <f>A555+0.5</f>
        <v>2020.5</v>
      </c>
      <c r="C556" s="83">
        <v>0.67333333333333334</v>
      </c>
      <c r="D556" s="96">
        <f>5.5/12*7</f>
        <v>3.208333333333333</v>
      </c>
      <c r="E556" s="122">
        <f t="shared" si="155"/>
        <v>2.1602777777777775</v>
      </c>
      <c r="F556" s="96">
        <f t="shared" si="156"/>
        <v>2.5666666666666664</v>
      </c>
      <c r="G556" s="96">
        <f t="shared" si="157"/>
        <v>1.1153022222222222</v>
      </c>
      <c r="H556" s="96">
        <f t="shared" si="158"/>
        <v>1.3338615117219967</v>
      </c>
      <c r="I556" s="94">
        <f>'Modell During mining'!G559/1000000</f>
        <v>1.6271992000000002</v>
      </c>
      <c r="J556" s="94">
        <f>'Modell During mining'!D559</f>
        <v>8.6046010838746727E-3</v>
      </c>
      <c r="K556" s="93">
        <v>0.95</v>
      </c>
      <c r="L556" s="93">
        <v>0.26</v>
      </c>
      <c r="M556" s="93">
        <v>0.31</v>
      </c>
      <c r="N556" s="93">
        <v>0.26</v>
      </c>
      <c r="O556" s="93">
        <v>1.26</v>
      </c>
      <c r="P556" s="93">
        <v>0.04</v>
      </c>
      <c r="Q556" s="93">
        <v>1.6</v>
      </c>
      <c r="R556" s="93">
        <v>0</v>
      </c>
      <c r="S556" s="93">
        <v>0.36</v>
      </c>
      <c r="T556" s="98">
        <f t="shared" ref="T556" si="184">$AF556</f>
        <v>0.39699828441943208</v>
      </c>
      <c r="U556" s="93">
        <v>25.21</v>
      </c>
      <c r="V556" s="98">
        <f t="shared" ref="V556:AB556" si="185">$AF556</f>
        <v>0.39699828441943208</v>
      </c>
      <c r="W556" s="93">
        <v>21.42</v>
      </c>
      <c r="X556" s="98">
        <f t="shared" si="185"/>
        <v>0.39699828441943208</v>
      </c>
      <c r="Y556" s="93">
        <v>0.11</v>
      </c>
      <c r="Z556" s="98">
        <f t="shared" si="185"/>
        <v>0.39699828441943208</v>
      </c>
      <c r="AA556" s="93">
        <v>5.8</v>
      </c>
      <c r="AB556" s="98">
        <f t="shared" si="185"/>
        <v>0.39699828441943208</v>
      </c>
      <c r="AC556" s="93">
        <v>1.7</v>
      </c>
      <c r="AD556" s="175">
        <f t="shared" si="159"/>
        <v>0.39699828441943208</v>
      </c>
      <c r="AE556" s="93">
        <v>1.84</v>
      </c>
      <c r="AF556" s="96">
        <f t="shared" si="160"/>
        <v>0.39699828441943208</v>
      </c>
      <c r="AG556" s="10">
        <f t="shared" si="152"/>
        <v>7.97</v>
      </c>
      <c r="AH556" s="95">
        <f t="shared" si="153"/>
        <v>5.7471992000000007</v>
      </c>
      <c r="AI556" s="96">
        <f t="shared" si="167"/>
        <v>0.39699828441943208</v>
      </c>
      <c r="AJ556" s="96">
        <f t="shared" si="164"/>
        <v>0.27518706187403597</v>
      </c>
      <c r="AK556" s="96">
        <f t="shared" si="161"/>
        <v>0.30066418821549062</v>
      </c>
    </row>
    <row r="557" spans="1:37" x14ac:dyDescent="0.15">
      <c r="A557" s="10">
        <f>A555+1</f>
        <v>2021</v>
      </c>
      <c r="C557" s="83">
        <v>0.67333333333333334</v>
      </c>
      <c r="D557" s="96">
        <f>5/12*5</f>
        <v>2.0833333333333335</v>
      </c>
      <c r="E557" s="122">
        <f t="shared" si="155"/>
        <v>1.4027777777777779</v>
      </c>
      <c r="F557" s="96">
        <f t="shared" si="156"/>
        <v>1.666666666666667</v>
      </c>
      <c r="G557" s="96">
        <f t="shared" si="157"/>
        <v>0.72422222222222232</v>
      </c>
      <c r="H557" s="96">
        <f t="shared" si="158"/>
        <v>0.86614383878051748</v>
      </c>
      <c r="I557" s="94">
        <f>'Modell During mining'!G560/1000000</f>
        <v>1.1893160000000003</v>
      </c>
      <c r="J557" s="94">
        <f>'Modell During mining'!D560</f>
        <v>8.4090351092560751E-3</v>
      </c>
      <c r="K557" s="93">
        <v>0</v>
      </c>
      <c r="L557" s="93">
        <v>0.26</v>
      </c>
      <c r="M557" s="93">
        <v>0</v>
      </c>
      <c r="N557" s="93">
        <v>0.26</v>
      </c>
      <c r="O557" s="93">
        <v>1.26</v>
      </c>
      <c r="P557" s="93">
        <v>0.04</v>
      </c>
      <c r="Q557" s="93">
        <v>0</v>
      </c>
      <c r="R557" s="93">
        <v>0</v>
      </c>
      <c r="S557" s="93">
        <v>0.36</v>
      </c>
      <c r="T557" s="98">
        <f t="shared" ref="T557" si="186">$AF557</f>
        <v>0.35646477555869877</v>
      </c>
      <c r="U557" s="93">
        <v>25.21</v>
      </c>
      <c r="V557" s="98">
        <f t="shared" ref="V557:AB557" si="187">$AF557</f>
        <v>0.35646477555869877</v>
      </c>
      <c r="W557" s="93">
        <v>21.42</v>
      </c>
      <c r="X557" s="98">
        <f t="shared" si="187"/>
        <v>0.35646477555869877</v>
      </c>
      <c r="Y557" s="93">
        <v>0.11</v>
      </c>
      <c r="Z557" s="98">
        <f t="shared" si="187"/>
        <v>0.35646477555869877</v>
      </c>
      <c r="AA557" s="93">
        <v>5.8</v>
      </c>
      <c r="AB557" s="98">
        <f t="shared" si="187"/>
        <v>0.35646477555869877</v>
      </c>
      <c r="AC557" s="93">
        <v>1.7</v>
      </c>
      <c r="AD557" s="175">
        <f t="shared" si="159"/>
        <v>0.35646477555869877</v>
      </c>
      <c r="AE557" s="93">
        <v>1.84</v>
      </c>
      <c r="AF557" s="96">
        <f t="shared" si="160"/>
        <v>0.35646477555869877</v>
      </c>
      <c r="AG557" s="10">
        <f t="shared" si="152"/>
        <v>7.97</v>
      </c>
      <c r="AH557" s="95">
        <f t="shared" si="153"/>
        <v>2.4493160000000005</v>
      </c>
      <c r="AI557" s="96">
        <f t="shared" si="167"/>
        <v>0.35646477555869877</v>
      </c>
      <c r="AJ557" s="96">
        <f t="shared" si="164"/>
        <v>0.24361765914417222</v>
      </c>
      <c r="AK557" s="96">
        <f t="shared" si="161"/>
        <v>0.26721991993824873</v>
      </c>
    </row>
    <row r="558" spans="1:37" x14ac:dyDescent="0.15">
      <c r="A558" s="10">
        <f>A557+0.5</f>
        <v>2021.5</v>
      </c>
      <c r="C558" s="83">
        <v>0.67333333333333334</v>
      </c>
      <c r="D558" s="96">
        <f>5.5/12*7</f>
        <v>3.208333333333333</v>
      </c>
      <c r="E558" s="122">
        <f t="shared" si="155"/>
        <v>2.1602777777777775</v>
      </c>
      <c r="F558" s="96">
        <f t="shared" si="156"/>
        <v>2.5666666666666664</v>
      </c>
      <c r="G558" s="96">
        <f t="shared" si="157"/>
        <v>1.1153022222222222</v>
      </c>
      <c r="H558" s="96">
        <f t="shared" si="158"/>
        <v>1.3338615117219967</v>
      </c>
      <c r="I558" s="94">
        <f>'Modell During mining'!G561/1000000</f>
        <v>1.7288930666666671</v>
      </c>
      <c r="J558" s="94">
        <f>'Modell During mining'!D561</f>
        <v>8.6501976062062988E-3</v>
      </c>
      <c r="K558" s="93">
        <v>0.95</v>
      </c>
      <c r="L558" s="93">
        <v>0.26</v>
      </c>
      <c r="M558" s="93">
        <v>0.31</v>
      </c>
      <c r="N558" s="93">
        <v>0.26</v>
      </c>
      <c r="O558" s="93">
        <v>1.26</v>
      </c>
      <c r="P558" s="93">
        <v>0.04</v>
      </c>
      <c r="Q558" s="93">
        <v>1.6</v>
      </c>
      <c r="R558" s="93">
        <v>0</v>
      </c>
      <c r="S558" s="93">
        <v>0.36</v>
      </c>
      <c r="T558" s="98">
        <f t="shared" ref="T558" si="188">$AF558</f>
        <v>0.38539982938482892</v>
      </c>
      <c r="U558" s="93">
        <v>25.21</v>
      </c>
      <c r="V558" s="98">
        <f t="shared" ref="V558:AB558" si="189">$AF558</f>
        <v>0.38539982938482892</v>
      </c>
      <c r="W558" s="93">
        <v>21.42</v>
      </c>
      <c r="X558" s="98">
        <f t="shared" si="189"/>
        <v>0.38539982938482892</v>
      </c>
      <c r="Y558" s="93">
        <v>0.11</v>
      </c>
      <c r="Z558" s="98">
        <f t="shared" si="189"/>
        <v>0.38539982938482892</v>
      </c>
      <c r="AA558" s="93">
        <v>5.8</v>
      </c>
      <c r="AB558" s="98">
        <f t="shared" si="189"/>
        <v>0.38539982938482892</v>
      </c>
      <c r="AC558" s="93">
        <v>1.7</v>
      </c>
      <c r="AD558" s="175">
        <f t="shared" si="159"/>
        <v>0.38539982938482892</v>
      </c>
      <c r="AE558" s="93">
        <v>1.84</v>
      </c>
      <c r="AF558" s="96">
        <f t="shared" si="160"/>
        <v>0.38539982938482892</v>
      </c>
      <c r="AG558" s="10">
        <f t="shared" si="152"/>
        <v>7.97</v>
      </c>
      <c r="AH558" s="95">
        <f t="shared" si="153"/>
        <v>5.8488930666666672</v>
      </c>
      <c r="AI558" s="96">
        <f t="shared" si="167"/>
        <v>0.38539982938482892</v>
      </c>
      <c r="AJ558" s="96">
        <f t="shared" si="164"/>
        <v>0.26721832494634284</v>
      </c>
      <c r="AK558" s="96">
        <f t="shared" si="161"/>
        <v>0.29193628653383452</v>
      </c>
    </row>
    <row r="559" spans="1:37" x14ac:dyDescent="0.15">
      <c r="A559" s="10">
        <f>A557+1</f>
        <v>2022</v>
      </c>
      <c r="C559" s="83">
        <v>0.67333333333333334</v>
      </c>
      <c r="D559" s="96">
        <f>5/12*5</f>
        <v>2.0833333333333335</v>
      </c>
      <c r="E559" s="122">
        <f t="shared" si="155"/>
        <v>1.4027777777777779</v>
      </c>
      <c r="F559" s="96">
        <f t="shared" si="156"/>
        <v>1.666666666666667</v>
      </c>
      <c r="G559" s="96">
        <f t="shared" si="157"/>
        <v>0.72422222222222232</v>
      </c>
      <c r="H559" s="96">
        <f t="shared" si="158"/>
        <v>0.86614383878051748</v>
      </c>
      <c r="I559" s="94">
        <f>'Modell During mining'!G562/1000000</f>
        <v>1.2574493333333334</v>
      </c>
      <c r="J559" s="94">
        <f>'Modell During mining'!D562</f>
        <v>8.4952395696261326E-3</v>
      </c>
      <c r="K559" s="93">
        <v>0</v>
      </c>
      <c r="L559" s="93">
        <v>0.26</v>
      </c>
      <c r="M559" s="93">
        <v>0</v>
      </c>
      <c r="N559" s="93">
        <v>0.26</v>
      </c>
      <c r="O559" s="93">
        <v>1.26</v>
      </c>
      <c r="P559" s="93">
        <v>0.04</v>
      </c>
      <c r="Q559" s="93">
        <v>0</v>
      </c>
      <c r="R559" s="93">
        <v>0</v>
      </c>
      <c r="S559" s="93">
        <v>0.36</v>
      </c>
      <c r="T559" s="98">
        <f t="shared" ref="T559" si="190">$AF559</f>
        <v>0.34669536352157199</v>
      </c>
      <c r="U559" s="93">
        <v>25.21</v>
      </c>
      <c r="V559" s="98">
        <f t="shared" ref="V559:AB559" si="191">$AF559</f>
        <v>0.34669536352157199</v>
      </c>
      <c r="W559" s="93">
        <v>21.42</v>
      </c>
      <c r="X559" s="98">
        <f t="shared" si="191"/>
        <v>0.34669536352157199</v>
      </c>
      <c r="Y559" s="93">
        <v>0.11</v>
      </c>
      <c r="Z559" s="98">
        <f t="shared" si="191"/>
        <v>0.34669536352157199</v>
      </c>
      <c r="AA559" s="93">
        <v>5.8</v>
      </c>
      <c r="AB559" s="98">
        <f t="shared" si="191"/>
        <v>0.34669536352157199</v>
      </c>
      <c r="AC559" s="93">
        <v>1.7</v>
      </c>
      <c r="AD559" s="175">
        <f t="shared" si="159"/>
        <v>0.34669536352157199</v>
      </c>
      <c r="AE559" s="93">
        <v>1.84</v>
      </c>
      <c r="AF559" s="96">
        <f t="shared" si="160"/>
        <v>0.34669536352157199</v>
      </c>
      <c r="AG559" s="10">
        <f t="shared" si="152"/>
        <v>7.97</v>
      </c>
      <c r="AH559" s="95">
        <f t="shared" si="153"/>
        <v>2.5174493333333334</v>
      </c>
      <c r="AI559" s="96">
        <f t="shared" si="167"/>
        <v>0.34669536352157199</v>
      </c>
      <c r="AJ559" s="96">
        <f t="shared" si="164"/>
        <v>0.2365637550270307</v>
      </c>
      <c r="AK559" s="96">
        <f t="shared" si="161"/>
        <v>0.259598060447924</v>
      </c>
    </row>
    <row r="560" spans="1:37" x14ac:dyDescent="0.15">
      <c r="A560" s="10">
        <f>A559+0.5</f>
        <v>2022.5</v>
      </c>
      <c r="C560" s="83">
        <v>0.67333333333333334</v>
      </c>
      <c r="D560" s="96">
        <f>5.5/12*7</f>
        <v>3.208333333333333</v>
      </c>
      <c r="E560" s="122">
        <f t="shared" si="155"/>
        <v>2.1602777777777775</v>
      </c>
      <c r="F560" s="96">
        <f t="shared" si="156"/>
        <v>2.5666666666666664</v>
      </c>
      <c r="G560" s="96">
        <f t="shared" si="157"/>
        <v>1.1153022222222222</v>
      </c>
      <c r="H560" s="96">
        <f t="shared" si="158"/>
        <v>1.3338615117219967</v>
      </c>
      <c r="I560" s="94">
        <f>'Modell During mining'!G563/1000000</f>
        <v>1.8305869333333338</v>
      </c>
      <c r="J560" s="94">
        <f>'Modell During mining'!D563</f>
        <v>8.6907281176558174E-3</v>
      </c>
      <c r="K560" s="93">
        <v>0.95</v>
      </c>
      <c r="L560" s="93">
        <v>0.26</v>
      </c>
      <c r="M560" s="93">
        <v>0.31</v>
      </c>
      <c r="N560" s="93">
        <v>0.26</v>
      </c>
      <c r="O560" s="93">
        <v>1.26</v>
      </c>
      <c r="P560" s="93">
        <v>0.04</v>
      </c>
      <c r="Q560" s="93">
        <v>0.6</v>
      </c>
      <c r="R560" s="93">
        <v>0</v>
      </c>
      <c r="S560" s="93">
        <v>0.36</v>
      </c>
      <c r="T560" s="98">
        <f t="shared" ref="T560" si="192">$AF560</f>
        <v>0.37293870039654781</v>
      </c>
      <c r="U560" s="93">
        <v>25.21</v>
      </c>
      <c r="V560" s="98">
        <f t="shared" ref="V560:AB560" si="193">$AF560</f>
        <v>0.37293870039654781</v>
      </c>
      <c r="W560" s="93">
        <v>21.42</v>
      </c>
      <c r="X560" s="98">
        <f t="shared" si="193"/>
        <v>0.37293870039654781</v>
      </c>
      <c r="Y560" s="93">
        <v>0.11</v>
      </c>
      <c r="Z560" s="98">
        <f t="shared" si="193"/>
        <v>0.37293870039654781</v>
      </c>
      <c r="AA560" s="93">
        <v>5.8</v>
      </c>
      <c r="AB560" s="98">
        <f t="shared" si="193"/>
        <v>0.37293870039654781</v>
      </c>
      <c r="AC560" s="93">
        <v>1.7</v>
      </c>
      <c r="AD560" s="175">
        <f t="shared" si="159"/>
        <v>0.37293870039654781</v>
      </c>
      <c r="AE560" s="93">
        <v>1.84</v>
      </c>
      <c r="AF560" s="96">
        <f t="shared" si="160"/>
        <v>0.37293870039654781</v>
      </c>
      <c r="AG560" s="10">
        <f t="shared" si="152"/>
        <v>7.97</v>
      </c>
      <c r="AH560" s="95">
        <f t="shared" si="153"/>
        <v>4.9505869333333337</v>
      </c>
      <c r="AI560" s="96">
        <f t="shared" si="167"/>
        <v>0.37293870039654781</v>
      </c>
      <c r="AJ560" s="96">
        <f t="shared" si="164"/>
        <v>0.25814026153163377</v>
      </c>
      <c r="AK560" s="96">
        <f t="shared" si="161"/>
        <v>0.28215064636849224</v>
      </c>
    </row>
    <row r="561" spans="1:37" x14ac:dyDescent="0.15">
      <c r="A561" s="10">
        <f>A559+1</f>
        <v>2023</v>
      </c>
      <c r="C561" s="83">
        <v>0.67333333333333334</v>
      </c>
      <c r="D561" s="96">
        <f>5/12*5</f>
        <v>2.0833333333333335</v>
      </c>
      <c r="E561" s="122">
        <f t="shared" si="155"/>
        <v>1.4027777777777779</v>
      </c>
      <c r="F561" s="96">
        <f t="shared" si="156"/>
        <v>1.666666666666667</v>
      </c>
      <c r="G561" s="96">
        <f t="shared" si="157"/>
        <v>0.72422222222222232</v>
      </c>
      <c r="H561" s="96">
        <f t="shared" si="158"/>
        <v>0.86614383878051748</v>
      </c>
      <c r="I561" s="94">
        <f>'Modell During mining'!G564/1000000</f>
        <v>1.3255826666666668</v>
      </c>
      <c r="J561" s="94">
        <f>'Modell During mining'!D564</f>
        <v>8.5725824216168599E-3</v>
      </c>
      <c r="K561" s="93">
        <v>0</v>
      </c>
      <c r="L561" s="93">
        <v>0.26</v>
      </c>
      <c r="M561" s="93">
        <v>0</v>
      </c>
      <c r="N561" s="93">
        <v>0.26</v>
      </c>
      <c r="O561" s="93">
        <v>1.26</v>
      </c>
      <c r="P561" s="93">
        <v>0.04</v>
      </c>
      <c r="Q561" s="93">
        <v>0</v>
      </c>
      <c r="R561" s="93">
        <v>0</v>
      </c>
      <c r="S561" s="93">
        <v>0.36</v>
      </c>
      <c r="T561" s="98">
        <f t="shared" ref="T561:AB575" si="194">$AF561</f>
        <v>0.37580262567758538</v>
      </c>
      <c r="U561" s="93">
        <v>25.21</v>
      </c>
      <c r="V561" s="98">
        <f t="shared" si="194"/>
        <v>0.37580262567758538</v>
      </c>
      <c r="W561" s="93">
        <v>21.42</v>
      </c>
      <c r="X561" s="98">
        <f t="shared" si="194"/>
        <v>0.37580262567758538</v>
      </c>
      <c r="Y561" s="93">
        <v>0.11</v>
      </c>
      <c r="Z561" s="98">
        <f t="shared" si="194"/>
        <v>0.37580262567758538</v>
      </c>
      <c r="AA561" s="93">
        <v>5.8</v>
      </c>
      <c r="AB561" s="98">
        <f t="shared" si="194"/>
        <v>0.37580262567758538</v>
      </c>
      <c r="AC561" s="93">
        <v>1.7</v>
      </c>
      <c r="AD561" s="175">
        <f t="shared" si="159"/>
        <v>0.37580262567758538</v>
      </c>
      <c r="AE561" s="93">
        <v>1.84</v>
      </c>
      <c r="AF561" s="96">
        <f t="shared" si="160"/>
        <v>0.37580262567758538</v>
      </c>
      <c r="AG561" s="10">
        <f t="shared" si="152"/>
        <v>7.97</v>
      </c>
      <c r="AH561" s="95">
        <f t="shared" si="153"/>
        <v>2.5855826666666668</v>
      </c>
      <c r="AI561" s="96">
        <f t="shared" si="167"/>
        <v>0.37580262567758538</v>
      </c>
      <c r="AJ561" s="96">
        <f t="shared" si="164"/>
        <v>0.25715990980099079</v>
      </c>
      <c r="AK561" s="96">
        <f t="shared" si="161"/>
        <v>0.2819743349312766</v>
      </c>
    </row>
    <row r="562" spans="1:37" x14ac:dyDescent="0.15">
      <c r="A562" s="10">
        <f>A561+0.5</f>
        <v>2023.5</v>
      </c>
      <c r="C562" s="83">
        <v>0.67333333333333334</v>
      </c>
      <c r="D562" s="96">
        <f>5.5/12*7</f>
        <v>3.208333333333333</v>
      </c>
      <c r="E562" s="122">
        <f t="shared" si="155"/>
        <v>2.1602777777777775</v>
      </c>
      <c r="F562" s="96">
        <f t="shared" si="156"/>
        <v>2.5666666666666664</v>
      </c>
      <c r="G562" s="96">
        <f t="shared" si="157"/>
        <v>1.1153022222222222</v>
      </c>
      <c r="H562" s="96">
        <f t="shared" si="158"/>
        <v>1.3338615117219967</v>
      </c>
      <c r="I562" s="94">
        <f>'Modell During mining'!G565/1000000</f>
        <v>1.9322808000000005</v>
      </c>
      <c r="J562" s="94">
        <f>'Modell During mining'!D565</f>
        <v>8.7269924743857089E-3</v>
      </c>
      <c r="K562" s="93">
        <v>0.95</v>
      </c>
      <c r="L562" s="93">
        <v>0.26</v>
      </c>
      <c r="M562" s="93">
        <v>0.31</v>
      </c>
      <c r="N562" s="93">
        <v>0.26</v>
      </c>
      <c r="O562" s="93">
        <v>1.26</v>
      </c>
      <c r="P562" s="93">
        <v>0.04</v>
      </c>
      <c r="Q562" s="93">
        <v>1.6</v>
      </c>
      <c r="R562" s="93">
        <v>0</v>
      </c>
      <c r="S562" s="93">
        <v>0.36</v>
      </c>
      <c r="T562" s="98">
        <f t="shared" si="194"/>
        <v>0.37493318065900166</v>
      </c>
      <c r="U562" s="93">
        <v>25.21</v>
      </c>
      <c r="V562" s="98">
        <f t="shared" si="194"/>
        <v>0.37493318065900166</v>
      </c>
      <c r="W562" s="93">
        <v>21.42</v>
      </c>
      <c r="X562" s="98">
        <f t="shared" si="194"/>
        <v>0.37493318065900166</v>
      </c>
      <c r="Y562" s="93">
        <v>0.11</v>
      </c>
      <c r="Z562" s="98">
        <f t="shared" si="194"/>
        <v>0.37493318065900166</v>
      </c>
      <c r="AA562" s="93">
        <v>5.8</v>
      </c>
      <c r="AB562" s="98">
        <f t="shared" si="194"/>
        <v>0.37493318065900166</v>
      </c>
      <c r="AC562" s="93">
        <v>1.7</v>
      </c>
      <c r="AD562" s="175">
        <f t="shared" si="159"/>
        <v>0.37493318065900166</v>
      </c>
      <c r="AE562" s="93">
        <v>1.84</v>
      </c>
      <c r="AF562" s="96">
        <f t="shared" si="160"/>
        <v>0.37493318065900166</v>
      </c>
      <c r="AG562" s="10">
        <f t="shared" si="152"/>
        <v>7.97</v>
      </c>
      <c r="AH562" s="95">
        <f t="shared" si="153"/>
        <v>6.0522808000000001</v>
      </c>
      <c r="AI562" s="96">
        <f t="shared" si="167"/>
        <v>0.37493318065900166</v>
      </c>
      <c r="AJ562" s="96">
        <f t="shared" si="164"/>
        <v>0.26329763787073607</v>
      </c>
      <c r="AK562" s="96">
        <f t="shared" si="161"/>
        <v>0.28664649496601369</v>
      </c>
    </row>
    <row r="563" spans="1:37" x14ac:dyDescent="0.15">
      <c r="A563" s="10">
        <f>A561+1</f>
        <v>2024</v>
      </c>
      <c r="C563" s="83">
        <v>0.67333333333333334</v>
      </c>
      <c r="D563" s="96">
        <f>5/12*5</f>
        <v>2.0833333333333335</v>
      </c>
      <c r="E563" s="122">
        <f t="shared" si="155"/>
        <v>1.4027777777777779</v>
      </c>
      <c r="F563" s="96">
        <f t="shared" si="156"/>
        <v>1.666666666666667</v>
      </c>
      <c r="G563" s="96">
        <f t="shared" si="157"/>
        <v>0.72422222222222232</v>
      </c>
      <c r="H563" s="96">
        <f t="shared" si="158"/>
        <v>0.86614383878051748</v>
      </c>
      <c r="I563" s="94">
        <f>'Modell During mining'!G566/1000000</f>
        <v>1.393716</v>
      </c>
      <c r="J563" s="94">
        <f>'Modell During mining'!D566</f>
        <v>8.6423632935260855E-3</v>
      </c>
      <c r="K563" s="93">
        <v>0</v>
      </c>
      <c r="L563" s="93">
        <v>0.26</v>
      </c>
      <c r="M563" s="93">
        <v>0</v>
      </c>
      <c r="N563" s="93">
        <v>0.26</v>
      </c>
      <c r="O563" s="93">
        <v>1.26</v>
      </c>
      <c r="P563" s="93">
        <v>0.04</v>
      </c>
      <c r="Q563" s="93">
        <v>0</v>
      </c>
      <c r="R563" s="93">
        <v>0</v>
      </c>
      <c r="S563" s="93">
        <v>0.36</v>
      </c>
      <c r="T563" s="98">
        <f t="shared" si="194"/>
        <v>0.3308262120810595</v>
      </c>
      <c r="U563" s="93">
        <v>25.21</v>
      </c>
      <c r="V563" s="98">
        <f t="shared" si="194"/>
        <v>0.3308262120810595</v>
      </c>
      <c r="W563" s="93">
        <v>21.42</v>
      </c>
      <c r="X563" s="98">
        <f t="shared" si="194"/>
        <v>0.3308262120810595</v>
      </c>
      <c r="Y563" s="93">
        <v>0.11</v>
      </c>
      <c r="Z563" s="98">
        <f t="shared" si="194"/>
        <v>0.3308262120810595</v>
      </c>
      <c r="AA563" s="93">
        <v>5.8</v>
      </c>
      <c r="AB563" s="98">
        <f t="shared" si="194"/>
        <v>0.3308262120810595</v>
      </c>
      <c r="AC563" s="93">
        <v>1.7</v>
      </c>
      <c r="AD563" s="175">
        <f t="shared" si="159"/>
        <v>0.3308262120810595</v>
      </c>
      <c r="AE563" s="93">
        <v>1.84</v>
      </c>
      <c r="AF563" s="96">
        <f t="shared" si="160"/>
        <v>0.3308262120810595</v>
      </c>
      <c r="AG563" s="10">
        <f t="shared" si="152"/>
        <v>7.97</v>
      </c>
      <c r="AH563" s="95">
        <f t="shared" si="153"/>
        <v>2.6537160000000002</v>
      </c>
      <c r="AI563" s="96">
        <f t="shared" si="167"/>
        <v>0.3308262120810595</v>
      </c>
      <c r="AJ563" s="96">
        <f t="shared" si="164"/>
        <v>0.22572498308242236</v>
      </c>
      <c r="AK563" s="96">
        <f t="shared" si="161"/>
        <v>0.24770717186509003</v>
      </c>
    </row>
    <row r="564" spans="1:37" x14ac:dyDescent="0.15">
      <c r="A564" s="10">
        <f>A563+0.5</f>
        <v>2024.5</v>
      </c>
      <c r="C564" s="83">
        <v>0.67333333333333334</v>
      </c>
      <c r="D564" s="96">
        <f>5.5/12*7</f>
        <v>3.208333333333333</v>
      </c>
      <c r="E564" s="122">
        <f t="shared" si="155"/>
        <v>2.1602777777777775</v>
      </c>
      <c r="F564" s="96">
        <f t="shared" si="156"/>
        <v>2.5666666666666664</v>
      </c>
      <c r="G564" s="96">
        <f t="shared" si="157"/>
        <v>1.1153022222222222</v>
      </c>
      <c r="H564" s="96">
        <f t="shared" si="158"/>
        <v>1.3338615117219967</v>
      </c>
      <c r="I564" s="94">
        <f>'Modell During mining'!G567/1000000</f>
        <v>2.0339746666666674</v>
      </c>
      <c r="J564" s="94">
        <f>'Modell During mining'!D567</f>
        <v>8.7596305689811929E-3</v>
      </c>
      <c r="K564" s="93">
        <v>0.95</v>
      </c>
      <c r="L564" s="93">
        <v>0.26</v>
      </c>
      <c r="M564" s="93">
        <v>0.31</v>
      </c>
      <c r="N564" s="93">
        <v>0.26</v>
      </c>
      <c r="O564" s="93">
        <v>1.26</v>
      </c>
      <c r="P564" s="93">
        <v>0.04</v>
      </c>
      <c r="Q564" s="93">
        <v>1.6</v>
      </c>
      <c r="R564" s="93">
        <v>0</v>
      </c>
      <c r="S564" s="93">
        <v>0.36</v>
      </c>
      <c r="T564" s="98">
        <f t="shared" si="194"/>
        <v>0.3510412351894428</v>
      </c>
      <c r="U564" s="93">
        <v>25.21</v>
      </c>
      <c r="V564" s="98">
        <f t="shared" si="194"/>
        <v>0.3510412351894428</v>
      </c>
      <c r="W564" s="93">
        <v>21.42</v>
      </c>
      <c r="X564" s="98">
        <f t="shared" si="194"/>
        <v>0.3510412351894428</v>
      </c>
      <c r="Y564" s="93">
        <v>0.11</v>
      </c>
      <c r="Z564" s="98">
        <f t="shared" si="194"/>
        <v>0.3510412351894428</v>
      </c>
      <c r="AA564" s="93">
        <v>5.8</v>
      </c>
      <c r="AB564" s="98">
        <f t="shared" si="194"/>
        <v>0.3510412351894428</v>
      </c>
      <c r="AC564" s="93">
        <v>1.7</v>
      </c>
      <c r="AD564" s="175">
        <f t="shared" si="159"/>
        <v>0.3510412351894428</v>
      </c>
      <c r="AE564" s="93">
        <v>1.84</v>
      </c>
      <c r="AF564" s="96">
        <f t="shared" si="160"/>
        <v>0.3510412351894428</v>
      </c>
      <c r="AG564" s="10">
        <f t="shared" si="152"/>
        <v>7.97</v>
      </c>
      <c r="AH564" s="95">
        <f t="shared" si="153"/>
        <v>6.1539746666666684</v>
      </c>
      <c r="AI564" s="96">
        <f t="shared" si="167"/>
        <v>0.3510412351894428</v>
      </c>
      <c r="AJ564" s="96">
        <f t="shared" si="164"/>
        <v>0.24237109897211656</v>
      </c>
      <c r="AK564" s="96">
        <f t="shared" si="161"/>
        <v>0.26509973375714319</v>
      </c>
    </row>
    <row r="565" spans="1:37" x14ac:dyDescent="0.15">
      <c r="A565" s="10">
        <f>A563+1</f>
        <v>2025</v>
      </c>
      <c r="C565" s="83">
        <v>0.67333333333333334</v>
      </c>
      <c r="D565" s="96">
        <f>5/12*5</f>
        <v>2.0833333333333335</v>
      </c>
      <c r="E565" s="122">
        <f t="shared" si="155"/>
        <v>1.4027777777777779</v>
      </c>
      <c r="F565" s="96">
        <f t="shared" si="156"/>
        <v>1.666666666666667</v>
      </c>
      <c r="G565" s="96">
        <f t="shared" si="157"/>
        <v>0.72422222222222232</v>
      </c>
      <c r="H565" s="96">
        <f t="shared" si="158"/>
        <v>0.86614383878051748</v>
      </c>
      <c r="I565" s="94">
        <f>'Modell During mining'!G568/1000000</f>
        <v>1.4618493333333333</v>
      </c>
      <c r="J565" s="94">
        <f>'Modell During mining'!D568</f>
        <v>8.7056395232705235E-3</v>
      </c>
      <c r="K565" s="93">
        <v>0</v>
      </c>
      <c r="L565" s="93">
        <v>0.26</v>
      </c>
      <c r="M565" s="93">
        <v>0</v>
      </c>
      <c r="N565" s="93">
        <v>0.26</v>
      </c>
      <c r="O565" s="93">
        <v>1.26</v>
      </c>
      <c r="P565" s="93">
        <v>0.04</v>
      </c>
      <c r="Q565" s="93">
        <v>0</v>
      </c>
      <c r="R565" s="93">
        <v>0</v>
      </c>
      <c r="S565" s="93">
        <v>0.36</v>
      </c>
      <c r="T565" s="98">
        <f t="shared" si="194"/>
        <v>0.31974708764973309</v>
      </c>
      <c r="U565" s="93">
        <v>25.21</v>
      </c>
      <c r="V565" s="98">
        <f t="shared" si="194"/>
        <v>0.31974708764973309</v>
      </c>
      <c r="W565" s="93">
        <v>21.42</v>
      </c>
      <c r="X565" s="98">
        <f t="shared" si="194"/>
        <v>0.31974708764973309</v>
      </c>
      <c r="Y565" s="93">
        <v>0.11</v>
      </c>
      <c r="Z565" s="98">
        <f t="shared" si="194"/>
        <v>0.31974708764973309</v>
      </c>
      <c r="AA565" s="93">
        <v>5.8</v>
      </c>
      <c r="AB565" s="98">
        <f t="shared" si="194"/>
        <v>0.31974708764973309</v>
      </c>
      <c r="AC565" s="93">
        <v>1.7</v>
      </c>
      <c r="AD565" s="175">
        <f t="shared" si="159"/>
        <v>0.31974708764973309</v>
      </c>
      <c r="AE565" s="93">
        <v>1.84</v>
      </c>
      <c r="AF565" s="96">
        <f t="shared" si="160"/>
        <v>0.31974708764973309</v>
      </c>
      <c r="AG565" s="10">
        <f t="shared" si="152"/>
        <v>7.97</v>
      </c>
      <c r="AH565" s="95">
        <f t="shared" si="153"/>
        <v>2.7218493333333331</v>
      </c>
      <c r="AI565" s="96">
        <f t="shared" si="167"/>
        <v>0.31974708764973309</v>
      </c>
      <c r="AJ565" s="96">
        <f t="shared" si="164"/>
        <v>0.2169807068636635</v>
      </c>
      <c r="AK565" s="96">
        <f t="shared" si="161"/>
        <v>0.23847455621703489</v>
      </c>
    </row>
    <row r="566" spans="1:37" x14ac:dyDescent="0.15">
      <c r="A566" s="10">
        <f>A565+0.5</f>
        <v>2025.5</v>
      </c>
      <c r="C566" s="83">
        <v>0.67333333333333334</v>
      </c>
      <c r="D566" s="96">
        <f>5.5/12*7</f>
        <v>3.208333333333333</v>
      </c>
      <c r="E566" s="122">
        <f t="shared" si="155"/>
        <v>2.1602777777777775</v>
      </c>
      <c r="F566" s="96">
        <f t="shared" si="156"/>
        <v>2.5666666666666664</v>
      </c>
      <c r="G566" s="96">
        <f t="shared" si="157"/>
        <v>1.1153022222222222</v>
      </c>
      <c r="H566" s="96">
        <f t="shared" si="158"/>
        <v>1.3338615117219967</v>
      </c>
      <c r="I566" s="94">
        <f>'Modell During mining'!G569/1000000</f>
        <v>2.1356685333333343</v>
      </c>
      <c r="J566" s="94">
        <f>'Modell During mining'!D569</f>
        <v>8.7891604152804219E-3</v>
      </c>
      <c r="K566" s="93">
        <v>0.95</v>
      </c>
      <c r="L566" s="93">
        <v>0.26</v>
      </c>
      <c r="M566" s="93">
        <v>0.31</v>
      </c>
      <c r="N566" s="93">
        <v>0.26</v>
      </c>
      <c r="O566" s="93">
        <v>1.26</v>
      </c>
      <c r="P566" s="93">
        <v>0.04</v>
      </c>
      <c r="Q566" s="93">
        <v>1.6</v>
      </c>
      <c r="R566" s="93">
        <v>0</v>
      </c>
      <c r="S566" s="93">
        <v>0.36</v>
      </c>
      <c r="T566" s="98">
        <f t="shared" si="194"/>
        <v>0.33974824685531485</v>
      </c>
      <c r="U566" s="93">
        <v>25.21</v>
      </c>
      <c r="V566" s="98">
        <f t="shared" si="194"/>
        <v>0.33974824685531485</v>
      </c>
      <c r="W566" s="93">
        <v>21.42</v>
      </c>
      <c r="X566" s="98">
        <f t="shared" si="194"/>
        <v>0.33974824685531485</v>
      </c>
      <c r="Y566" s="93">
        <v>0.11</v>
      </c>
      <c r="Z566" s="98">
        <f t="shared" si="194"/>
        <v>0.33974824685531485</v>
      </c>
      <c r="AA566" s="93">
        <v>5.8</v>
      </c>
      <c r="AB566" s="98">
        <f t="shared" si="194"/>
        <v>0.33974824685531485</v>
      </c>
      <c r="AC566" s="93">
        <v>1.7</v>
      </c>
      <c r="AD566" s="175">
        <f t="shared" si="159"/>
        <v>0.33974824685531485</v>
      </c>
      <c r="AE566" s="93">
        <v>1.84</v>
      </c>
      <c r="AF566" s="96">
        <f t="shared" si="160"/>
        <v>0.33974824685531485</v>
      </c>
      <c r="AG566" s="10">
        <f t="shared" si="152"/>
        <v>7.97</v>
      </c>
      <c r="AH566" s="95">
        <f t="shared" si="153"/>
        <v>6.2556685333333348</v>
      </c>
      <c r="AI566" s="96">
        <f t="shared" si="167"/>
        <v>0.33974824685531485</v>
      </c>
      <c r="AJ566" s="96">
        <f t="shared" si="164"/>
        <v>0.23386557426476748</v>
      </c>
      <c r="AK566" s="96">
        <f t="shared" si="161"/>
        <v>0.25601120395791771</v>
      </c>
    </row>
    <row r="567" spans="1:37" x14ac:dyDescent="0.15">
      <c r="A567" s="10">
        <f>A565+1</f>
        <v>2026</v>
      </c>
      <c r="C567" s="83">
        <v>0.67333333333333334</v>
      </c>
      <c r="D567" s="96">
        <f>5/12*5</f>
        <v>2.0833333333333335</v>
      </c>
      <c r="E567" s="122">
        <f t="shared" si="155"/>
        <v>1.4027777777777779</v>
      </c>
      <c r="F567" s="96">
        <f t="shared" si="156"/>
        <v>1.666666666666667</v>
      </c>
      <c r="G567" s="96">
        <f t="shared" si="157"/>
        <v>0.72422222222222232</v>
      </c>
      <c r="H567" s="96">
        <f t="shared" si="158"/>
        <v>0.86614383878051748</v>
      </c>
      <c r="I567" s="94">
        <f>'Modell During mining'!G570/1000000</f>
        <v>1.5299826666666665</v>
      </c>
      <c r="J567" s="94">
        <f>'Modell During mining'!D570</f>
        <v>8.7632801068770298E-3</v>
      </c>
      <c r="K567" s="93">
        <v>0</v>
      </c>
      <c r="L567" s="93">
        <v>0.26</v>
      </c>
      <c r="M567" s="93">
        <v>0</v>
      </c>
      <c r="N567" s="93">
        <v>0.26</v>
      </c>
      <c r="O567" s="93">
        <v>1.26</v>
      </c>
      <c r="P567" s="93">
        <v>0.04</v>
      </c>
      <c r="Q567" s="93">
        <v>0</v>
      </c>
      <c r="R567" s="93">
        <v>0</v>
      </c>
      <c r="S567" s="93">
        <v>0.36</v>
      </c>
      <c r="T567" s="98">
        <f t="shared" si="194"/>
        <v>0.31147190611138209</v>
      </c>
      <c r="U567" s="93">
        <v>25.21</v>
      </c>
      <c r="V567" s="98">
        <f t="shared" si="194"/>
        <v>0.31147190611138209</v>
      </c>
      <c r="W567" s="93">
        <v>21.42</v>
      </c>
      <c r="X567" s="98">
        <f t="shared" si="194"/>
        <v>0.31147190611138209</v>
      </c>
      <c r="Y567" s="93">
        <v>0.11</v>
      </c>
      <c r="Z567" s="98">
        <f t="shared" si="194"/>
        <v>0.31147190611138209</v>
      </c>
      <c r="AA567" s="93">
        <v>5.8</v>
      </c>
      <c r="AB567" s="98">
        <f t="shared" si="194"/>
        <v>0.31147190611138209</v>
      </c>
      <c r="AC567" s="93">
        <v>1.7</v>
      </c>
      <c r="AD567" s="175">
        <f t="shared" si="159"/>
        <v>0.31147190611138209</v>
      </c>
      <c r="AE567" s="93">
        <v>1.84</v>
      </c>
      <c r="AF567" s="96">
        <f t="shared" si="160"/>
        <v>0.31147190611138209</v>
      </c>
      <c r="AG567" s="10">
        <f t="shared" si="152"/>
        <v>7.97</v>
      </c>
      <c r="AH567" s="95">
        <f t="shared" si="153"/>
        <v>2.7899826666666665</v>
      </c>
      <c r="AI567" s="96">
        <f t="shared" si="167"/>
        <v>0.31147190611138209</v>
      </c>
      <c r="AJ567" s="96">
        <f t="shared" si="164"/>
        <v>0.2109318116656014</v>
      </c>
      <c r="AK567" s="96">
        <f t="shared" si="161"/>
        <v>0.23196002758078391</v>
      </c>
    </row>
    <row r="568" spans="1:37" x14ac:dyDescent="0.15">
      <c r="A568" s="10">
        <f>A567+0.5</f>
        <v>2026.5</v>
      </c>
      <c r="C568" s="83">
        <v>0.67333333333333334</v>
      </c>
      <c r="D568" s="96">
        <f>5.5/12*7</f>
        <v>3.208333333333333</v>
      </c>
      <c r="E568" s="122">
        <f t="shared" si="155"/>
        <v>2.1602777777777775</v>
      </c>
      <c r="F568" s="96">
        <f t="shared" si="156"/>
        <v>2.5666666666666664</v>
      </c>
      <c r="G568" s="96">
        <f t="shared" si="157"/>
        <v>1.1153022222222222</v>
      </c>
      <c r="H568" s="96">
        <f t="shared" si="158"/>
        <v>1.3338615117219967</v>
      </c>
      <c r="I568" s="94">
        <f>'Modell During mining'!G571/1000000</f>
        <v>2.2373624000000008</v>
      </c>
      <c r="J568" s="94">
        <f>'Modell During mining'!D571</f>
        <v>8.8160058468847065E-3</v>
      </c>
      <c r="K568" s="93">
        <v>0.95</v>
      </c>
      <c r="L568" s="93">
        <v>0.26</v>
      </c>
      <c r="M568" s="93">
        <v>0.31</v>
      </c>
      <c r="N568" s="93">
        <v>0.26</v>
      </c>
      <c r="O568" s="93">
        <v>1.26</v>
      </c>
      <c r="P568" s="93">
        <v>0.04</v>
      </c>
      <c r="Q568" s="93">
        <v>1.6</v>
      </c>
      <c r="R568" s="93">
        <v>0</v>
      </c>
      <c r="S568" s="93">
        <v>0.36</v>
      </c>
      <c r="T568" s="98">
        <f t="shared" si="194"/>
        <v>0.32989027162910195</v>
      </c>
      <c r="U568" s="93">
        <v>25.21</v>
      </c>
      <c r="V568" s="98">
        <f t="shared" si="194"/>
        <v>0.32989027162910195</v>
      </c>
      <c r="W568" s="93">
        <v>21.42</v>
      </c>
      <c r="X568" s="98">
        <f t="shared" si="194"/>
        <v>0.32989027162910195</v>
      </c>
      <c r="Y568" s="93">
        <v>0.11</v>
      </c>
      <c r="Z568" s="98">
        <f t="shared" si="194"/>
        <v>0.32989027162910195</v>
      </c>
      <c r="AA568" s="93">
        <v>5.8</v>
      </c>
      <c r="AB568" s="98">
        <f t="shared" si="194"/>
        <v>0.32989027162910195</v>
      </c>
      <c r="AC568" s="93">
        <v>1.7</v>
      </c>
      <c r="AD568" s="175">
        <f t="shared" si="159"/>
        <v>0.32989027162910195</v>
      </c>
      <c r="AE568" s="93">
        <v>1.84</v>
      </c>
      <c r="AF568" s="96">
        <f t="shared" si="160"/>
        <v>0.32989027162910195</v>
      </c>
      <c r="AG568" s="10">
        <f t="shared" si="152"/>
        <v>7.97</v>
      </c>
      <c r="AH568" s="95">
        <f t="shared" si="153"/>
        <v>6.3573624000000013</v>
      </c>
      <c r="AI568" s="96">
        <f t="shared" si="167"/>
        <v>0.32989027162910195</v>
      </c>
      <c r="AJ568" s="96">
        <f t="shared" si="164"/>
        <v>0.22663406490069968</v>
      </c>
      <c r="AK568" s="96">
        <f t="shared" si="161"/>
        <v>0.24823036259304473</v>
      </c>
    </row>
    <row r="569" spans="1:37" x14ac:dyDescent="0.15">
      <c r="A569" s="10">
        <f>A567+1</f>
        <v>2027</v>
      </c>
      <c r="C569" s="83">
        <v>0.67333333333333334</v>
      </c>
      <c r="D569" s="96">
        <f>5/12*5</f>
        <v>2.0833333333333335</v>
      </c>
      <c r="E569" s="122">
        <f t="shared" si="155"/>
        <v>1.4027777777777779</v>
      </c>
      <c r="F569" s="96">
        <f t="shared" si="156"/>
        <v>1.666666666666667</v>
      </c>
      <c r="G569" s="96">
        <f t="shared" si="157"/>
        <v>0.72422222222222232</v>
      </c>
      <c r="H569" s="96">
        <f t="shared" si="158"/>
        <v>0.86614383878051748</v>
      </c>
      <c r="I569" s="94">
        <f>'Modell During mining'!G572/1000000</f>
        <v>1.5981159999999999</v>
      </c>
      <c r="J569" s="94">
        <f>'Modell During mining'!D572</f>
        <v>8.8160058468847047E-3</v>
      </c>
      <c r="K569" s="93">
        <v>0</v>
      </c>
      <c r="L569" s="93">
        <v>0.26</v>
      </c>
      <c r="M569" s="93">
        <v>0</v>
      </c>
      <c r="N569" s="93">
        <v>0.26</v>
      </c>
      <c r="O569" s="93">
        <v>1.26</v>
      </c>
      <c r="P569" s="93">
        <v>0.04</v>
      </c>
      <c r="Q569" s="93">
        <v>0</v>
      </c>
      <c r="R569" s="93">
        <v>0</v>
      </c>
      <c r="S569" s="93">
        <v>0.36</v>
      </c>
      <c r="T569" s="98">
        <f t="shared" si="194"/>
        <v>0.30377316259836334</v>
      </c>
      <c r="U569" s="93">
        <v>25.21</v>
      </c>
      <c r="V569" s="98">
        <f t="shared" si="194"/>
        <v>0.30377316259836334</v>
      </c>
      <c r="W569" s="93">
        <v>21.42</v>
      </c>
      <c r="X569" s="98">
        <f t="shared" si="194"/>
        <v>0.30377316259836334</v>
      </c>
      <c r="Y569" s="93">
        <v>0.11</v>
      </c>
      <c r="Z569" s="98">
        <f t="shared" si="194"/>
        <v>0.30377316259836334</v>
      </c>
      <c r="AA569" s="93">
        <v>5.8</v>
      </c>
      <c r="AB569" s="98">
        <f t="shared" si="194"/>
        <v>0.30377316259836334</v>
      </c>
      <c r="AC569" s="93">
        <v>1.7</v>
      </c>
      <c r="AD569" s="175">
        <f t="shared" si="159"/>
        <v>0.30377316259836334</v>
      </c>
      <c r="AE569" s="93">
        <v>1.84</v>
      </c>
      <c r="AF569" s="96">
        <f t="shared" si="160"/>
        <v>0.30377316259836334</v>
      </c>
      <c r="AG569" s="10">
        <f t="shared" si="152"/>
        <v>7.97</v>
      </c>
      <c r="AH569" s="95">
        <f t="shared" si="153"/>
        <v>2.8581159999999999</v>
      </c>
      <c r="AI569" s="96">
        <f t="shared" si="167"/>
        <v>0.30377316259836334</v>
      </c>
      <c r="AJ569" s="96">
        <f t="shared" si="164"/>
        <v>0.2053584847618696</v>
      </c>
      <c r="AK569" s="96">
        <f t="shared" si="161"/>
        <v>0.22594216439910089</v>
      </c>
    </row>
    <row r="570" spans="1:37" x14ac:dyDescent="0.15">
      <c r="A570" s="10">
        <f>A569+0.5</f>
        <v>2027.5</v>
      </c>
      <c r="C570" s="83">
        <v>0.67333333333333334</v>
      </c>
      <c r="D570" s="96">
        <f>5.5/12*7</f>
        <v>3.208333333333333</v>
      </c>
      <c r="E570" s="122">
        <f t="shared" si="155"/>
        <v>2.1602777777777775</v>
      </c>
      <c r="F570" s="96">
        <f t="shared" si="156"/>
        <v>2.5666666666666664</v>
      </c>
      <c r="G570" s="96">
        <f t="shared" si="157"/>
        <v>1.1153022222222222</v>
      </c>
      <c r="H570" s="96">
        <f t="shared" si="158"/>
        <v>1.3338615117219967</v>
      </c>
      <c r="I570" s="94">
        <f>'Modell During mining'!G573/1000000</f>
        <v>2.3390562666666677</v>
      </c>
      <c r="J570" s="94">
        <f>'Modell During mining'!D573</f>
        <v>8.8405169902710627E-3</v>
      </c>
      <c r="K570" s="93">
        <v>0.95</v>
      </c>
      <c r="L570" s="93">
        <v>0.26</v>
      </c>
      <c r="M570" s="93">
        <v>0.31</v>
      </c>
      <c r="N570" s="93">
        <v>0.26</v>
      </c>
      <c r="O570" s="93">
        <v>1.26</v>
      </c>
      <c r="P570" s="93">
        <v>0.04</v>
      </c>
      <c r="Q570" s="93">
        <v>1.6</v>
      </c>
      <c r="R570" s="93">
        <v>0</v>
      </c>
      <c r="S570" s="93">
        <v>0.36</v>
      </c>
      <c r="T570" s="98">
        <f t="shared" si="194"/>
        <v>0.32064200374158863</v>
      </c>
      <c r="U570" s="93">
        <v>25.21</v>
      </c>
      <c r="V570" s="98">
        <f t="shared" si="194"/>
        <v>0.32064200374158863</v>
      </c>
      <c r="W570" s="93">
        <v>21.42</v>
      </c>
      <c r="X570" s="98">
        <f t="shared" si="194"/>
        <v>0.32064200374158863</v>
      </c>
      <c r="Y570" s="93">
        <v>0.11</v>
      </c>
      <c r="Z570" s="98">
        <f t="shared" si="194"/>
        <v>0.32064200374158863</v>
      </c>
      <c r="AA570" s="93">
        <v>5.8</v>
      </c>
      <c r="AB570" s="98">
        <f t="shared" si="194"/>
        <v>0.32064200374158863</v>
      </c>
      <c r="AC570" s="93">
        <v>1.7</v>
      </c>
      <c r="AD570" s="175">
        <f t="shared" si="159"/>
        <v>0.32064200374158863</v>
      </c>
      <c r="AE570" s="93">
        <v>1.84</v>
      </c>
      <c r="AF570" s="96">
        <f t="shared" si="160"/>
        <v>0.32064200374158863</v>
      </c>
      <c r="AG570" s="10">
        <f t="shared" si="152"/>
        <v>7.97</v>
      </c>
      <c r="AH570" s="95">
        <f t="shared" si="153"/>
        <v>6.4590562666666678</v>
      </c>
      <c r="AI570" s="96">
        <f t="shared" si="167"/>
        <v>0.32064200374158863</v>
      </c>
      <c r="AJ570" s="96">
        <f t="shared" si="164"/>
        <v>0.2198660353553703</v>
      </c>
      <c r="AK570" s="96">
        <f t="shared" si="161"/>
        <v>0.24094358490382256</v>
      </c>
    </row>
    <row r="571" spans="1:37" x14ac:dyDescent="0.15">
      <c r="A571" s="10">
        <f>A569+1</f>
        <v>2028</v>
      </c>
      <c r="C571" s="83">
        <v>0.67333333333333334</v>
      </c>
      <c r="D571" s="96">
        <f>5/12*5</f>
        <v>2.0833333333333335</v>
      </c>
      <c r="E571" s="122">
        <f t="shared" si="155"/>
        <v>1.4027777777777779</v>
      </c>
      <c r="F571" s="96">
        <f t="shared" si="156"/>
        <v>1.666666666666667</v>
      </c>
      <c r="G571" s="96">
        <f t="shared" si="157"/>
        <v>0.72422222222222232</v>
      </c>
      <c r="H571" s="96">
        <f t="shared" si="158"/>
        <v>0.86614383878051748</v>
      </c>
      <c r="I571" s="94">
        <f>'Modell During mining'!G574/1000000</f>
        <v>1.666249333333333</v>
      </c>
      <c r="J571" s="94">
        <f>'Modell During mining'!D574</f>
        <v>8.8644196506805304E-3</v>
      </c>
      <c r="K571" s="93">
        <v>0</v>
      </c>
      <c r="L571" s="93">
        <v>0.26</v>
      </c>
      <c r="M571" s="93">
        <v>0</v>
      </c>
      <c r="N571" s="93">
        <v>0.26</v>
      </c>
      <c r="O571" s="93">
        <v>1.26</v>
      </c>
      <c r="P571" s="93">
        <v>0.04</v>
      </c>
      <c r="Q571" s="93">
        <v>0</v>
      </c>
      <c r="R571" s="93">
        <v>0</v>
      </c>
      <c r="S571" s="93">
        <v>0.36</v>
      </c>
      <c r="T571" s="98">
        <f t="shared" si="194"/>
        <v>0.29646833909285963</v>
      </c>
      <c r="U571" s="93">
        <v>25.21</v>
      </c>
      <c r="V571" s="98">
        <f t="shared" si="194"/>
        <v>0.29646833909285963</v>
      </c>
      <c r="W571" s="93">
        <v>21.42</v>
      </c>
      <c r="X571" s="98">
        <f t="shared" si="194"/>
        <v>0.29646833909285963</v>
      </c>
      <c r="Y571" s="93">
        <v>0.11</v>
      </c>
      <c r="Z571" s="98">
        <f t="shared" si="194"/>
        <v>0.29646833909285963</v>
      </c>
      <c r="AA571" s="93">
        <v>5.8</v>
      </c>
      <c r="AB571" s="98">
        <f t="shared" si="194"/>
        <v>0.29646833909285963</v>
      </c>
      <c r="AC571" s="93">
        <v>1.7</v>
      </c>
      <c r="AD571" s="175">
        <f t="shared" si="159"/>
        <v>0.29646833909285963</v>
      </c>
      <c r="AE571" s="93">
        <v>1.84</v>
      </c>
      <c r="AF571" s="96">
        <f t="shared" si="160"/>
        <v>0.29646833909285963</v>
      </c>
      <c r="AG571" s="10">
        <f t="shared" si="152"/>
        <v>7.97</v>
      </c>
      <c r="AH571" s="95">
        <f t="shared" si="153"/>
        <v>2.9262493333333328</v>
      </c>
      <c r="AI571" s="96">
        <f t="shared" si="167"/>
        <v>0.29646833909285963</v>
      </c>
      <c r="AJ571" s="96">
        <f t="shared" si="164"/>
        <v>0.20008517547943475</v>
      </c>
      <c r="AK571" s="96">
        <f t="shared" si="161"/>
        <v>0.22024395876110814</v>
      </c>
    </row>
    <row r="572" spans="1:37" x14ac:dyDescent="0.15">
      <c r="A572" s="10">
        <f>A571+0.5</f>
        <v>2028.5</v>
      </c>
      <c r="C572" s="83">
        <v>0.67333333333333334</v>
      </c>
      <c r="D572" s="96">
        <f>5.5/12*7</f>
        <v>3.208333333333333</v>
      </c>
      <c r="E572" s="122">
        <f t="shared" si="155"/>
        <v>2.1602777777777775</v>
      </c>
      <c r="F572" s="96">
        <f t="shared" si="156"/>
        <v>2.5666666666666664</v>
      </c>
      <c r="G572" s="96">
        <f t="shared" si="157"/>
        <v>1.1153022222222222</v>
      </c>
      <c r="H572" s="96">
        <f t="shared" si="158"/>
        <v>1.3338615117219967</v>
      </c>
      <c r="I572" s="94">
        <f>'Modell During mining'!G575/1000000</f>
        <v>2.4407501333333341</v>
      </c>
      <c r="J572" s="94">
        <f>'Modell During mining'!D575</f>
        <v>8.8629856198307565E-3</v>
      </c>
      <c r="K572" s="93">
        <v>0.95</v>
      </c>
      <c r="L572" s="93">
        <v>0.26</v>
      </c>
      <c r="M572" s="93">
        <v>0.31</v>
      </c>
      <c r="N572" s="93">
        <v>0.26</v>
      </c>
      <c r="O572" s="93">
        <v>1.26</v>
      </c>
      <c r="P572" s="93">
        <v>0.04</v>
      </c>
      <c r="Q572" s="93">
        <v>1.6</v>
      </c>
      <c r="R572" s="93">
        <v>0</v>
      </c>
      <c r="S572" s="93">
        <v>0.36</v>
      </c>
      <c r="T572" s="98">
        <f t="shared" si="194"/>
        <v>0.31190493166599953</v>
      </c>
      <c r="U572" s="93">
        <v>25.21</v>
      </c>
      <c r="V572" s="98">
        <f t="shared" si="194"/>
        <v>0.31190493166599953</v>
      </c>
      <c r="W572" s="93">
        <v>21.42</v>
      </c>
      <c r="X572" s="98">
        <f t="shared" si="194"/>
        <v>0.31190493166599953</v>
      </c>
      <c r="Y572" s="93">
        <v>0.11</v>
      </c>
      <c r="Z572" s="98">
        <f t="shared" si="194"/>
        <v>0.31190493166599953</v>
      </c>
      <c r="AA572" s="93">
        <v>5.8</v>
      </c>
      <c r="AB572" s="98">
        <f t="shared" si="194"/>
        <v>0.31190493166599953</v>
      </c>
      <c r="AC572" s="93">
        <v>1.7</v>
      </c>
      <c r="AD572" s="175">
        <f t="shared" si="159"/>
        <v>0.31190493166599953</v>
      </c>
      <c r="AE572" s="93">
        <v>1.84</v>
      </c>
      <c r="AF572" s="96">
        <f t="shared" si="160"/>
        <v>0.31190493166599953</v>
      </c>
      <c r="AG572" s="10">
        <f t="shared" si="152"/>
        <v>7.97</v>
      </c>
      <c r="AH572" s="95">
        <f t="shared" si="153"/>
        <v>6.5607501333333342</v>
      </c>
      <c r="AI572" s="96">
        <f t="shared" si="167"/>
        <v>0.31190493166599953</v>
      </c>
      <c r="AJ572" s="96">
        <f t="shared" si="164"/>
        <v>0.2134759139997654</v>
      </c>
      <c r="AK572" s="96">
        <f t="shared" si="161"/>
        <v>0.23406259284878006</v>
      </c>
    </row>
    <row r="573" spans="1:37" x14ac:dyDescent="0.15">
      <c r="A573" s="10">
        <f>A571+1</f>
        <v>2029</v>
      </c>
      <c r="C573" s="83">
        <v>0.67333333333333334</v>
      </c>
      <c r="D573" s="96">
        <f>5/12*5</f>
        <v>2.0833333333333335</v>
      </c>
      <c r="E573" s="122">
        <f t="shared" si="155"/>
        <v>1.4027777777777779</v>
      </c>
      <c r="F573" s="96">
        <f t="shared" si="156"/>
        <v>1.666666666666667</v>
      </c>
      <c r="G573" s="96">
        <f t="shared" si="157"/>
        <v>0.72422222222222232</v>
      </c>
      <c r="H573" s="96">
        <f t="shared" si="158"/>
        <v>0.86614383878051748</v>
      </c>
      <c r="I573" s="94">
        <f>'Modell During mining'!G576/1000000</f>
        <v>1.7343826666666662</v>
      </c>
      <c r="J573" s="94">
        <f>'Modell During mining'!D576</f>
        <v>8.90902968741231E-3</v>
      </c>
      <c r="K573" s="93">
        <v>0</v>
      </c>
      <c r="L573" s="93">
        <v>0.26</v>
      </c>
      <c r="M573" s="93">
        <v>0</v>
      </c>
      <c r="N573" s="93">
        <v>0.26</v>
      </c>
      <c r="O573" s="93">
        <v>1.26</v>
      </c>
      <c r="P573" s="93">
        <v>0.04</v>
      </c>
      <c r="Q573" s="93">
        <v>0</v>
      </c>
      <c r="R573" s="93">
        <v>0</v>
      </c>
      <c r="S573" s="93">
        <v>0.36</v>
      </c>
      <c r="T573" s="98">
        <f t="shared" si="194"/>
        <v>0.28951894854722093</v>
      </c>
      <c r="U573" s="93">
        <v>25.21</v>
      </c>
      <c r="V573" s="98">
        <f t="shared" si="194"/>
        <v>0.28951894854722093</v>
      </c>
      <c r="W573" s="93">
        <v>21.42</v>
      </c>
      <c r="X573" s="98">
        <f t="shared" si="194"/>
        <v>0.28951894854722093</v>
      </c>
      <c r="Y573" s="93">
        <v>0.11</v>
      </c>
      <c r="Z573" s="98">
        <f t="shared" si="194"/>
        <v>0.28951894854722093</v>
      </c>
      <c r="AA573" s="93">
        <v>5.8</v>
      </c>
      <c r="AB573" s="98">
        <f t="shared" si="194"/>
        <v>0.28951894854722093</v>
      </c>
      <c r="AC573" s="93">
        <v>1.7</v>
      </c>
      <c r="AD573" s="175">
        <f t="shared" si="159"/>
        <v>0.28951894854722093</v>
      </c>
      <c r="AE573" s="93">
        <v>1.84</v>
      </c>
      <c r="AF573" s="96">
        <f t="shared" si="160"/>
        <v>0.28951894854722093</v>
      </c>
      <c r="AG573" s="10">
        <f t="shared" si="152"/>
        <v>7.97</v>
      </c>
      <c r="AH573" s="95">
        <f t="shared" si="153"/>
        <v>2.9943826666666662</v>
      </c>
      <c r="AI573" s="96">
        <f t="shared" si="167"/>
        <v>0.28951894854722093</v>
      </c>
      <c r="AJ573" s="96">
        <f t="shared" si="164"/>
        <v>0.19507972361873513</v>
      </c>
      <c r="AK573" s="96">
        <f t="shared" si="161"/>
        <v>0.21483192719090946</v>
      </c>
    </row>
    <row r="574" spans="1:37" x14ac:dyDescent="0.15">
      <c r="A574" s="10">
        <f>A573+0.5</f>
        <v>2029.5</v>
      </c>
      <c r="C574" s="83">
        <v>0.67333333333333334</v>
      </c>
      <c r="D574" s="96">
        <f>5.5/12*7</f>
        <v>3.208333333333333</v>
      </c>
      <c r="E574" s="122">
        <f t="shared" si="155"/>
        <v>2.1602777777777775</v>
      </c>
      <c r="F574" s="96">
        <f t="shared" si="156"/>
        <v>2.5666666666666664</v>
      </c>
      <c r="G574" s="96">
        <f t="shared" si="157"/>
        <v>1.1153022222222222</v>
      </c>
      <c r="H574" s="96">
        <f t="shared" si="158"/>
        <v>1.3338615117219967</v>
      </c>
      <c r="I574" s="94">
        <f>'Modell During mining'!G577/1000000</f>
        <v>2.5424440000000001</v>
      </c>
      <c r="J574" s="94">
        <f>'Modell During mining'!D577</f>
        <v>8.8836568278396703E-3</v>
      </c>
      <c r="K574" s="93">
        <v>0.95</v>
      </c>
      <c r="L574" s="93">
        <v>0.26</v>
      </c>
      <c r="M574" s="93">
        <v>0.31</v>
      </c>
      <c r="N574" s="93">
        <v>0.26</v>
      </c>
      <c r="O574" s="93">
        <v>1.26</v>
      </c>
      <c r="P574" s="93">
        <v>0.04</v>
      </c>
      <c r="Q574" s="93">
        <v>1.6</v>
      </c>
      <c r="R574" s="93">
        <v>0</v>
      </c>
      <c r="S574" s="93">
        <v>0.36</v>
      </c>
      <c r="T574" s="98">
        <f t="shared" si="194"/>
        <v>0.30363464725532158</v>
      </c>
      <c r="U574" s="93">
        <v>25.21</v>
      </c>
      <c r="V574" s="98">
        <f t="shared" si="194"/>
        <v>0.30363464725532158</v>
      </c>
      <c r="W574" s="93">
        <v>21.42</v>
      </c>
      <c r="X574" s="98">
        <f t="shared" si="194"/>
        <v>0.30363464725532158</v>
      </c>
      <c r="Y574" s="93">
        <v>0.11</v>
      </c>
      <c r="Z574" s="98">
        <f t="shared" si="194"/>
        <v>0.30363464725532158</v>
      </c>
      <c r="AA574" s="93">
        <v>5.8</v>
      </c>
      <c r="AB574" s="98">
        <f t="shared" si="194"/>
        <v>0.30363464725532158</v>
      </c>
      <c r="AC574" s="93">
        <v>1.7</v>
      </c>
      <c r="AD574" s="175">
        <f t="shared" si="159"/>
        <v>0.30363464725532158</v>
      </c>
      <c r="AE574" s="93">
        <v>1.84</v>
      </c>
      <c r="AF574" s="96">
        <f t="shared" si="160"/>
        <v>0.30363464725532158</v>
      </c>
      <c r="AG574" s="10">
        <f t="shared" si="152"/>
        <v>7.97</v>
      </c>
      <c r="AH574" s="95">
        <f t="shared" si="153"/>
        <v>6.6624440000000007</v>
      </c>
      <c r="AI574" s="96">
        <f t="shared" si="167"/>
        <v>0.30363464725532158</v>
      </c>
      <c r="AJ574" s="96">
        <f t="shared" si="164"/>
        <v>0.2074306827898546</v>
      </c>
      <c r="AK574" s="96">
        <f t="shared" si="161"/>
        <v>0.22755198611494104</v>
      </c>
    </row>
    <row r="575" spans="1:37" x14ac:dyDescent="0.15">
      <c r="A575" s="10">
        <f>A573+1</f>
        <v>2030</v>
      </c>
      <c r="C575" s="83">
        <v>0.67333333333333334</v>
      </c>
      <c r="D575" s="96">
        <f>5/12*5</f>
        <v>2.0833333333333335</v>
      </c>
      <c r="E575" s="122">
        <f t="shared" si="155"/>
        <v>1.4027777777777779</v>
      </c>
      <c r="F575" s="96">
        <f t="shared" si="156"/>
        <v>1.666666666666667</v>
      </c>
      <c r="G575" s="96">
        <f t="shared" si="157"/>
        <v>0.72422222222222232</v>
      </c>
      <c r="H575" s="96">
        <f t="shared" si="158"/>
        <v>0.86614383878051748</v>
      </c>
      <c r="I575" s="94">
        <f>'Modell During mining'!G578/1000000</f>
        <v>1.802516</v>
      </c>
      <c r="J575" s="94">
        <f>'Modell During mining'!D578</f>
        <v>8.9502672930503804E-3</v>
      </c>
      <c r="K575" s="93">
        <v>0</v>
      </c>
      <c r="L575" s="93">
        <v>0.26</v>
      </c>
      <c r="M575" s="93">
        <v>0</v>
      </c>
      <c r="N575" s="93">
        <v>0.26</v>
      </c>
      <c r="O575" s="93">
        <v>1.26</v>
      </c>
      <c r="P575" s="93">
        <v>0.04</v>
      </c>
      <c r="Q575" s="93">
        <v>0</v>
      </c>
      <c r="R575" s="93">
        <v>0</v>
      </c>
      <c r="S575" s="93">
        <v>0.36</v>
      </c>
      <c r="T575" s="98">
        <f t="shared" si="194"/>
        <v>0.28289875664185971</v>
      </c>
      <c r="U575" s="93">
        <v>25.21</v>
      </c>
      <c r="V575" s="98">
        <f t="shared" ref="V575:AB575" si="195">$AF575</f>
        <v>0.28289875664185971</v>
      </c>
      <c r="W575" s="93">
        <v>21.42</v>
      </c>
      <c r="X575" s="98">
        <f t="shared" si="195"/>
        <v>0.28289875664185971</v>
      </c>
      <c r="Y575" s="93">
        <v>0.11</v>
      </c>
      <c r="Z575" s="98">
        <f t="shared" si="195"/>
        <v>0.28289875664185971</v>
      </c>
      <c r="AA575" s="93">
        <v>5.8</v>
      </c>
      <c r="AB575" s="98">
        <f t="shared" si="195"/>
        <v>0.28289875664185971</v>
      </c>
      <c r="AC575" s="93">
        <v>1.7</v>
      </c>
      <c r="AD575" s="175">
        <f t="shared" si="159"/>
        <v>0.28289875664185971</v>
      </c>
      <c r="AE575" s="93">
        <v>1.84</v>
      </c>
      <c r="AF575" s="96">
        <f t="shared" si="160"/>
        <v>0.28289875664185971</v>
      </c>
      <c r="AG575" s="10">
        <f t="shared" si="152"/>
        <v>7.97</v>
      </c>
      <c r="AH575" s="95">
        <f t="shared" si="153"/>
        <v>3.062516</v>
      </c>
      <c r="AI575" s="96">
        <f t="shared" si="167"/>
        <v>0.28289875664185971</v>
      </c>
      <c r="AJ575" s="96">
        <f t="shared" si="164"/>
        <v>0.19032165395030617</v>
      </c>
      <c r="AK575" s="96">
        <f t="shared" si="161"/>
        <v>0.20968438993072494</v>
      </c>
    </row>
    <row r="576" spans="1:37" x14ac:dyDescent="0.15">
      <c r="A576" s="10">
        <f>A575+0.5</f>
        <v>2030.5</v>
      </c>
      <c r="AI576" s="96">
        <f t="shared" si="167"/>
        <v>0.29579434093041385</v>
      </c>
      <c r="AJ576" s="96">
        <f t="shared" si="164"/>
        <v>0.20170360248685185</v>
      </c>
      <c r="AK576" s="96">
        <f t="shared" si="161"/>
        <v>0.22138291922627654</v>
      </c>
    </row>
  </sheetData>
  <phoneticPr fontId="8" type="noConversion"/>
  <pageMargins left="0.78740157499999996" right="0.78740157499999996" top="1" bottom="1" header="0" footer="0"/>
  <pageSetup paperSize="0" orientation="portrait" horizontalDpi="4294967292" verticalDpi="4294967292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8"/>
  <sheetViews>
    <sheetView topLeftCell="A31" workbookViewId="0">
      <selection activeCell="B48" sqref="B48:H63"/>
    </sheetView>
  </sheetViews>
  <sheetFormatPr baseColWidth="10" defaultRowHeight="13" x14ac:dyDescent="0.15"/>
  <cols>
    <col min="1" max="1" width="32.83203125" customWidth="1"/>
    <col min="3" max="3" width="11.1640625" customWidth="1"/>
  </cols>
  <sheetData>
    <row r="1" spans="1:5" ht="14" thickBot="1" x14ac:dyDescent="0.2"/>
    <row r="2" spans="1:5" ht="14" x14ac:dyDescent="0.15">
      <c r="A2" s="189" t="s">
        <v>990</v>
      </c>
      <c r="B2" s="86" t="s">
        <v>991</v>
      </c>
      <c r="C2" s="86">
        <v>2015</v>
      </c>
      <c r="D2" s="86" t="s">
        <v>995</v>
      </c>
    </row>
    <row r="3" spans="1:5" ht="14" x14ac:dyDescent="0.15">
      <c r="A3" s="190"/>
      <c r="B3" s="87" t="s">
        <v>992</v>
      </c>
      <c r="C3" s="87" t="s">
        <v>994</v>
      </c>
      <c r="D3" s="87" t="s">
        <v>996</v>
      </c>
    </row>
    <row r="4" spans="1:5" ht="15" thickBot="1" x14ac:dyDescent="0.2">
      <c r="A4" s="191"/>
      <c r="B4" s="88" t="s">
        <v>993</v>
      </c>
      <c r="C4" s="88" t="s">
        <v>993</v>
      </c>
      <c r="D4" s="88" t="s">
        <v>993</v>
      </c>
    </row>
    <row r="5" spans="1:5" ht="15" thickBot="1" x14ac:dyDescent="0.2">
      <c r="A5" s="89" t="s">
        <v>997</v>
      </c>
      <c r="B5" s="90"/>
      <c r="C5" s="90">
        <v>11</v>
      </c>
      <c r="D5" s="90">
        <v>11</v>
      </c>
    </row>
    <row r="6" spans="1:5" ht="15" thickBot="1" x14ac:dyDescent="0.2">
      <c r="A6" s="89" t="s">
        <v>998</v>
      </c>
      <c r="B6" s="90">
        <v>4</v>
      </c>
      <c r="C6" s="90">
        <v>4</v>
      </c>
      <c r="D6" s="90">
        <v>4</v>
      </c>
    </row>
    <row r="7" spans="1:5" ht="15" thickBot="1" x14ac:dyDescent="0.2">
      <c r="A7" s="89" t="s">
        <v>999</v>
      </c>
      <c r="B7" s="90">
        <v>1.7</v>
      </c>
      <c r="C7" s="90">
        <v>1.7</v>
      </c>
      <c r="D7" s="90">
        <v>2</v>
      </c>
    </row>
    <row r="8" spans="1:5" ht="15" thickBot="1" x14ac:dyDescent="0.2">
      <c r="A8" s="89" t="s">
        <v>870</v>
      </c>
      <c r="B8" s="90"/>
      <c r="C8" s="90">
        <v>3.9</v>
      </c>
      <c r="D8" s="90">
        <v>4.5999999999999996</v>
      </c>
    </row>
    <row r="9" spans="1:5" ht="15" thickBot="1" x14ac:dyDescent="0.2">
      <c r="A9" s="89" t="s">
        <v>871</v>
      </c>
      <c r="B9" s="90">
        <v>0.7</v>
      </c>
      <c r="C9" s="90">
        <v>0.7</v>
      </c>
      <c r="D9" s="90">
        <v>1</v>
      </c>
    </row>
    <row r="10" spans="1:5" ht="15" thickBot="1" x14ac:dyDescent="0.2">
      <c r="A10" s="89" t="s">
        <v>872</v>
      </c>
      <c r="B10" s="90">
        <v>3.1</v>
      </c>
      <c r="C10" s="90">
        <v>3.8</v>
      </c>
      <c r="D10" s="90">
        <v>4.5</v>
      </c>
    </row>
    <row r="11" spans="1:5" ht="15" thickBot="1" x14ac:dyDescent="0.2">
      <c r="A11" s="89" t="s">
        <v>873</v>
      </c>
      <c r="B11" s="90"/>
      <c r="C11" s="90"/>
      <c r="D11" s="90">
        <v>1.1000000000000001</v>
      </c>
    </row>
    <row r="12" spans="1:5" ht="15" thickBot="1" x14ac:dyDescent="0.2">
      <c r="A12" s="89" t="s">
        <v>874</v>
      </c>
      <c r="B12" s="90">
        <v>2.1</v>
      </c>
      <c r="C12" s="90">
        <v>0</v>
      </c>
      <c r="D12" s="90">
        <v>0</v>
      </c>
    </row>
    <row r="13" spans="1:5" ht="14" thickBot="1" x14ac:dyDescent="0.2"/>
    <row r="14" spans="1:5" ht="14" x14ac:dyDescent="0.15">
      <c r="A14" s="189" t="s">
        <v>912</v>
      </c>
      <c r="B14" s="86" t="s">
        <v>913</v>
      </c>
      <c r="C14" s="86" t="s">
        <v>915</v>
      </c>
      <c r="D14" s="86" t="s">
        <v>916</v>
      </c>
      <c r="E14" s="192" t="s">
        <v>917</v>
      </c>
    </row>
    <row r="15" spans="1:5" ht="15" thickBot="1" x14ac:dyDescent="0.2">
      <c r="A15" s="191"/>
      <c r="B15" s="88" t="s">
        <v>914</v>
      </c>
      <c r="C15" s="88" t="s">
        <v>914</v>
      </c>
      <c r="D15" s="88" t="s">
        <v>914</v>
      </c>
      <c r="E15" s="193"/>
    </row>
    <row r="16" spans="1:5" ht="15" thickBot="1" x14ac:dyDescent="0.2">
      <c r="A16" s="89" t="s">
        <v>918</v>
      </c>
      <c r="B16" s="91">
        <v>3.94</v>
      </c>
      <c r="C16" s="91">
        <v>4.09</v>
      </c>
      <c r="D16" s="91">
        <v>4.33</v>
      </c>
      <c r="E16" s="90"/>
    </row>
    <row r="17" spans="1:5" ht="15" thickBot="1" x14ac:dyDescent="0.2">
      <c r="A17" s="89" t="s">
        <v>919</v>
      </c>
      <c r="B17" s="91">
        <v>0.67</v>
      </c>
      <c r="C17" s="91">
        <v>0.95</v>
      </c>
      <c r="D17" s="91">
        <v>1.48</v>
      </c>
      <c r="E17" s="90"/>
    </row>
    <row r="18" spans="1:5" ht="15" thickBot="1" x14ac:dyDescent="0.2">
      <c r="A18" s="89" t="s">
        <v>920</v>
      </c>
      <c r="B18" s="91">
        <v>0.21</v>
      </c>
      <c r="C18" s="91">
        <v>0.31</v>
      </c>
      <c r="D18" s="91">
        <v>0.48</v>
      </c>
      <c r="E18" s="90"/>
    </row>
    <row r="19" spans="1:5" ht="15" thickBot="1" x14ac:dyDescent="0.2">
      <c r="A19" s="89" t="s">
        <v>779</v>
      </c>
      <c r="B19" s="91">
        <v>1.26</v>
      </c>
      <c r="C19" s="91">
        <v>1.26</v>
      </c>
      <c r="D19" s="91">
        <v>1.26</v>
      </c>
      <c r="E19" s="90"/>
    </row>
    <row r="20" spans="1:5" ht="15" thickBot="1" x14ac:dyDescent="0.2">
      <c r="A20" s="89" t="s">
        <v>780</v>
      </c>
      <c r="B20" s="91">
        <v>1.1200000000000001</v>
      </c>
      <c r="C20" s="91">
        <v>1.5</v>
      </c>
      <c r="D20" s="91">
        <v>2.62</v>
      </c>
      <c r="E20" s="90"/>
    </row>
    <row r="21" spans="1:5" ht="15" thickBot="1" x14ac:dyDescent="0.2">
      <c r="A21" s="89" t="s">
        <v>781</v>
      </c>
      <c r="B21" s="91">
        <v>25.21</v>
      </c>
      <c r="C21" s="91">
        <v>25.21</v>
      </c>
      <c r="D21" s="91">
        <v>25.21</v>
      </c>
      <c r="E21" s="90"/>
    </row>
    <row r="22" spans="1:5" ht="15" thickBot="1" x14ac:dyDescent="0.2">
      <c r="A22" s="89" t="s">
        <v>875</v>
      </c>
      <c r="B22" s="91">
        <v>0.36</v>
      </c>
      <c r="C22" s="91">
        <v>0.36</v>
      </c>
      <c r="D22" s="91">
        <v>0.36</v>
      </c>
      <c r="E22" s="90"/>
    </row>
    <row r="23" spans="1:5" ht="15" thickBot="1" x14ac:dyDescent="0.2">
      <c r="A23" s="89" t="s">
        <v>782</v>
      </c>
      <c r="B23" s="91">
        <v>21.68</v>
      </c>
      <c r="C23" s="91">
        <v>21.42</v>
      </c>
      <c r="D23" s="91">
        <v>20.99</v>
      </c>
      <c r="E23" s="90"/>
    </row>
    <row r="24" spans="1:5" ht="15" thickBot="1" x14ac:dyDescent="0.2">
      <c r="A24" s="89" t="s">
        <v>783</v>
      </c>
      <c r="B24" s="91">
        <v>0.11</v>
      </c>
      <c r="C24" s="91">
        <v>0.11</v>
      </c>
      <c r="D24" s="91">
        <v>0.11</v>
      </c>
      <c r="E24" s="90"/>
    </row>
    <row r="25" spans="1:5" ht="15" thickBot="1" x14ac:dyDescent="0.2">
      <c r="A25" s="89" t="s">
        <v>784</v>
      </c>
      <c r="B25" s="91">
        <v>4.79</v>
      </c>
      <c r="C25" s="91">
        <v>5.8</v>
      </c>
      <c r="D25" s="91">
        <v>7.78</v>
      </c>
      <c r="E25" s="90"/>
    </row>
    <row r="26" spans="1:5" ht="15" thickBot="1" x14ac:dyDescent="0.2">
      <c r="A26" s="89" t="s">
        <v>785</v>
      </c>
      <c r="B26" s="91">
        <v>1.7</v>
      </c>
      <c r="C26" s="91">
        <v>1.7</v>
      </c>
      <c r="D26" s="91">
        <v>1.7</v>
      </c>
      <c r="E26" s="90"/>
    </row>
    <row r="27" spans="1:5" ht="15" thickBot="1" x14ac:dyDescent="0.2">
      <c r="A27" s="89" t="s">
        <v>786</v>
      </c>
      <c r="B27" s="90"/>
      <c r="C27" s="90"/>
      <c r="D27" s="90"/>
      <c r="E27" s="90">
        <v>1.84</v>
      </c>
    </row>
    <row r="29" spans="1:5" ht="15" thickBot="1" x14ac:dyDescent="0.2">
      <c r="A29" s="85" t="s">
        <v>1010</v>
      </c>
    </row>
    <row r="30" spans="1:5" ht="14" thickTop="1" x14ac:dyDescent="0.15">
      <c r="A30" s="124" t="s">
        <v>1129</v>
      </c>
      <c r="B30" s="125" t="s">
        <v>1130</v>
      </c>
      <c r="C30" s="126">
        <v>7700</v>
      </c>
      <c r="D30" s="126">
        <v>7700</v>
      </c>
      <c r="E30" s="127">
        <v>7700</v>
      </c>
    </row>
    <row r="31" spans="1:5" ht="28" x14ac:dyDescent="0.15">
      <c r="A31" s="128" t="s">
        <v>1131</v>
      </c>
      <c r="B31" s="26"/>
      <c r="C31" s="143" t="s">
        <v>1011</v>
      </c>
      <c r="D31" s="143" t="s">
        <v>1132</v>
      </c>
      <c r="E31" s="144" t="s">
        <v>1132</v>
      </c>
    </row>
    <row r="32" spans="1:5" x14ac:dyDescent="0.15">
      <c r="A32" s="128" t="s">
        <v>1133</v>
      </c>
      <c r="B32" s="34" t="s">
        <v>1134</v>
      </c>
      <c r="C32" s="131">
        <v>3.3268671193016495</v>
      </c>
      <c r="D32" s="131">
        <v>4.05</v>
      </c>
      <c r="E32" s="132">
        <v>4.287234233587129</v>
      </c>
    </row>
    <row r="33" spans="1:7" x14ac:dyDescent="0.15">
      <c r="A33" s="128" t="s">
        <v>1135</v>
      </c>
      <c r="B33" s="34"/>
      <c r="C33" s="131">
        <v>0.10313288069835114</v>
      </c>
      <c r="D33" s="131">
        <v>0.12554999999999999</v>
      </c>
      <c r="E33" s="132">
        <v>0.132904261241201</v>
      </c>
    </row>
    <row r="34" spans="1:7" x14ac:dyDescent="0.15">
      <c r="A34" s="128" t="s">
        <v>1000</v>
      </c>
      <c r="B34" s="34" t="s">
        <v>1134</v>
      </c>
      <c r="C34" s="131">
        <v>4.62</v>
      </c>
      <c r="D34" s="131">
        <v>7.5690999999999997</v>
      </c>
      <c r="E34" s="132">
        <v>8.0124702808504544</v>
      </c>
    </row>
    <row r="35" spans="1:7" x14ac:dyDescent="0.15">
      <c r="A35" s="128" t="s">
        <v>1001</v>
      </c>
      <c r="B35" s="34" t="s">
        <v>1134</v>
      </c>
      <c r="C35" s="131">
        <v>0.22561</v>
      </c>
      <c r="D35" s="131">
        <v>2.39547</v>
      </c>
      <c r="E35" s="132">
        <v>2.5357878986496201</v>
      </c>
    </row>
    <row r="36" spans="1:7" x14ac:dyDescent="0.15">
      <c r="A36" s="128" t="s">
        <v>1002</v>
      </c>
      <c r="B36" s="34" t="s">
        <v>1134</v>
      </c>
      <c r="C36" s="131">
        <v>3.619E-2</v>
      </c>
      <c r="D36" s="131">
        <v>0.68915000000000004</v>
      </c>
      <c r="E36" s="132">
        <v>0.729517894339894</v>
      </c>
    </row>
    <row r="37" spans="1:7" x14ac:dyDescent="0.15">
      <c r="A37" s="128" t="s">
        <v>1003</v>
      </c>
      <c r="B37" s="34" t="s">
        <v>1134</v>
      </c>
      <c r="C37" s="131">
        <v>2.9798999999999999E-2</v>
      </c>
      <c r="D37" s="131">
        <v>0.39832099999999998</v>
      </c>
      <c r="E37" s="132">
        <v>0.42165319189053307</v>
      </c>
    </row>
    <row r="38" spans="1:7" x14ac:dyDescent="0.15">
      <c r="A38" s="128" t="s">
        <v>1004</v>
      </c>
      <c r="B38" s="34" t="s">
        <v>1134</v>
      </c>
      <c r="C38" s="131">
        <v>6.93E-2</v>
      </c>
      <c r="D38" s="131">
        <v>6.93E-2</v>
      </c>
      <c r="E38" s="132">
        <v>6.93E-2</v>
      </c>
    </row>
    <row r="39" spans="1:7" x14ac:dyDescent="0.15">
      <c r="A39" s="128" t="s">
        <v>1005</v>
      </c>
      <c r="B39" s="34"/>
      <c r="C39" s="133">
        <v>0</v>
      </c>
      <c r="D39" s="133">
        <v>0.09</v>
      </c>
      <c r="E39" s="134">
        <v>0</v>
      </c>
    </row>
    <row r="40" spans="1:7" x14ac:dyDescent="0.15">
      <c r="A40" s="128"/>
      <c r="B40" s="34"/>
      <c r="C40" s="129"/>
      <c r="D40" s="129"/>
      <c r="E40" s="130"/>
    </row>
    <row r="41" spans="1:7" ht="15" x14ac:dyDescent="0.2">
      <c r="A41" s="135" t="s">
        <v>1006</v>
      </c>
      <c r="B41" s="136" t="s">
        <v>1134</v>
      </c>
      <c r="C41" s="137">
        <v>3.4</v>
      </c>
      <c r="D41" s="137">
        <v>3.8</v>
      </c>
      <c r="E41" s="138">
        <v>4.5</v>
      </c>
    </row>
    <row r="42" spans="1:7" x14ac:dyDescent="0.15">
      <c r="A42" s="128" t="s">
        <v>1007</v>
      </c>
      <c r="B42" s="34" t="s">
        <v>1134</v>
      </c>
      <c r="C42" s="131">
        <v>3.4313509999999998</v>
      </c>
      <c r="D42" s="131">
        <v>3.8330600000000001</v>
      </c>
      <c r="E42" s="132">
        <v>4.5391500000000002</v>
      </c>
    </row>
    <row r="43" spans="1:7" x14ac:dyDescent="0.15">
      <c r="A43" s="128" t="s">
        <v>1008</v>
      </c>
      <c r="B43" s="34" t="s">
        <v>1134</v>
      </c>
      <c r="C43" s="131">
        <v>3.3982644495781451</v>
      </c>
      <c r="D43" s="131">
        <v>3.7961</v>
      </c>
      <c r="E43" s="132">
        <v>4.4953815789473692</v>
      </c>
    </row>
    <row r="44" spans="1:7" ht="14" thickBot="1" x14ac:dyDescent="0.2">
      <c r="A44" s="139" t="s">
        <v>1009</v>
      </c>
      <c r="B44" s="140" t="s">
        <v>1134</v>
      </c>
      <c r="C44" s="141">
        <v>9.3055923061470522E-2</v>
      </c>
      <c r="D44" s="141">
        <v>0.10395</v>
      </c>
      <c r="E44" s="142">
        <v>0.12309868421052633</v>
      </c>
    </row>
    <row r="45" spans="1:7" ht="14" thickTop="1" x14ac:dyDescent="0.15"/>
    <row r="48" spans="1:7" x14ac:dyDescent="0.15">
      <c r="G48">
        <v>2014</v>
      </c>
    </row>
    <row r="49" spans="2:9" x14ac:dyDescent="0.15">
      <c r="B49" t="s">
        <v>1012</v>
      </c>
      <c r="C49" t="s">
        <v>1013</v>
      </c>
      <c r="E49" t="s">
        <v>1191</v>
      </c>
      <c r="F49" t="s">
        <v>1192</v>
      </c>
      <c r="G49" t="s">
        <v>1193</v>
      </c>
      <c r="I49" t="s">
        <v>1194</v>
      </c>
    </row>
    <row r="50" spans="2:9" x14ac:dyDescent="0.15">
      <c r="B50">
        <v>340</v>
      </c>
      <c r="C50">
        <v>5</v>
      </c>
      <c r="D50" s="7">
        <f>C50*60*60*24*365/1000000</f>
        <v>157.68</v>
      </c>
      <c r="E50" s="7">
        <f t="shared" ref="E50:E62" si="0">C50*60*60*24*365/1000000000</f>
        <v>0.15767999999999999</v>
      </c>
      <c r="F50">
        <v>116805</v>
      </c>
      <c r="G50">
        <v>150</v>
      </c>
      <c r="H50">
        <f t="shared" ref="H50:H61" si="1">2029+G50</f>
        <v>2179</v>
      </c>
    </row>
    <row r="51" spans="2:9" x14ac:dyDescent="0.15">
      <c r="B51">
        <v>310</v>
      </c>
      <c r="C51">
        <v>17</v>
      </c>
      <c r="D51" s="7">
        <f t="shared" ref="D51:D62" si="2">C51*60*60*24*365/1000000</f>
        <v>536.11199999999997</v>
      </c>
      <c r="E51" s="81">
        <f t="shared" si="0"/>
        <v>0.53611200000000003</v>
      </c>
      <c r="F51">
        <v>93047</v>
      </c>
      <c r="G51">
        <v>75</v>
      </c>
      <c r="H51">
        <f t="shared" si="1"/>
        <v>2104</v>
      </c>
    </row>
    <row r="52" spans="2:9" x14ac:dyDescent="0.15">
      <c r="B52">
        <v>280</v>
      </c>
      <c r="C52">
        <v>32</v>
      </c>
      <c r="D52" s="7">
        <f t="shared" si="2"/>
        <v>1009.152</v>
      </c>
      <c r="E52" s="81">
        <f t="shared" si="0"/>
        <v>1.009152</v>
      </c>
      <c r="F52">
        <v>72479</v>
      </c>
      <c r="G52">
        <v>48</v>
      </c>
      <c r="H52">
        <f t="shared" si="1"/>
        <v>2077</v>
      </c>
    </row>
    <row r="53" spans="2:9" x14ac:dyDescent="0.15">
      <c r="B53">
        <v>250</v>
      </c>
      <c r="C53">
        <v>46</v>
      </c>
      <c r="D53" s="7">
        <f t="shared" si="2"/>
        <v>1450.6559999999999</v>
      </c>
      <c r="E53" s="81">
        <f t="shared" si="0"/>
        <v>1.4506559999999999</v>
      </c>
      <c r="F53">
        <v>54889</v>
      </c>
      <c r="G53">
        <v>33</v>
      </c>
      <c r="H53">
        <f t="shared" si="1"/>
        <v>2062</v>
      </c>
    </row>
    <row r="54" spans="2:9" x14ac:dyDescent="0.15">
      <c r="B54">
        <v>220</v>
      </c>
      <c r="C54">
        <v>58</v>
      </c>
      <c r="D54" s="7">
        <f t="shared" si="2"/>
        <v>1829.088</v>
      </c>
      <c r="E54" s="81">
        <f t="shared" si="0"/>
        <v>1.829088</v>
      </c>
      <c r="F54">
        <v>40096</v>
      </c>
      <c r="G54">
        <v>23</v>
      </c>
      <c r="H54">
        <f t="shared" si="1"/>
        <v>2052</v>
      </c>
    </row>
    <row r="55" spans="2:9" x14ac:dyDescent="0.15">
      <c r="B55">
        <v>190</v>
      </c>
      <c r="C55">
        <v>70</v>
      </c>
      <c r="D55" s="7">
        <f t="shared" si="2"/>
        <v>2207.52</v>
      </c>
      <c r="E55" s="81">
        <f t="shared" si="0"/>
        <v>2.2075200000000001</v>
      </c>
      <c r="F55">
        <v>27965</v>
      </c>
      <c r="G55">
        <v>16</v>
      </c>
      <c r="H55">
        <f t="shared" si="1"/>
        <v>2045</v>
      </c>
    </row>
    <row r="56" spans="2:9" x14ac:dyDescent="0.15">
      <c r="B56">
        <v>160</v>
      </c>
      <c r="C56">
        <v>80</v>
      </c>
      <c r="D56" s="7">
        <f t="shared" si="2"/>
        <v>2522.88</v>
      </c>
      <c r="E56" s="81">
        <f t="shared" si="0"/>
        <v>2.5228799999999998</v>
      </c>
      <c r="F56">
        <v>18194</v>
      </c>
      <c r="G56">
        <v>10</v>
      </c>
      <c r="H56">
        <f t="shared" si="1"/>
        <v>2039</v>
      </c>
    </row>
    <row r="57" spans="2:9" x14ac:dyDescent="0.15">
      <c r="B57">
        <v>130</v>
      </c>
      <c r="C57">
        <v>90</v>
      </c>
      <c r="D57" s="7">
        <f t="shared" si="2"/>
        <v>2838.24</v>
      </c>
      <c r="E57" s="81">
        <f t="shared" si="0"/>
        <v>2.8382399999999999</v>
      </c>
      <c r="F57">
        <v>10671</v>
      </c>
      <c r="G57">
        <v>5</v>
      </c>
      <c r="H57">
        <f t="shared" si="1"/>
        <v>2034</v>
      </c>
    </row>
    <row r="58" spans="2:9" x14ac:dyDescent="0.15">
      <c r="B58">
        <v>100</v>
      </c>
      <c r="C58">
        <v>99</v>
      </c>
      <c r="D58" s="7">
        <f t="shared" si="2"/>
        <v>3122.0639999999999</v>
      </c>
      <c r="E58" s="81">
        <f t="shared" si="0"/>
        <v>3.122064</v>
      </c>
      <c r="F58">
        <v>5226</v>
      </c>
      <c r="G58">
        <v>3</v>
      </c>
      <c r="H58">
        <f t="shared" si="1"/>
        <v>2032</v>
      </c>
    </row>
    <row r="59" spans="2:9" x14ac:dyDescent="0.15">
      <c r="B59">
        <v>85</v>
      </c>
      <c r="C59">
        <v>103</v>
      </c>
      <c r="D59" s="7">
        <f t="shared" si="2"/>
        <v>3248.2080000000001</v>
      </c>
      <c r="E59" s="81">
        <f t="shared" si="0"/>
        <v>3.248208</v>
      </c>
      <c r="F59">
        <v>3312</v>
      </c>
      <c r="G59">
        <v>2</v>
      </c>
      <c r="H59">
        <f t="shared" si="1"/>
        <v>2031</v>
      </c>
    </row>
    <row r="60" spans="2:9" x14ac:dyDescent="0.15">
      <c r="B60">
        <v>75</v>
      </c>
      <c r="C60">
        <v>105</v>
      </c>
      <c r="D60" s="7">
        <f t="shared" si="2"/>
        <v>3311.28</v>
      </c>
      <c r="E60" s="81">
        <f t="shared" si="0"/>
        <v>3.31128</v>
      </c>
      <c r="F60">
        <v>2190</v>
      </c>
      <c r="G60">
        <v>1.5</v>
      </c>
      <c r="H60">
        <f t="shared" si="1"/>
        <v>2030.5</v>
      </c>
    </row>
    <row r="61" spans="2:9" x14ac:dyDescent="0.15">
      <c r="B61">
        <v>70</v>
      </c>
      <c r="C61">
        <v>107</v>
      </c>
      <c r="D61" s="7">
        <f t="shared" si="2"/>
        <v>3374.3519999999999</v>
      </c>
      <c r="E61" s="81">
        <f t="shared" si="0"/>
        <v>3.374352</v>
      </c>
      <c r="F61">
        <v>1713</v>
      </c>
      <c r="G61">
        <v>1</v>
      </c>
      <c r="H61">
        <f t="shared" si="1"/>
        <v>2030</v>
      </c>
    </row>
    <row r="62" spans="2:9" x14ac:dyDescent="0.15">
      <c r="B62">
        <v>40</v>
      </c>
      <c r="C62">
        <v>113</v>
      </c>
      <c r="D62" s="7">
        <f t="shared" si="2"/>
        <v>3563.5680000000002</v>
      </c>
      <c r="E62" s="81">
        <f t="shared" si="0"/>
        <v>3.5635680000000001</v>
      </c>
      <c r="F62">
        <v>0</v>
      </c>
      <c r="G62">
        <v>0</v>
      </c>
      <c r="H62">
        <f>2029+G62</f>
        <v>2029</v>
      </c>
    </row>
    <row r="66" spans="3:4" x14ac:dyDescent="0.15">
      <c r="C66">
        <v>0</v>
      </c>
      <c r="D66">
        <v>2164</v>
      </c>
    </row>
    <row r="67" spans="3:4" x14ac:dyDescent="0.15">
      <c r="C67">
        <v>536.11199999999997</v>
      </c>
      <c r="D67">
        <v>2089</v>
      </c>
    </row>
    <row r="68" spans="3:4" x14ac:dyDescent="0.15">
      <c r="C68">
        <v>1009.152</v>
      </c>
      <c r="D68">
        <v>2062</v>
      </c>
    </row>
    <row r="69" spans="3:4" x14ac:dyDescent="0.15">
      <c r="C69">
        <v>1450.6559999999999</v>
      </c>
      <c r="D69">
        <v>2049</v>
      </c>
    </row>
    <row r="70" spans="3:4" x14ac:dyDescent="0.15">
      <c r="C70">
        <v>1829.088</v>
      </c>
      <c r="D70">
        <v>2039</v>
      </c>
    </row>
    <row r="71" spans="3:4" x14ac:dyDescent="0.15">
      <c r="C71">
        <v>2207.52</v>
      </c>
      <c r="D71">
        <v>2030</v>
      </c>
    </row>
    <row r="72" spans="3:4" x14ac:dyDescent="0.15">
      <c r="C72">
        <v>2522.88</v>
      </c>
      <c r="D72">
        <v>2024</v>
      </c>
    </row>
    <row r="73" spans="3:4" x14ac:dyDescent="0.15">
      <c r="C73">
        <v>2838.24</v>
      </c>
      <c r="D73">
        <v>2019</v>
      </c>
    </row>
    <row r="74" spans="3:4" x14ac:dyDescent="0.15">
      <c r="C74">
        <v>3122.0639999999999</v>
      </c>
      <c r="D74">
        <v>2017</v>
      </c>
    </row>
    <row r="75" spans="3:4" x14ac:dyDescent="0.15">
      <c r="C75">
        <v>3248.2080000000001</v>
      </c>
      <c r="D75">
        <v>2016</v>
      </c>
    </row>
    <row r="76" spans="3:4" x14ac:dyDescent="0.15">
      <c r="C76">
        <v>3311.28</v>
      </c>
      <c r="D76">
        <v>2015.5</v>
      </c>
    </row>
    <row r="77" spans="3:4" x14ac:dyDescent="0.15">
      <c r="C77">
        <v>3374.3519999999999</v>
      </c>
      <c r="D77">
        <v>2015</v>
      </c>
    </row>
    <row r="78" spans="3:4" x14ac:dyDescent="0.15">
      <c r="C78">
        <v>3563.5680000000002</v>
      </c>
      <c r="D78">
        <v>2014</v>
      </c>
    </row>
  </sheetData>
  <mergeCells count="3">
    <mergeCell ref="A2:A4"/>
    <mergeCell ref="A14:A15"/>
    <mergeCell ref="E14:E15"/>
  </mergeCells>
  <phoneticPr fontId="8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24"/>
  <sheetViews>
    <sheetView workbookViewId="0">
      <selection activeCell="A2" sqref="A2:E24"/>
    </sheetView>
  </sheetViews>
  <sheetFormatPr baseColWidth="10" defaultRowHeight="13" x14ac:dyDescent="0.15"/>
  <cols>
    <col min="2" max="2" width="12.6640625" customWidth="1"/>
  </cols>
  <sheetData>
    <row r="2" spans="1:9" ht="28" x14ac:dyDescent="0.15">
      <c r="B2" s="32" t="s">
        <v>841</v>
      </c>
      <c r="C2" s="32" t="s">
        <v>841</v>
      </c>
      <c r="D2" s="32" t="s">
        <v>842</v>
      </c>
      <c r="E2" s="32" t="s">
        <v>843</v>
      </c>
      <c r="F2" s="32" t="s">
        <v>1092</v>
      </c>
    </row>
    <row r="3" spans="1:9" x14ac:dyDescent="0.15">
      <c r="B3" t="s">
        <v>882</v>
      </c>
      <c r="C3" t="s">
        <v>844</v>
      </c>
      <c r="D3" t="s">
        <v>844</v>
      </c>
      <c r="E3" t="s">
        <v>844</v>
      </c>
      <c r="G3" t="s">
        <v>1093</v>
      </c>
      <c r="H3" t="s">
        <v>1094</v>
      </c>
    </row>
    <row r="4" spans="1:9" x14ac:dyDescent="0.15">
      <c r="A4" t="s">
        <v>659</v>
      </c>
      <c r="B4" s="81">
        <v>1.6155555555555552</v>
      </c>
      <c r="C4" s="15">
        <v>1615.5555555555552</v>
      </c>
      <c r="D4" s="15">
        <v>2224.4444444444443</v>
      </c>
      <c r="E4" s="15">
        <v>17754.126977835083</v>
      </c>
    </row>
    <row r="5" spans="1:9" x14ac:dyDescent="0.15">
      <c r="A5" t="s">
        <v>660</v>
      </c>
      <c r="B5" s="7">
        <v>110.88888888888887</v>
      </c>
      <c r="C5" s="15">
        <v>110888.88888888888</v>
      </c>
      <c r="D5" s="15">
        <v>154444.44444444441</v>
      </c>
      <c r="E5" s="15">
        <v>285406.30053035892</v>
      </c>
    </row>
    <row r="6" spans="1:9" x14ac:dyDescent="0.15">
      <c r="A6" t="s">
        <v>661</v>
      </c>
      <c r="B6" s="81">
        <v>3.3933333333333331</v>
      </c>
      <c r="C6" s="15">
        <v>3393.333333333333</v>
      </c>
      <c r="D6" s="15" t="s">
        <v>845</v>
      </c>
      <c r="E6" s="15">
        <v>17277.505225832185</v>
      </c>
      <c r="F6">
        <f>E6/E5</f>
        <v>6.0536523523573582E-2</v>
      </c>
      <c r="G6" s="102">
        <v>1.4999999999999999E-2</v>
      </c>
      <c r="H6">
        <f>G6/F6</f>
        <v>0.2477842982535797</v>
      </c>
      <c r="I6">
        <f>1.6*0.25</f>
        <v>0.4</v>
      </c>
    </row>
    <row r="7" spans="1:9" x14ac:dyDescent="0.15">
      <c r="A7" t="s">
        <v>846</v>
      </c>
      <c r="B7" s="81">
        <v>0.59848745561138905</v>
      </c>
      <c r="C7" s="7">
        <v>598.48745561138901</v>
      </c>
      <c r="D7" s="7" t="s">
        <v>845</v>
      </c>
      <c r="E7" s="7">
        <v>3047.2603561652604</v>
      </c>
    </row>
    <row r="8" spans="1:9" x14ac:dyDescent="0.15">
      <c r="A8" t="s">
        <v>662</v>
      </c>
      <c r="B8" s="81">
        <v>7.9333333333333339E-2</v>
      </c>
      <c r="C8" s="15">
        <v>79.333333333333343</v>
      </c>
      <c r="D8" s="15">
        <v>315.55555555555554</v>
      </c>
      <c r="E8" s="15">
        <v>96.90943242447419</v>
      </c>
    </row>
    <row r="9" spans="1:9" x14ac:dyDescent="0.15">
      <c r="A9" t="s">
        <v>663</v>
      </c>
      <c r="B9" s="7">
        <v>269.33333333333331</v>
      </c>
      <c r="C9" s="15">
        <v>269333.33333333331</v>
      </c>
      <c r="D9" s="15">
        <v>260000</v>
      </c>
      <c r="E9" s="15">
        <v>1653905.5486652714</v>
      </c>
    </row>
    <row r="10" spans="1:9" x14ac:dyDescent="0.15">
      <c r="A10" t="s">
        <v>664</v>
      </c>
      <c r="B10" s="17">
        <v>83.7777777777778</v>
      </c>
      <c r="C10" s="15">
        <v>83777.777777777796</v>
      </c>
      <c r="D10" s="15">
        <v>141777.77777777775</v>
      </c>
      <c r="E10" s="15">
        <v>581425.79721496301</v>
      </c>
    </row>
    <row r="11" spans="1:9" x14ac:dyDescent="0.15">
      <c r="A11" t="s">
        <v>665</v>
      </c>
      <c r="B11" s="17">
        <v>59.688888888888897</v>
      </c>
      <c r="C11" s="15">
        <v>59688.888888888898</v>
      </c>
      <c r="D11" s="15">
        <v>39266.666666666672</v>
      </c>
      <c r="E11" s="15">
        <v>233647.30971293963</v>
      </c>
    </row>
    <row r="12" spans="1:9" x14ac:dyDescent="0.15">
      <c r="A12" t="s">
        <v>666</v>
      </c>
      <c r="B12" s="81">
        <v>4.7733333333333325</v>
      </c>
      <c r="C12" s="15">
        <v>4773.3333333333321</v>
      </c>
      <c r="D12" s="15">
        <v>37066.666666666664</v>
      </c>
      <c r="E12" s="15">
        <v>82388.120512546331</v>
      </c>
    </row>
    <row r="13" spans="1:9" x14ac:dyDescent="0.15">
      <c r="A13" t="s">
        <v>667</v>
      </c>
      <c r="B13" s="7">
        <v>104.66666666666667</v>
      </c>
      <c r="C13" s="15">
        <v>104666.66666666667</v>
      </c>
      <c r="D13" s="15">
        <v>34377.777777777774</v>
      </c>
      <c r="E13" s="15">
        <v>170658.77986801986</v>
      </c>
    </row>
    <row r="14" spans="1:9" x14ac:dyDescent="0.15">
      <c r="A14" t="s">
        <v>668</v>
      </c>
      <c r="B14" s="99">
        <v>3.8666666666666669E-2</v>
      </c>
      <c r="C14" s="16">
        <v>38.666666666666671</v>
      </c>
      <c r="D14" s="16">
        <v>12.511111111111109</v>
      </c>
      <c r="E14" s="17">
        <v>12.994962147480232</v>
      </c>
    </row>
    <row r="15" spans="1:9" x14ac:dyDescent="0.15">
      <c r="A15" t="s">
        <v>669</v>
      </c>
      <c r="B15" s="99">
        <v>6.5977777777777774E-2</v>
      </c>
      <c r="C15" s="16">
        <v>65.977777777777774</v>
      </c>
      <c r="D15" s="16">
        <v>39.199999999999996</v>
      </c>
      <c r="E15" s="7">
        <v>216.35458450451142</v>
      </c>
    </row>
    <row r="16" spans="1:9" x14ac:dyDescent="0.15">
      <c r="A16" t="s">
        <v>670</v>
      </c>
      <c r="B16" s="100">
        <v>4.6666666666666665E-5</v>
      </c>
      <c r="C16" s="83">
        <v>4.6666666666666662E-2</v>
      </c>
      <c r="D16" s="83">
        <v>6.9555555555555551E-2</v>
      </c>
      <c r="E16" s="81">
        <v>0.11079310641027999</v>
      </c>
    </row>
    <row r="17" spans="1:5" x14ac:dyDescent="0.15">
      <c r="A17" t="s">
        <v>671</v>
      </c>
      <c r="B17" s="101">
        <v>6.7777777777777782E-5</v>
      </c>
      <c r="C17" s="83">
        <v>6.7777777777777784E-2</v>
      </c>
      <c r="D17" s="83">
        <v>0.10688888888888887</v>
      </c>
      <c r="E17" s="81">
        <v>0.2826613378502722</v>
      </c>
    </row>
    <row r="18" spans="1:5" x14ac:dyDescent="0.15">
      <c r="A18" t="s">
        <v>672</v>
      </c>
      <c r="B18" s="101">
        <v>6.7333333333333329E-4</v>
      </c>
      <c r="C18" s="83">
        <v>0.67333333333333334</v>
      </c>
      <c r="D18" s="83">
        <v>0.16311111111111107</v>
      </c>
      <c r="E18" s="81">
        <v>0.24402618213552499</v>
      </c>
    </row>
    <row r="19" spans="1:5" x14ac:dyDescent="0.15">
      <c r="A19" t="s">
        <v>836</v>
      </c>
      <c r="B19" s="99">
        <v>9.5777777777777753E-3</v>
      </c>
      <c r="C19" s="83">
        <v>9.5777777777777757</v>
      </c>
      <c r="D19" s="83">
        <v>1.357777777777778</v>
      </c>
      <c r="E19" s="17">
        <v>11.667708790027499</v>
      </c>
    </row>
    <row r="20" spans="1:5" x14ac:dyDescent="0.15">
      <c r="A20" t="s">
        <v>847</v>
      </c>
      <c r="B20" s="102">
        <v>9.4311111111111089E-3</v>
      </c>
      <c r="C20" s="83">
        <v>9.4311111111111092</v>
      </c>
      <c r="D20" s="83">
        <v>5.3066666666666658</v>
      </c>
      <c r="E20" s="7">
        <v>150.45440364987547</v>
      </c>
    </row>
    <row r="21" spans="1:5" x14ac:dyDescent="0.15">
      <c r="A21" t="s">
        <v>837</v>
      </c>
      <c r="B21" s="99">
        <v>2.0199999999999999E-2</v>
      </c>
      <c r="C21" s="16">
        <v>20.2</v>
      </c>
      <c r="D21" s="16">
        <v>22.955555555555552</v>
      </c>
      <c r="E21" s="7">
        <v>133.56260603034949</v>
      </c>
    </row>
    <row r="22" spans="1:5" x14ac:dyDescent="0.15">
      <c r="A22" t="s">
        <v>838</v>
      </c>
      <c r="B22" s="101">
        <v>4.35E-4</v>
      </c>
      <c r="C22" s="83">
        <v>0.435</v>
      </c>
      <c r="D22" s="83">
        <v>0.6313333333333333</v>
      </c>
      <c r="E22" s="81">
        <v>1.1738667477608846</v>
      </c>
    </row>
    <row r="23" spans="1:5" x14ac:dyDescent="0.15">
      <c r="A23" t="s">
        <v>839</v>
      </c>
      <c r="B23" s="100">
        <v>4.5666666666666674E-5</v>
      </c>
      <c r="C23" s="83">
        <v>4.5666666666666675E-2</v>
      </c>
      <c r="D23" s="83">
        <v>0</v>
      </c>
      <c r="E23" t="s">
        <v>848</v>
      </c>
    </row>
    <row r="24" spans="1:5" x14ac:dyDescent="0.15">
      <c r="A24" t="s">
        <v>849</v>
      </c>
      <c r="B24" t="s">
        <v>848</v>
      </c>
      <c r="C24" t="s">
        <v>848</v>
      </c>
      <c r="D24" s="83">
        <v>0.19266666666666668</v>
      </c>
      <c r="E24" t="s">
        <v>848</v>
      </c>
    </row>
  </sheetData>
  <phoneticPr fontId="8" type="noConversion"/>
  <pageMargins left="0.78740157499999996" right="0.78740157499999996" top="1" bottom="1" header="0" footer="0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W117"/>
  <sheetViews>
    <sheetView workbookViewId="0">
      <selection activeCell="P21" sqref="P21"/>
    </sheetView>
  </sheetViews>
  <sheetFormatPr baseColWidth="10" defaultRowHeight="13" x14ac:dyDescent="0.15"/>
  <cols>
    <col min="1" max="1" width="11.1640625" customWidth="1"/>
    <col min="2" max="2" width="7.5" customWidth="1"/>
    <col min="3" max="3" width="9.33203125" customWidth="1"/>
    <col min="4" max="4" width="8.5" customWidth="1"/>
    <col min="5" max="5" width="8.83203125" customWidth="1"/>
    <col min="6" max="6" width="8.6640625" customWidth="1"/>
    <col min="7" max="8" width="8.5" customWidth="1"/>
    <col min="9" max="9" width="9.33203125" customWidth="1"/>
    <col min="10" max="10" width="8.83203125" customWidth="1"/>
    <col min="11" max="11" width="8.5" customWidth="1"/>
  </cols>
  <sheetData>
    <row r="1" spans="1:49" ht="15" customHeight="1" x14ac:dyDescent="0.15">
      <c r="A1" s="196" t="s">
        <v>696</v>
      </c>
      <c r="B1" s="196"/>
      <c r="C1" s="196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</row>
    <row r="2" spans="1:49" ht="15" customHeight="1" thickBot="1" x14ac:dyDescent="0.2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04"/>
      <c r="AS2" s="104"/>
      <c r="AT2" s="104"/>
      <c r="AU2" s="104"/>
      <c r="AV2" s="104"/>
      <c r="AW2" s="104"/>
    </row>
    <row r="3" spans="1:49" ht="15" customHeight="1" thickBot="1" x14ac:dyDescent="0.2">
      <c r="A3" s="197"/>
      <c r="B3" s="197"/>
      <c r="C3" s="197"/>
      <c r="D3" s="197"/>
      <c r="E3" s="197"/>
      <c r="F3" s="194" t="s">
        <v>697</v>
      </c>
      <c r="G3" s="194"/>
      <c r="H3" s="105" t="s">
        <v>698</v>
      </c>
      <c r="I3" s="105" t="s">
        <v>699</v>
      </c>
      <c r="J3" s="105" t="s">
        <v>700</v>
      </c>
      <c r="K3" s="105" t="s">
        <v>532</v>
      </c>
      <c r="L3" s="105" t="s">
        <v>533</v>
      </c>
      <c r="M3" s="105" t="s">
        <v>534</v>
      </c>
      <c r="N3" s="105" t="s">
        <v>535</v>
      </c>
      <c r="O3" s="105" t="s">
        <v>536</v>
      </c>
      <c r="P3" s="105" t="s">
        <v>537</v>
      </c>
      <c r="Q3" s="105" t="s">
        <v>659</v>
      </c>
      <c r="R3" s="105" t="s">
        <v>660</v>
      </c>
      <c r="S3" s="105" t="s">
        <v>661</v>
      </c>
      <c r="T3" s="105" t="s">
        <v>663</v>
      </c>
      <c r="U3" s="105" t="s">
        <v>538</v>
      </c>
      <c r="V3" s="105" t="s">
        <v>539</v>
      </c>
      <c r="W3" s="105" t="s">
        <v>540</v>
      </c>
      <c r="X3" s="105" t="s">
        <v>541</v>
      </c>
      <c r="Y3" s="105" t="s">
        <v>664</v>
      </c>
      <c r="Z3" s="105" t="s">
        <v>665</v>
      </c>
      <c r="AA3" s="105" t="s">
        <v>666</v>
      </c>
      <c r="AB3" s="105" t="s">
        <v>667</v>
      </c>
      <c r="AC3" s="105" t="s">
        <v>542</v>
      </c>
      <c r="AD3" s="105" t="s">
        <v>543</v>
      </c>
      <c r="AE3" s="105" t="s">
        <v>849</v>
      </c>
      <c r="AF3" s="105" t="s">
        <v>544</v>
      </c>
      <c r="AG3" s="105" t="s">
        <v>668</v>
      </c>
      <c r="AH3" s="105" t="s">
        <v>669</v>
      </c>
      <c r="AI3" s="105" t="s">
        <v>670</v>
      </c>
      <c r="AJ3" s="105" t="s">
        <v>671</v>
      </c>
      <c r="AK3" s="105" t="s">
        <v>672</v>
      </c>
      <c r="AL3" s="105" t="s">
        <v>836</v>
      </c>
      <c r="AM3" s="105" t="s">
        <v>545</v>
      </c>
      <c r="AN3" s="105" t="s">
        <v>546</v>
      </c>
      <c r="AO3" s="105" t="s">
        <v>837</v>
      </c>
      <c r="AP3" s="105" t="s">
        <v>838</v>
      </c>
      <c r="AQ3" s="105" t="s">
        <v>547</v>
      </c>
      <c r="AR3" s="105" t="s">
        <v>839</v>
      </c>
      <c r="AS3" s="105" t="s">
        <v>548</v>
      </c>
      <c r="AT3" s="105" t="s">
        <v>847</v>
      </c>
      <c r="AU3" s="105" t="s">
        <v>756</v>
      </c>
      <c r="AV3" s="105" t="s">
        <v>757</v>
      </c>
      <c r="AW3" s="105" t="s">
        <v>662</v>
      </c>
    </row>
    <row r="4" spans="1:49" ht="15" customHeight="1" thickBot="1" x14ac:dyDescent="0.2">
      <c r="A4" s="197"/>
      <c r="B4" s="197"/>
      <c r="C4" s="197"/>
      <c r="D4" s="197"/>
      <c r="E4" s="197"/>
      <c r="F4" s="105" t="s">
        <v>758</v>
      </c>
      <c r="G4" s="105" t="s">
        <v>759</v>
      </c>
      <c r="H4" s="105" t="s">
        <v>760</v>
      </c>
      <c r="I4" s="105" t="s">
        <v>761</v>
      </c>
      <c r="J4" s="105" t="s">
        <v>762</v>
      </c>
      <c r="K4" s="105" t="s">
        <v>763</v>
      </c>
      <c r="L4" s="105" t="s">
        <v>764</v>
      </c>
      <c r="M4" s="105" t="s">
        <v>764</v>
      </c>
      <c r="N4" s="105" t="s">
        <v>764</v>
      </c>
      <c r="O4" s="105" t="s">
        <v>764</v>
      </c>
      <c r="P4" s="105" t="s">
        <v>764</v>
      </c>
      <c r="Q4" s="105" t="s">
        <v>764</v>
      </c>
      <c r="R4" s="105" t="s">
        <v>764</v>
      </c>
      <c r="S4" s="105" t="s">
        <v>764</v>
      </c>
      <c r="T4" s="105" t="s">
        <v>764</v>
      </c>
      <c r="U4" s="105" t="s">
        <v>764</v>
      </c>
      <c r="V4" s="105" t="s">
        <v>760</v>
      </c>
      <c r="W4" s="105" t="s">
        <v>765</v>
      </c>
      <c r="X4" s="105" t="s">
        <v>760</v>
      </c>
      <c r="Y4" s="105" t="s">
        <v>764</v>
      </c>
      <c r="Z4" s="105" t="s">
        <v>764</v>
      </c>
      <c r="AA4" s="105" t="s">
        <v>764</v>
      </c>
      <c r="AB4" s="105" t="s">
        <v>764</v>
      </c>
      <c r="AC4" s="105" t="s">
        <v>764</v>
      </c>
      <c r="AD4" s="105" t="s">
        <v>766</v>
      </c>
      <c r="AE4" s="105" t="s">
        <v>766</v>
      </c>
      <c r="AF4" s="105" t="s">
        <v>766</v>
      </c>
      <c r="AG4" s="105" t="s">
        <v>766</v>
      </c>
      <c r="AH4" s="105" t="s">
        <v>766</v>
      </c>
      <c r="AI4" s="105" t="s">
        <v>766</v>
      </c>
      <c r="AJ4" s="105" t="s">
        <v>766</v>
      </c>
      <c r="AK4" s="105" t="s">
        <v>766</v>
      </c>
      <c r="AL4" s="105" t="s">
        <v>766</v>
      </c>
      <c r="AM4" s="105" t="s">
        <v>764</v>
      </c>
      <c r="AN4" s="105" t="s">
        <v>766</v>
      </c>
      <c r="AO4" s="105" t="s">
        <v>766</v>
      </c>
      <c r="AP4" s="105" t="s">
        <v>766</v>
      </c>
      <c r="AQ4" s="105" t="s">
        <v>766</v>
      </c>
      <c r="AR4" s="105" t="s">
        <v>766</v>
      </c>
      <c r="AS4" s="105" t="s">
        <v>766</v>
      </c>
      <c r="AT4" s="105" t="s">
        <v>766</v>
      </c>
      <c r="AU4" s="105" t="s">
        <v>767</v>
      </c>
      <c r="AV4" s="105" t="s">
        <v>764</v>
      </c>
      <c r="AW4" s="105" t="s">
        <v>764</v>
      </c>
    </row>
    <row r="5" spans="1:49" ht="15" customHeight="1" thickBot="1" x14ac:dyDescent="0.2">
      <c r="A5" s="105" t="s">
        <v>769</v>
      </c>
      <c r="B5" s="105" t="s">
        <v>768</v>
      </c>
      <c r="C5" s="194" t="s">
        <v>770</v>
      </c>
      <c r="D5" s="194"/>
      <c r="E5" s="105" t="s">
        <v>760</v>
      </c>
      <c r="F5" s="103"/>
      <c r="G5" s="103"/>
      <c r="H5" s="103" t="s">
        <v>771</v>
      </c>
      <c r="I5" s="103" t="s">
        <v>772</v>
      </c>
      <c r="J5" s="103">
        <v>2.6</v>
      </c>
      <c r="K5" s="103" t="s">
        <v>774</v>
      </c>
      <c r="L5" s="103" t="s">
        <v>775</v>
      </c>
      <c r="M5" s="103" t="s">
        <v>776</v>
      </c>
      <c r="N5" s="103" t="s">
        <v>777</v>
      </c>
      <c r="O5" s="103" t="s">
        <v>778</v>
      </c>
      <c r="P5" s="103" t="s">
        <v>641</v>
      </c>
      <c r="Q5" s="103" t="s">
        <v>642</v>
      </c>
      <c r="R5" s="103" t="s">
        <v>773</v>
      </c>
      <c r="S5" s="103" t="s">
        <v>694</v>
      </c>
      <c r="T5" s="103" t="s">
        <v>643</v>
      </c>
      <c r="U5" s="103" t="s">
        <v>644</v>
      </c>
      <c r="V5" s="103" t="s">
        <v>645</v>
      </c>
      <c r="W5" s="103" t="s">
        <v>646</v>
      </c>
      <c r="X5" s="103" t="s">
        <v>647</v>
      </c>
      <c r="Y5" s="103">
        <v>97.2</v>
      </c>
      <c r="Z5" s="103">
        <v>9.18</v>
      </c>
      <c r="AA5" s="103">
        <v>19.3</v>
      </c>
      <c r="AB5" s="103" t="s">
        <v>650</v>
      </c>
      <c r="AC5" s="103" t="s">
        <v>651</v>
      </c>
      <c r="AD5" s="103" t="s">
        <v>652</v>
      </c>
      <c r="AE5" s="103" t="s">
        <v>1162</v>
      </c>
      <c r="AF5" s="103" t="s">
        <v>653</v>
      </c>
      <c r="AG5" s="106">
        <v>2.5000000000000001E-2</v>
      </c>
      <c r="AH5" s="103">
        <v>30.1</v>
      </c>
      <c r="AI5" s="106">
        <v>1E-3</v>
      </c>
      <c r="AJ5" s="103">
        <v>6.0900000000000003E-2</v>
      </c>
      <c r="AK5" s="103">
        <v>1.55E-2</v>
      </c>
      <c r="AL5" s="103">
        <v>0.17499999999999999</v>
      </c>
      <c r="AM5" s="103" t="s">
        <v>404</v>
      </c>
      <c r="AN5" s="103" t="s">
        <v>405</v>
      </c>
      <c r="AO5" s="103">
        <v>0.94399999999999995</v>
      </c>
      <c r="AP5" s="103">
        <v>0.40400000000000003</v>
      </c>
      <c r="AQ5" s="103" t="s">
        <v>406</v>
      </c>
      <c r="AR5" s="103" t="s">
        <v>693</v>
      </c>
      <c r="AS5" s="103">
        <v>1.9099999999999999E-2</v>
      </c>
      <c r="AT5" s="103">
        <v>4.45</v>
      </c>
      <c r="AU5" s="103" t="s">
        <v>407</v>
      </c>
      <c r="AV5" s="103"/>
      <c r="AW5" s="103"/>
    </row>
    <row r="6" spans="1:49" ht="15" customHeight="1" thickBot="1" x14ac:dyDescent="0.2">
      <c r="A6" s="105" t="s">
        <v>408</v>
      </c>
      <c r="B6" s="105" t="s">
        <v>768</v>
      </c>
      <c r="C6" s="194" t="s">
        <v>409</v>
      </c>
      <c r="D6" s="194"/>
      <c r="E6" s="105" t="s">
        <v>760</v>
      </c>
      <c r="F6" s="103"/>
      <c r="G6" s="103"/>
      <c r="H6" s="103" t="s">
        <v>771</v>
      </c>
      <c r="I6" s="103" t="s">
        <v>410</v>
      </c>
      <c r="J6" s="103">
        <v>2.5</v>
      </c>
      <c r="K6" s="103"/>
      <c r="L6" s="103" t="s">
        <v>411</v>
      </c>
      <c r="M6" s="103" t="s">
        <v>412</v>
      </c>
      <c r="N6" s="103" t="s">
        <v>777</v>
      </c>
      <c r="O6" s="103" t="s">
        <v>413</v>
      </c>
      <c r="P6" s="103" t="s">
        <v>414</v>
      </c>
      <c r="Q6" s="103" t="s">
        <v>683</v>
      </c>
      <c r="R6" s="103" t="s">
        <v>415</v>
      </c>
      <c r="S6" s="103" t="s">
        <v>694</v>
      </c>
      <c r="T6" s="103" t="s">
        <v>416</v>
      </c>
      <c r="U6" s="103" t="s">
        <v>417</v>
      </c>
      <c r="V6" s="103" t="s">
        <v>418</v>
      </c>
      <c r="W6" s="103" t="s">
        <v>419</v>
      </c>
      <c r="X6" s="103" t="s">
        <v>420</v>
      </c>
      <c r="Y6" s="103">
        <v>71</v>
      </c>
      <c r="Z6" s="103">
        <v>11.9</v>
      </c>
      <c r="AA6" s="103">
        <v>16.899999999999999</v>
      </c>
      <c r="AB6" s="103" t="s">
        <v>421</v>
      </c>
      <c r="AC6" s="103" t="s">
        <v>648</v>
      </c>
      <c r="AD6" s="103" t="s">
        <v>422</v>
      </c>
      <c r="AE6" s="103" t="s">
        <v>1162</v>
      </c>
      <c r="AF6" s="103" t="s">
        <v>423</v>
      </c>
      <c r="AG6" s="106">
        <v>2.5000000000000001E-2</v>
      </c>
      <c r="AH6" s="103">
        <v>30</v>
      </c>
      <c r="AI6" s="106">
        <v>1E-3</v>
      </c>
      <c r="AJ6" s="103">
        <v>7.8E-2</v>
      </c>
      <c r="AK6" s="106">
        <v>5.0000000000000001E-3</v>
      </c>
      <c r="AL6" s="103">
        <v>0.124</v>
      </c>
      <c r="AM6" s="103" t="s">
        <v>424</v>
      </c>
      <c r="AN6" s="103" t="s">
        <v>425</v>
      </c>
      <c r="AO6" s="103" t="s">
        <v>426</v>
      </c>
      <c r="AP6" s="103">
        <v>0.45400000000000001</v>
      </c>
      <c r="AQ6" s="103" t="s">
        <v>406</v>
      </c>
      <c r="AR6" s="103" t="s">
        <v>693</v>
      </c>
      <c r="AS6" s="103">
        <v>9.7000000000000003E-3</v>
      </c>
      <c r="AT6" s="103">
        <v>1.19</v>
      </c>
      <c r="AU6" s="103" t="s">
        <v>427</v>
      </c>
      <c r="AV6" s="103"/>
      <c r="AW6" s="103"/>
    </row>
    <row r="7" spans="1:49" ht="15" customHeight="1" thickBot="1" x14ac:dyDescent="0.2">
      <c r="A7" s="105" t="s">
        <v>673</v>
      </c>
      <c r="B7" s="105" t="s">
        <v>768</v>
      </c>
      <c r="C7" s="194" t="s">
        <v>674</v>
      </c>
      <c r="D7" s="194"/>
      <c r="E7" s="105" t="s">
        <v>760</v>
      </c>
      <c r="F7" s="103"/>
      <c r="G7" s="103"/>
      <c r="H7" s="103" t="s">
        <v>612</v>
      </c>
      <c r="I7" s="103" t="s">
        <v>613</v>
      </c>
      <c r="J7" s="103">
        <v>2.2999999999999998</v>
      </c>
      <c r="K7" s="103" t="s">
        <v>614</v>
      </c>
      <c r="L7" s="103" t="s">
        <v>775</v>
      </c>
      <c r="M7" s="103" t="s">
        <v>615</v>
      </c>
      <c r="N7" s="103" t="s">
        <v>616</v>
      </c>
      <c r="O7" s="103" t="s">
        <v>617</v>
      </c>
      <c r="P7" s="103" t="s">
        <v>618</v>
      </c>
      <c r="Q7" s="103" t="s">
        <v>619</v>
      </c>
      <c r="R7" s="103" t="s">
        <v>620</v>
      </c>
      <c r="S7" s="103" t="s">
        <v>621</v>
      </c>
      <c r="T7" s="103" t="s">
        <v>346</v>
      </c>
      <c r="U7" s="103" t="s">
        <v>417</v>
      </c>
      <c r="V7" s="103" t="s">
        <v>347</v>
      </c>
      <c r="W7" s="103" t="s">
        <v>348</v>
      </c>
      <c r="X7" s="103" t="s">
        <v>647</v>
      </c>
      <c r="Y7" s="103">
        <v>80.2</v>
      </c>
      <c r="Z7" s="103">
        <v>13</v>
      </c>
      <c r="AA7" s="103">
        <v>16.8</v>
      </c>
      <c r="AB7" s="103" t="s">
        <v>349</v>
      </c>
      <c r="AC7" s="103" t="s">
        <v>350</v>
      </c>
      <c r="AD7" s="103" t="s">
        <v>422</v>
      </c>
      <c r="AE7" s="103" t="s">
        <v>1162</v>
      </c>
      <c r="AF7" s="103" t="s">
        <v>351</v>
      </c>
      <c r="AG7" s="106">
        <v>2.5000000000000001E-2</v>
      </c>
      <c r="AH7" s="103">
        <v>29.9</v>
      </c>
      <c r="AI7" s="106">
        <v>1E-3</v>
      </c>
      <c r="AJ7" s="103">
        <v>9.0899999999999995E-2</v>
      </c>
      <c r="AK7" s="106">
        <v>5.0000000000000001E-3</v>
      </c>
      <c r="AL7" s="103">
        <v>0.23100000000000001</v>
      </c>
      <c r="AM7" s="103" t="s">
        <v>352</v>
      </c>
      <c r="AN7" s="103" t="s">
        <v>353</v>
      </c>
      <c r="AO7" s="103" t="s">
        <v>354</v>
      </c>
      <c r="AP7" s="103">
        <v>0.40400000000000003</v>
      </c>
      <c r="AQ7" s="103" t="s">
        <v>355</v>
      </c>
      <c r="AR7" s="103" t="s">
        <v>693</v>
      </c>
      <c r="AS7" s="103">
        <v>1.0999999999999999E-2</v>
      </c>
      <c r="AT7" s="103">
        <v>1.08</v>
      </c>
      <c r="AU7" s="103" t="s">
        <v>356</v>
      </c>
      <c r="AV7" s="103"/>
      <c r="AW7" s="103"/>
    </row>
    <row r="8" spans="1:49" ht="15" customHeight="1" thickBot="1" x14ac:dyDescent="0.2">
      <c r="A8" s="105" t="s">
        <v>357</v>
      </c>
      <c r="B8" s="105" t="s">
        <v>768</v>
      </c>
      <c r="C8" s="194" t="s">
        <v>358</v>
      </c>
      <c r="D8" s="194"/>
      <c r="E8" s="105" t="s">
        <v>760</v>
      </c>
      <c r="F8" s="103"/>
      <c r="G8" s="103"/>
      <c r="H8" s="103" t="s">
        <v>359</v>
      </c>
      <c r="I8" s="103" t="s">
        <v>360</v>
      </c>
      <c r="J8" s="103">
        <v>1.9</v>
      </c>
      <c r="K8" s="103" t="s">
        <v>361</v>
      </c>
      <c r="L8" s="103" t="s">
        <v>775</v>
      </c>
      <c r="M8" s="103" t="s">
        <v>362</v>
      </c>
      <c r="N8" s="103" t="s">
        <v>363</v>
      </c>
      <c r="O8" s="103" t="s">
        <v>641</v>
      </c>
      <c r="P8" s="103" t="s">
        <v>364</v>
      </c>
      <c r="Q8" s="103" t="s">
        <v>619</v>
      </c>
      <c r="R8" s="103" t="s">
        <v>365</v>
      </c>
      <c r="S8" s="103" t="s">
        <v>621</v>
      </c>
      <c r="T8" s="103" t="s">
        <v>366</v>
      </c>
      <c r="U8" s="103" t="s">
        <v>367</v>
      </c>
      <c r="V8" s="103" t="s">
        <v>368</v>
      </c>
      <c r="W8" s="103" t="s">
        <v>368</v>
      </c>
      <c r="X8" s="103" t="s">
        <v>647</v>
      </c>
      <c r="Y8" s="103">
        <v>56.8</v>
      </c>
      <c r="Z8" s="103">
        <v>22.9</v>
      </c>
      <c r="AA8" s="103">
        <v>11.9</v>
      </c>
      <c r="AB8" s="103" t="s">
        <v>369</v>
      </c>
      <c r="AC8" s="103" t="s">
        <v>370</v>
      </c>
      <c r="AD8" s="103" t="s">
        <v>371</v>
      </c>
      <c r="AE8" s="103" t="s">
        <v>1162</v>
      </c>
      <c r="AF8" s="103" t="s">
        <v>372</v>
      </c>
      <c r="AG8" s="103">
        <v>0.47499999999999998</v>
      </c>
      <c r="AH8" s="103">
        <v>21.5</v>
      </c>
      <c r="AI8" s="106">
        <v>1E-3</v>
      </c>
      <c r="AJ8" s="103">
        <v>6.2399999999999997E-2</v>
      </c>
      <c r="AK8" s="106">
        <v>5.0000000000000001E-3</v>
      </c>
      <c r="AL8" s="103">
        <v>0.13700000000000001</v>
      </c>
      <c r="AM8" s="103" t="s">
        <v>373</v>
      </c>
      <c r="AN8" s="103" t="s">
        <v>374</v>
      </c>
      <c r="AO8" s="103" t="s">
        <v>375</v>
      </c>
      <c r="AP8" s="103">
        <v>0.45</v>
      </c>
      <c r="AQ8" s="103" t="s">
        <v>406</v>
      </c>
      <c r="AR8" s="103" t="s">
        <v>693</v>
      </c>
      <c r="AS8" s="103">
        <v>1.5299999999999999E-2</v>
      </c>
      <c r="AT8" s="103">
        <v>0.41399999999999998</v>
      </c>
      <c r="AU8" s="103" t="s">
        <v>356</v>
      </c>
      <c r="AV8" s="103"/>
      <c r="AW8" s="103"/>
    </row>
    <row r="9" spans="1:49" ht="15" customHeight="1" thickBot="1" x14ac:dyDescent="0.2">
      <c r="A9" s="105" t="s">
        <v>584</v>
      </c>
      <c r="B9" s="105" t="s">
        <v>768</v>
      </c>
      <c r="C9" s="194" t="s">
        <v>585</v>
      </c>
      <c r="D9" s="194"/>
      <c r="E9" s="105" t="s">
        <v>760</v>
      </c>
      <c r="F9" s="103"/>
      <c r="G9" s="103"/>
      <c r="H9" s="103" t="s">
        <v>586</v>
      </c>
      <c r="I9" s="103" t="s">
        <v>587</v>
      </c>
      <c r="J9" s="103">
        <v>2.6</v>
      </c>
      <c r="K9" s="103" t="s">
        <v>614</v>
      </c>
      <c r="L9" s="103" t="s">
        <v>775</v>
      </c>
      <c r="M9" s="103" t="s">
        <v>588</v>
      </c>
      <c r="N9" s="103" t="s">
        <v>589</v>
      </c>
      <c r="O9" s="103" t="s">
        <v>590</v>
      </c>
      <c r="P9" s="103" t="s">
        <v>348</v>
      </c>
      <c r="Q9" s="103" t="s">
        <v>591</v>
      </c>
      <c r="R9" s="103" t="s">
        <v>592</v>
      </c>
      <c r="S9" s="103" t="s">
        <v>593</v>
      </c>
      <c r="T9" s="103" t="s">
        <v>594</v>
      </c>
      <c r="U9" s="103"/>
      <c r="V9" s="103"/>
      <c r="W9" s="103"/>
      <c r="X9" s="103" t="s">
        <v>647</v>
      </c>
      <c r="Y9" s="103">
        <v>86.1</v>
      </c>
      <c r="Z9" s="103">
        <v>10.7</v>
      </c>
      <c r="AA9" s="103">
        <v>17.2</v>
      </c>
      <c r="AB9" s="103" t="s">
        <v>595</v>
      </c>
      <c r="AC9" s="103" t="s">
        <v>596</v>
      </c>
      <c r="AD9" s="103" t="s">
        <v>597</v>
      </c>
      <c r="AE9" s="103" t="s">
        <v>1162</v>
      </c>
      <c r="AF9" s="103" t="s">
        <v>598</v>
      </c>
      <c r="AG9" s="106">
        <v>2.5000000000000001E-2</v>
      </c>
      <c r="AH9" s="103">
        <v>26.2</v>
      </c>
      <c r="AI9" s="106">
        <v>1E-3</v>
      </c>
      <c r="AJ9" s="103">
        <v>0.11700000000000001</v>
      </c>
      <c r="AK9" s="103">
        <v>1.66E-2</v>
      </c>
      <c r="AL9" s="106">
        <v>0.05</v>
      </c>
      <c r="AM9" s="103" t="s">
        <v>599</v>
      </c>
      <c r="AN9" s="103" t="s">
        <v>600</v>
      </c>
      <c r="AO9" s="103" t="s">
        <v>601</v>
      </c>
      <c r="AP9" s="103">
        <v>0.40899999999999997</v>
      </c>
      <c r="AQ9" s="103" t="s">
        <v>406</v>
      </c>
      <c r="AR9" s="103" t="s">
        <v>693</v>
      </c>
      <c r="AS9" s="103">
        <v>1.18E-2</v>
      </c>
      <c r="AT9" s="103">
        <v>1.05</v>
      </c>
      <c r="AU9" s="103" t="s">
        <v>427</v>
      </c>
      <c r="AV9" s="103" t="s">
        <v>602</v>
      </c>
      <c r="AW9" s="103"/>
    </row>
    <row r="10" spans="1:49" ht="15" customHeight="1" thickBot="1" x14ac:dyDescent="0.2">
      <c r="A10" s="105" t="s">
        <v>604</v>
      </c>
      <c r="B10" s="105" t="s">
        <v>603</v>
      </c>
      <c r="C10" s="194" t="s">
        <v>585</v>
      </c>
      <c r="D10" s="194"/>
      <c r="E10" s="105" t="s">
        <v>760</v>
      </c>
      <c r="F10" s="103"/>
      <c r="G10" s="103"/>
      <c r="H10" s="103" t="s">
        <v>605</v>
      </c>
      <c r="I10" s="103" t="s">
        <v>606</v>
      </c>
      <c r="J10" s="103">
        <v>2.2000000000000002</v>
      </c>
      <c r="K10" s="103" t="s">
        <v>607</v>
      </c>
      <c r="L10" s="103" t="s">
        <v>775</v>
      </c>
      <c r="M10" s="103" t="s">
        <v>608</v>
      </c>
      <c r="N10" s="103" t="s">
        <v>609</v>
      </c>
      <c r="O10" s="103" t="s">
        <v>610</v>
      </c>
      <c r="P10" s="103" t="s">
        <v>695</v>
      </c>
      <c r="Q10" s="103" t="s">
        <v>727</v>
      </c>
      <c r="R10" s="103" t="s">
        <v>728</v>
      </c>
      <c r="S10" s="103" t="s">
        <v>593</v>
      </c>
      <c r="T10" s="103" t="s">
        <v>729</v>
      </c>
      <c r="U10" s="103" t="s">
        <v>730</v>
      </c>
      <c r="V10" s="103" t="s">
        <v>731</v>
      </c>
      <c r="W10" s="103" t="s">
        <v>760</v>
      </c>
      <c r="X10" s="103" t="s">
        <v>647</v>
      </c>
      <c r="Y10" s="103">
        <v>32.200000000000003</v>
      </c>
      <c r="Z10" s="103">
        <v>1.44</v>
      </c>
      <c r="AA10" s="103">
        <v>2.77</v>
      </c>
      <c r="AB10" s="103" t="s">
        <v>733</v>
      </c>
      <c r="AC10" s="103" t="s">
        <v>734</v>
      </c>
      <c r="AD10" s="103" t="s">
        <v>735</v>
      </c>
      <c r="AE10" s="103" t="s">
        <v>1162</v>
      </c>
      <c r="AF10" s="103" t="s">
        <v>736</v>
      </c>
      <c r="AG10" s="103">
        <v>5.6300000000000003E-2</v>
      </c>
      <c r="AH10" s="103">
        <v>9.9</v>
      </c>
      <c r="AI10" s="103">
        <v>6.1999999999999998E-3</v>
      </c>
      <c r="AJ10" s="103">
        <v>2.6800000000000001E-2</v>
      </c>
      <c r="AK10" s="106">
        <v>5.0000000000000001E-3</v>
      </c>
      <c r="AL10" s="103">
        <v>0.502</v>
      </c>
      <c r="AM10" s="103" t="s">
        <v>737</v>
      </c>
      <c r="AN10" s="103" t="s">
        <v>738</v>
      </c>
      <c r="AO10" s="103" t="s">
        <v>739</v>
      </c>
      <c r="AP10" s="103">
        <v>0.16900000000000001</v>
      </c>
      <c r="AQ10" s="103" t="s">
        <v>406</v>
      </c>
      <c r="AR10" s="103" t="s">
        <v>693</v>
      </c>
      <c r="AS10" s="103">
        <v>0.14099999999999999</v>
      </c>
      <c r="AT10" s="103">
        <v>1.2</v>
      </c>
      <c r="AU10" s="103"/>
      <c r="AV10" s="103"/>
      <c r="AW10" s="103" t="s">
        <v>740</v>
      </c>
    </row>
    <row r="11" spans="1:49" ht="15" customHeight="1" thickBot="1" x14ac:dyDescent="0.2">
      <c r="A11" s="105" t="s">
        <v>741</v>
      </c>
      <c r="B11" s="105" t="s">
        <v>742</v>
      </c>
      <c r="C11" s="194" t="s">
        <v>585</v>
      </c>
      <c r="D11" s="194"/>
      <c r="E11" s="105" t="s">
        <v>760</v>
      </c>
      <c r="F11" s="103"/>
      <c r="G11" s="103"/>
      <c r="H11" s="103" t="s">
        <v>743</v>
      </c>
      <c r="I11" s="103" t="s">
        <v>744</v>
      </c>
      <c r="J11" s="103">
        <v>0.44</v>
      </c>
      <c r="K11" s="103" t="s">
        <v>523</v>
      </c>
      <c r="L11" s="103" t="s">
        <v>524</v>
      </c>
      <c r="M11" s="103" t="s">
        <v>525</v>
      </c>
      <c r="N11" s="103" t="s">
        <v>526</v>
      </c>
      <c r="O11" s="103"/>
      <c r="P11" s="103" t="s">
        <v>730</v>
      </c>
      <c r="Q11" s="103" t="s">
        <v>527</v>
      </c>
      <c r="R11" s="103" t="s">
        <v>528</v>
      </c>
      <c r="S11" s="103" t="s">
        <v>593</v>
      </c>
      <c r="T11" s="103" t="s">
        <v>529</v>
      </c>
      <c r="U11" s="103" t="s">
        <v>530</v>
      </c>
      <c r="V11" s="103" t="s">
        <v>531</v>
      </c>
      <c r="W11" s="103" t="s">
        <v>760</v>
      </c>
      <c r="X11" s="103" t="s">
        <v>647</v>
      </c>
      <c r="Y11" s="103">
        <v>54.1</v>
      </c>
      <c r="Z11" s="103">
        <v>5.93</v>
      </c>
      <c r="AA11" s="103">
        <v>15.8</v>
      </c>
      <c r="AB11" s="103" t="s">
        <v>550</v>
      </c>
      <c r="AC11" s="103" t="s">
        <v>551</v>
      </c>
      <c r="AD11" s="103" t="s">
        <v>552</v>
      </c>
      <c r="AE11" s="103" t="s">
        <v>1162</v>
      </c>
      <c r="AF11" s="103" t="s">
        <v>553</v>
      </c>
      <c r="AG11" s="103">
        <v>0.17899999999999999</v>
      </c>
      <c r="AH11" s="103">
        <v>64</v>
      </c>
      <c r="AI11" s="103">
        <v>2.4899999999999999E-2</v>
      </c>
      <c r="AJ11" s="103">
        <v>0.50600000000000001</v>
      </c>
      <c r="AK11" s="103">
        <v>2.2999999999999998</v>
      </c>
      <c r="AL11" s="106">
        <v>0.05</v>
      </c>
      <c r="AM11" s="103" t="s">
        <v>554</v>
      </c>
      <c r="AN11" s="103" t="s">
        <v>555</v>
      </c>
      <c r="AO11" s="103" t="s">
        <v>556</v>
      </c>
      <c r="AP11" s="103">
        <v>3.32</v>
      </c>
      <c r="AQ11" s="103" t="s">
        <v>557</v>
      </c>
      <c r="AR11" s="103" t="s">
        <v>558</v>
      </c>
      <c r="AS11" s="103">
        <v>2.2999999999999998</v>
      </c>
      <c r="AT11" s="103">
        <v>10.199999999999999</v>
      </c>
      <c r="AU11" s="103"/>
      <c r="AV11" s="103"/>
      <c r="AW11" s="103" t="s">
        <v>777</v>
      </c>
    </row>
    <row r="12" spans="1:49" ht="15" customHeight="1" thickBot="1" x14ac:dyDescent="0.2">
      <c r="A12" s="105" t="s">
        <v>559</v>
      </c>
      <c r="B12" s="105" t="s">
        <v>560</v>
      </c>
      <c r="C12" s="194" t="s">
        <v>561</v>
      </c>
      <c r="D12" s="194"/>
      <c r="E12" s="105" t="s">
        <v>760</v>
      </c>
      <c r="F12" s="103"/>
      <c r="G12" s="103"/>
      <c r="H12" s="103" t="s">
        <v>562</v>
      </c>
      <c r="I12" s="103" t="s">
        <v>563</v>
      </c>
      <c r="J12" s="103">
        <v>0.71</v>
      </c>
      <c r="K12" s="103" t="s">
        <v>416</v>
      </c>
      <c r="L12" s="103" t="s">
        <v>775</v>
      </c>
      <c r="M12" s="103" t="s">
        <v>564</v>
      </c>
      <c r="N12" s="103" t="s">
        <v>565</v>
      </c>
      <c r="O12" s="103" t="s">
        <v>566</v>
      </c>
      <c r="P12" s="103" t="s">
        <v>413</v>
      </c>
      <c r="Q12" s="103" t="s">
        <v>567</v>
      </c>
      <c r="R12" s="103" t="s">
        <v>568</v>
      </c>
      <c r="S12" s="103" t="s">
        <v>569</v>
      </c>
      <c r="T12" s="103" t="s">
        <v>416</v>
      </c>
      <c r="U12" s="103" t="s">
        <v>570</v>
      </c>
      <c r="V12" s="103" t="s">
        <v>571</v>
      </c>
      <c r="W12" s="103" t="s">
        <v>760</v>
      </c>
      <c r="X12" s="103" t="s">
        <v>647</v>
      </c>
      <c r="Y12" s="103">
        <v>41.6</v>
      </c>
      <c r="Z12" s="103">
        <v>11.8</v>
      </c>
      <c r="AA12" s="103">
        <v>10.9</v>
      </c>
      <c r="AB12" s="103" t="s">
        <v>572</v>
      </c>
      <c r="AC12" s="103" t="s">
        <v>573</v>
      </c>
      <c r="AD12" s="103" t="s">
        <v>574</v>
      </c>
      <c r="AE12" s="103" t="s">
        <v>1162</v>
      </c>
      <c r="AF12" s="103" t="s">
        <v>649</v>
      </c>
      <c r="AG12" s="106">
        <v>2.5000000000000001E-2</v>
      </c>
      <c r="AH12" s="103">
        <v>23.8</v>
      </c>
      <c r="AI12" s="103">
        <v>4.6199999999999998E-2</v>
      </c>
      <c r="AJ12" s="103">
        <v>30.2</v>
      </c>
      <c r="AK12" s="103">
        <v>5.9499999999999997E-2</v>
      </c>
      <c r="AL12" s="103">
        <v>1.78</v>
      </c>
      <c r="AM12" s="103" t="s">
        <v>732</v>
      </c>
      <c r="AN12" s="103" t="s">
        <v>575</v>
      </c>
      <c r="AO12" s="103" t="s">
        <v>576</v>
      </c>
      <c r="AP12" s="103">
        <v>23.7</v>
      </c>
      <c r="AQ12" s="103" t="s">
        <v>577</v>
      </c>
      <c r="AR12" s="103" t="s">
        <v>693</v>
      </c>
      <c r="AS12" s="103">
        <v>8.2000000000000007E-3</v>
      </c>
      <c r="AT12" s="103">
        <v>193</v>
      </c>
      <c r="AU12" s="103"/>
      <c r="AV12" s="103"/>
      <c r="AW12" s="103" t="s">
        <v>578</v>
      </c>
    </row>
    <row r="13" spans="1:49" ht="14" customHeight="1" x14ac:dyDescent="0.15">
      <c r="I13" t="e">
        <f t="shared" ref="I13:AT13" si="0">AVERAGE(I5:I12)</f>
        <v>#DIV/0!</v>
      </c>
      <c r="J13">
        <f t="shared" si="0"/>
        <v>1.9062499999999996</v>
      </c>
      <c r="K13" t="e">
        <f t="shared" si="0"/>
        <v>#DIV/0!</v>
      </c>
      <c r="L13" t="e">
        <f t="shared" si="0"/>
        <v>#DIV/0!</v>
      </c>
      <c r="M13" t="e">
        <f t="shared" si="0"/>
        <v>#DIV/0!</v>
      </c>
      <c r="N13" t="e">
        <f>AVERAGE(N5:N12)</f>
        <v>#DIV/0!</v>
      </c>
      <c r="O13" t="e">
        <f t="shared" si="0"/>
        <v>#DIV/0!</v>
      </c>
      <c r="P13" t="e">
        <f t="shared" si="0"/>
        <v>#DIV/0!</v>
      </c>
      <c r="Q13" t="e">
        <f t="shared" si="0"/>
        <v>#DIV/0!</v>
      </c>
      <c r="R13" t="e">
        <f t="shared" si="0"/>
        <v>#DIV/0!</v>
      </c>
      <c r="S13" t="e">
        <f t="shared" si="0"/>
        <v>#DIV/0!</v>
      </c>
      <c r="T13" t="e">
        <f t="shared" si="0"/>
        <v>#DIV/0!</v>
      </c>
      <c r="U13" t="e">
        <f t="shared" si="0"/>
        <v>#DIV/0!</v>
      </c>
      <c r="V13" t="e">
        <f t="shared" si="0"/>
        <v>#DIV/0!</v>
      </c>
      <c r="W13" t="e">
        <f t="shared" si="0"/>
        <v>#DIV/0!</v>
      </c>
      <c r="X13" t="e">
        <f t="shared" si="0"/>
        <v>#DIV/0!</v>
      </c>
      <c r="Y13">
        <f t="shared" si="0"/>
        <v>64.899999999999991</v>
      </c>
      <c r="Z13">
        <f t="shared" si="0"/>
        <v>10.856249999999998</v>
      </c>
      <c r="AA13">
        <f t="shared" si="0"/>
        <v>13.946250000000001</v>
      </c>
      <c r="AB13" t="e">
        <f t="shared" si="0"/>
        <v>#DIV/0!</v>
      </c>
      <c r="AC13" t="e">
        <f t="shared" si="0"/>
        <v>#DIV/0!</v>
      </c>
      <c r="AD13" t="e">
        <f t="shared" si="0"/>
        <v>#DIV/0!</v>
      </c>
      <c r="AE13" t="e">
        <f t="shared" si="0"/>
        <v>#DIV/0!</v>
      </c>
      <c r="AF13" t="e">
        <f t="shared" si="0"/>
        <v>#DIV/0!</v>
      </c>
      <c r="AG13" s="99">
        <f t="shared" si="0"/>
        <v>0.10441250000000001</v>
      </c>
      <c r="AH13" s="99">
        <f t="shared" si="0"/>
        <v>29.425000000000001</v>
      </c>
      <c r="AI13" s="99">
        <f t="shared" si="0"/>
        <v>1.02875E-2</v>
      </c>
      <c r="AJ13" s="99">
        <f t="shared" si="0"/>
        <v>3.8927499999999999</v>
      </c>
      <c r="AK13" s="99">
        <f t="shared" si="0"/>
        <v>0.30144999999999994</v>
      </c>
      <c r="AL13" s="99">
        <f t="shared" si="0"/>
        <v>0.38112500000000005</v>
      </c>
      <c r="AM13" s="99" t="e">
        <f t="shared" si="0"/>
        <v>#DIV/0!</v>
      </c>
      <c r="AN13" s="99" t="e">
        <f t="shared" si="0"/>
        <v>#DIV/0!</v>
      </c>
      <c r="AO13" s="99">
        <f t="shared" si="0"/>
        <v>0.94399999999999995</v>
      </c>
      <c r="AP13" s="99">
        <f t="shared" si="0"/>
        <v>3.6637499999999998</v>
      </c>
      <c r="AQ13" t="e">
        <f t="shared" si="0"/>
        <v>#DIV/0!</v>
      </c>
      <c r="AR13" t="e">
        <f t="shared" si="0"/>
        <v>#DIV/0!</v>
      </c>
      <c r="AS13">
        <f t="shared" si="0"/>
        <v>0.31451249999999997</v>
      </c>
      <c r="AT13">
        <f t="shared" si="0"/>
        <v>26.573</v>
      </c>
    </row>
    <row r="14" spans="1:49" ht="14" customHeight="1" x14ac:dyDescent="0.15"/>
    <row r="15" spans="1:49" ht="14" customHeight="1" x14ac:dyDescent="0.15"/>
    <row r="16" spans="1:49" ht="14" customHeight="1" thickBot="1" x14ac:dyDescent="0.2"/>
    <row r="17" spans="1:12" ht="14" customHeight="1" thickBot="1" x14ac:dyDescent="0.2">
      <c r="A17" s="107"/>
      <c r="B17" s="107"/>
      <c r="C17" s="105" t="s">
        <v>769</v>
      </c>
      <c r="D17" s="105" t="s">
        <v>408</v>
      </c>
      <c r="E17" s="105" t="s">
        <v>673</v>
      </c>
      <c r="F17" s="105" t="s">
        <v>357</v>
      </c>
      <c r="G17" s="105" t="s">
        <v>584</v>
      </c>
      <c r="H17" s="105" t="s">
        <v>604</v>
      </c>
      <c r="I17" s="105" t="s">
        <v>741</v>
      </c>
      <c r="J17" s="105" t="s">
        <v>559</v>
      </c>
    </row>
    <row r="18" spans="1:12" ht="14" customHeight="1" thickBot="1" x14ac:dyDescent="0.2">
      <c r="A18" s="107"/>
      <c r="B18" s="107"/>
      <c r="C18" s="108" t="s">
        <v>768</v>
      </c>
      <c r="D18" s="108" t="s">
        <v>768</v>
      </c>
      <c r="E18" s="108" t="s">
        <v>768</v>
      </c>
      <c r="F18" s="108" t="s">
        <v>768</v>
      </c>
      <c r="G18" s="108" t="s">
        <v>768</v>
      </c>
      <c r="H18" s="108" t="s">
        <v>603</v>
      </c>
      <c r="I18" s="108" t="s">
        <v>742</v>
      </c>
      <c r="J18" s="108" t="s">
        <v>560</v>
      </c>
      <c r="K18" s="111"/>
    </row>
    <row r="19" spans="1:12" ht="14" customHeight="1" thickBot="1" x14ac:dyDescent="0.2">
      <c r="A19" s="107"/>
      <c r="B19" s="107"/>
      <c r="C19" s="112">
        <v>39189</v>
      </c>
      <c r="D19" s="112">
        <v>39252</v>
      </c>
      <c r="E19" s="112">
        <v>39309</v>
      </c>
      <c r="F19" s="112">
        <v>39365</v>
      </c>
      <c r="G19" s="112">
        <v>39631</v>
      </c>
      <c r="H19" s="112">
        <v>39631</v>
      </c>
      <c r="I19" s="112">
        <v>39631</v>
      </c>
      <c r="J19" s="112">
        <v>39630</v>
      </c>
      <c r="K19" s="108" t="s">
        <v>579</v>
      </c>
    </row>
    <row r="20" spans="1:12" ht="14" customHeight="1" thickBot="1" x14ac:dyDescent="0.2">
      <c r="A20" s="195" t="s">
        <v>697</v>
      </c>
      <c r="B20" s="108" t="s">
        <v>758</v>
      </c>
      <c r="C20" s="103"/>
      <c r="D20" s="103"/>
      <c r="E20" s="103"/>
      <c r="F20" s="103"/>
      <c r="G20" s="103"/>
      <c r="H20" s="103"/>
      <c r="I20" s="103"/>
      <c r="J20" s="103"/>
    </row>
    <row r="21" spans="1:12" ht="14" customHeight="1" thickBot="1" x14ac:dyDescent="0.2">
      <c r="A21" s="195"/>
      <c r="B21" s="108" t="s">
        <v>759</v>
      </c>
      <c r="C21" s="103"/>
      <c r="D21" s="103"/>
      <c r="E21" s="103"/>
      <c r="F21" s="103"/>
      <c r="G21" s="103"/>
      <c r="H21" s="103"/>
      <c r="I21" s="103"/>
      <c r="J21" s="103"/>
    </row>
    <row r="22" spans="1:12" ht="14" customHeight="1" thickBot="1" x14ac:dyDescent="0.2">
      <c r="A22" s="108" t="s">
        <v>698</v>
      </c>
      <c r="B22" s="108" t="s">
        <v>760</v>
      </c>
      <c r="C22" s="109" t="s">
        <v>771</v>
      </c>
      <c r="D22" s="109" t="s">
        <v>771</v>
      </c>
      <c r="E22" s="109" t="s">
        <v>612</v>
      </c>
      <c r="F22" s="109" t="s">
        <v>359</v>
      </c>
      <c r="G22" s="109" t="s">
        <v>586</v>
      </c>
      <c r="H22" s="109" t="s">
        <v>605</v>
      </c>
      <c r="I22" s="109" t="s">
        <v>743</v>
      </c>
      <c r="J22" s="109" t="s">
        <v>562</v>
      </c>
      <c r="L22" s="108" t="s">
        <v>698</v>
      </c>
    </row>
    <row r="23" spans="1:12" ht="14" customHeight="1" thickBot="1" x14ac:dyDescent="0.2">
      <c r="A23" s="108" t="s">
        <v>699</v>
      </c>
      <c r="B23" s="108" t="s">
        <v>761</v>
      </c>
      <c r="C23" s="109" t="s">
        <v>772</v>
      </c>
      <c r="D23" s="109" t="s">
        <v>410</v>
      </c>
      <c r="E23" s="109" t="s">
        <v>613</v>
      </c>
      <c r="F23" s="109" t="s">
        <v>360</v>
      </c>
      <c r="G23" s="109" t="s">
        <v>587</v>
      </c>
      <c r="H23" s="109" t="s">
        <v>606</v>
      </c>
      <c r="I23" s="109" t="s">
        <v>744</v>
      </c>
      <c r="J23" s="109" t="s">
        <v>563</v>
      </c>
      <c r="K23" s="81"/>
      <c r="L23" s="108" t="s">
        <v>699</v>
      </c>
    </row>
    <row r="24" spans="1:12" ht="14" customHeight="1" thickBot="1" x14ac:dyDescent="0.2">
      <c r="A24" s="108" t="s">
        <v>700</v>
      </c>
      <c r="B24" s="108" t="s">
        <v>762</v>
      </c>
      <c r="C24" s="109">
        <v>2.6</v>
      </c>
      <c r="D24" s="109">
        <v>2.5</v>
      </c>
      <c r="E24" s="109">
        <v>2.2999999999999998</v>
      </c>
      <c r="F24" s="109">
        <v>1.9</v>
      </c>
      <c r="G24" s="109">
        <v>2.6</v>
      </c>
      <c r="H24" s="109">
        <v>2.2000000000000002</v>
      </c>
      <c r="I24" s="109">
        <v>0.44</v>
      </c>
      <c r="J24" s="109">
        <v>0.71</v>
      </c>
      <c r="K24" s="81">
        <f>AVERAGE(A24:I24)</f>
        <v>2.077142857142857</v>
      </c>
      <c r="L24" s="108" t="s">
        <v>700</v>
      </c>
    </row>
    <row r="25" spans="1:12" ht="14" customHeight="1" thickBot="1" x14ac:dyDescent="0.2">
      <c r="A25" s="108" t="s">
        <v>533</v>
      </c>
      <c r="B25" s="108" t="s">
        <v>764</v>
      </c>
      <c r="C25" s="109" t="s">
        <v>775</v>
      </c>
      <c r="D25" s="109" t="s">
        <v>411</v>
      </c>
      <c r="E25" s="109" t="s">
        <v>775</v>
      </c>
      <c r="F25" s="109" t="s">
        <v>775</v>
      </c>
      <c r="G25" s="109" t="s">
        <v>775</v>
      </c>
      <c r="H25" s="109" t="s">
        <v>775</v>
      </c>
      <c r="I25" s="109" t="s">
        <v>524</v>
      </c>
      <c r="J25" s="109" t="s">
        <v>775</v>
      </c>
      <c r="K25" s="81"/>
      <c r="L25" s="108" t="s">
        <v>533</v>
      </c>
    </row>
    <row r="26" spans="1:12" ht="15" thickBot="1" x14ac:dyDescent="0.2">
      <c r="A26" s="108" t="s">
        <v>535</v>
      </c>
      <c r="B26" s="108" t="s">
        <v>764</v>
      </c>
      <c r="C26" s="110">
        <v>5.0000000000000001E-3</v>
      </c>
      <c r="D26" s="110">
        <v>5.0000000000000001E-3</v>
      </c>
      <c r="E26" s="109">
        <v>4.1000000000000002E-2</v>
      </c>
      <c r="F26" s="109">
        <v>5.0999999999999997E-2</v>
      </c>
      <c r="G26" s="109">
        <v>6.0999999999999999E-2</v>
      </c>
      <c r="H26" s="109">
        <v>4.2999999999999997E-2</v>
      </c>
      <c r="I26" s="109">
        <v>6.0000000000000001E-3</v>
      </c>
      <c r="J26" s="109" t="s">
        <v>565</v>
      </c>
      <c r="K26" s="81">
        <f>AVERAGE(A26:I26)</f>
        <v>3.0285714285714287E-2</v>
      </c>
      <c r="L26" s="108" t="s">
        <v>535</v>
      </c>
    </row>
    <row r="27" spans="1:12" ht="15" thickBot="1" x14ac:dyDescent="0.2">
      <c r="A27" s="108" t="s">
        <v>536</v>
      </c>
      <c r="B27" s="108" t="s">
        <v>764</v>
      </c>
      <c r="C27" s="109">
        <v>0.13</v>
      </c>
      <c r="D27" s="109">
        <v>0.16</v>
      </c>
      <c r="E27" s="109">
        <v>0.17</v>
      </c>
      <c r="F27" s="109">
        <v>0.15</v>
      </c>
      <c r="G27" s="109">
        <v>0.11</v>
      </c>
      <c r="H27" s="109">
        <v>3.3000000000000002E-2</v>
      </c>
      <c r="I27" s="109"/>
      <c r="J27" s="109">
        <v>0.79</v>
      </c>
      <c r="K27" s="81">
        <f t="shared" ref="K27:K54" si="1">AVERAGE(A27:I27)</f>
        <v>0.12550000000000003</v>
      </c>
      <c r="L27" s="108" t="s">
        <v>536</v>
      </c>
    </row>
    <row r="28" spans="1:12" ht="15" thickBot="1" x14ac:dyDescent="0.2">
      <c r="A28" s="108" t="s">
        <v>537</v>
      </c>
      <c r="B28" s="108" t="s">
        <v>764</v>
      </c>
      <c r="C28" s="109">
        <v>0.15</v>
      </c>
      <c r="D28" s="109">
        <v>6.9000000000000006E-2</v>
      </c>
      <c r="E28" s="109">
        <v>0.12</v>
      </c>
      <c r="F28" s="109">
        <v>8.6999999999999994E-2</v>
      </c>
      <c r="G28" s="109">
        <v>0.08</v>
      </c>
      <c r="H28" s="110">
        <v>0.01</v>
      </c>
      <c r="I28" s="109">
        <v>1.1000000000000001</v>
      </c>
      <c r="J28" s="109">
        <v>0.16</v>
      </c>
      <c r="K28" s="81">
        <f>AVERAGE(A28:H28)</f>
        <v>8.5999999999999979E-2</v>
      </c>
      <c r="L28" s="108" t="s">
        <v>537</v>
      </c>
    </row>
    <row r="29" spans="1:12" ht="15" thickBot="1" x14ac:dyDescent="0.2">
      <c r="A29" s="108" t="s">
        <v>659</v>
      </c>
      <c r="B29" s="108" t="s">
        <v>764</v>
      </c>
      <c r="C29" s="109">
        <v>0.17</v>
      </c>
      <c r="D29" s="110">
        <v>0.05</v>
      </c>
      <c r="E29" s="110">
        <v>0.1</v>
      </c>
      <c r="F29" s="110">
        <v>0.1</v>
      </c>
      <c r="G29" s="109">
        <v>8.4000000000000005E-2</v>
      </c>
      <c r="H29" s="109">
        <v>0.15</v>
      </c>
      <c r="I29" s="109">
        <v>5.6000000000000001E-2</v>
      </c>
      <c r="J29" s="109">
        <v>0.64</v>
      </c>
      <c r="K29" s="81">
        <f t="shared" si="1"/>
        <v>0.10142857142857144</v>
      </c>
      <c r="L29" s="108" t="s">
        <v>659</v>
      </c>
    </row>
    <row r="30" spans="1:12" ht="15" thickBot="1" x14ac:dyDescent="0.2">
      <c r="A30" s="108" t="s">
        <v>660</v>
      </c>
      <c r="B30" s="108" t="s">
        <v>764</v>
      </c>
      <c r="C30" s="109">
        <v>2.6</v>
      </c>
      <c r="D30" s="109">
        <v>1.8</v>
      </c>
      <c r="E30" s="109">
        <v>1.76</v>
      </c>
      <c r="F30" s="109">
        <v>2.61</v>
      </c>
      <c r="G30" s="109">
        <v>2.9</v>
      </c>
      <c r="H30" s="109">
        <v>1.1000000000000001</v>
      </c>
      <c r="I30" s="109">
        <v>0.39</v>
      </c>
      <c r="J30" s="109">
        <v>3.9</v>
      </c>
      <c r="K30" s="81">
        <f t="shared" si="1"/>
        <v>1.8800000000000001</v>
      </c>
      <c r="L30" s="108" t="s">
        <v>660</v>
      </c>
    </row>
    <row r="31" spans="1:12" ht="15" thickBot="1" x14ac:dyDescent="0.2">
      <c r="A31" s="108" t="s">
        <v>661</v>
      </c>
      <c r="B31" s="108" t="s">
        <v>764</v>
      </c>
      <c r="C31" s="109" t="s">
        <v>694</v>
      </c>
      <c r="D31" s="109" t="s">
        <v>694</v>
      </c>
      <c r="E31" s="109" t="s">
        <v>621</v>
      </c>
      <c r="F31" s="109" t="s">
        <v>621</v>
      </c>
      <c r="G31" s="109" t="s">
        <v>593</v>
      </c>
      <c r="H31" s="109" t="s">
        <v>593</v>
      </c>
      <c r="I31" s="109" t="s">
        <v>593</v>
      </c>
      <c r="J31" s="109" t="s">
        <v>569</v>
      </c>
      <c r="K31" s="109" t="s">
        <v>694</v>
      </c>
      <c r="L31" s="108" t="s">
        <v>661</v>
      </c>
    </row>
    <row r="32" spans="1:12" ht="15" thickBot="1" x14ac:dyDescent="0.2">
      <c r="A32" s="108" t="s">
        <v>663</v>
      </c>
      <c r="B32" s="108" t="s">
        <v>764</v>
      </c>
      <c r="C32" s="109">
        <v>180</v>
      </c>
      <c r="D32" s="109">
        <v>170</v>
      </c>
      <c r="E32" s="109">
        <v>163</v>
      </c>
      <c r="F32" s="109">
        <v>159</v>
      </c>
      <c r="G32" s="109">
        <v>200</v>
      </c>
      <c r="H32" s="109">
        <v>8.6</v>
      </c>
      <c r="I32" s="109">
        <v>0.3</v>
      </c>
      <c r="J32" s="109">
        <v>170</v>
      </c>
      <c r="K32" s="7">
        <f t="shared" si="1"/>
        <v>125.84285714285714</v>
      </c>
      <c r="L32" s="108" t="s">
        <v>663</v>
      </c>
    </row>
    <row r="33" spans="1:12" ht="15" thickBot="1" x14ac:dyDescent="0.2">
      <c r="A33" s="108" t="s">
        <v>664</v>
      </c>
      <c r="B33" s="108" t="s">
        <v>764</v>
      </c>
      <c r="C33" s="109">
        <v>97.2</v>
      </c>
      <c r="D33" s="109">
        <v>71</v>
      </c>
      <c r="E33" s="109">
        <v>80.2</v>
      </c>
      <c r="F33" s="109">
        <v>56.8</v>
      </c>
      <c r="G33" s="109">
        <v>86.1</v>
      </c>
      <c r="H33" s="109">
        <v>32.200000000000003</v>
      </c>
      <c r="I33" s="109">
        <v>54.1</v>
      </c>
      <c r="J33" s="109">
        <v>41.6</v>
      </c>
      <c r="K33" s="17">
        <f t="shared" si="1"/>
        <v>68.228571428571428</v>
      </c>
      <c r="L33" s="108" t="s">
        <v>664</v>
      </c>
    </row>
    <row r="34" spans="1:12" ht="15" thickBot="1" x14ac:dyDescent="0.2">
      <c r="A34" s="108" t="s">
        <v>665</v>
      </c>
      <c r="B34" s="108" t="s">
        <v>764</v>
      </c>
      <c r="C34" s="109">
        <v>9.18</v>
      </c>
      <c r="D34" s="109">
        <v>11.9</v>
      </c>
      <c r="E34" s="109">
        <v>13</v>
      </c>
      <c r="F34" s="109">
        <v>22.9</v>
      </c>
      <c r="G34" s="109">
        <v>10.7</v>
      </c>
      <c r="H34" s="109">
        <v>1.44</v>
      </c>
      <c r="I34" s="109">
        <v>5.93</v>
      </c>
      <c r="J34" s="109">
        <v>11.8</v>
      </c>
      <c r="K34" s="17">
        <f t="shared" si="1"/>
        <v>10.72142857142857</v>
      </c>
      <c r="L34" s="108" t="s">
        <v>665</v>
      </c>
    </row>
    <row r="35" spans="1:12" ht="15" thickBot="1" x14ac:dyDescent="0.2">
      <c r="A35" s="108" t="s">
        <v>666</v>
      </c>
      <c r="B35" s="108" t="s">
        <v>764</v>
      </c>
      <c r="C35" s="109">
        <v>19.3</v>
      </c>
      <c r="D35" s="109">
        <v>16.899999999999999</v>
      </c>
      <c r="E35" s="109">
        <v>16.8</v>
      </c>
      <c r="F35" s="109">
        <v>11.9</v>
      </c>
      <c r="G35" s="109">
        <v>17.2</v>
      </c>
      <c r="H35" s="109">
        <v>2.77</v>
      </c>
      <c r="I35" s="109">
        <v>15.8</v>
      </c>
      <c r="J35" s="109">
        <v>10.9</v>
      </c>
      <c r="K35" s="17">
        <f t="shared" si="1"/>
        <v>14.381428571428572</v>
      </c>
      <c r="L35" s="108" t="s">
        <v>666</v>
      </c>
    </row>
    <row r="36" spans="1:12" ht="15" thickBot="1" x14ac:dyDescent="0.2">
      <c r="A36" s="108" t="s">
        <v>667</v>
      </c>
      <c r="B36" s="108" t="s">
        <v>764</v>
      </c>
      <c r="C36" s="109">
        <v>9.57</v>
      </c>
      <c r="D36" s="109">
        <v>10.1</v>
      </c>
      <c r="E36" s="109">
        <v>10.199999999999999</v>
      </c>
      <c r="F36" s="109">
        <v>16.100000000000001</v>
      </c>
      <c r="G36" s="109">
        <v>9.52</v>
      </c>
      <c r="H36" s="109">
        <v>12.7</v>
      </c>
      <c r="I36" s="109">
        <v>8.52</v>
      </c>
      <c r="J36" s="109">
        <v>12.4</v>
      </c>
      <c r="K36" s="17">
        <f t="shared" si="1"/>
        <v>10.958571428571428</v>
      </c>
      <c r="L36" s="108" t="s">
        <v>667</v>
      </c>
    </row>
    <row r="37" spans="1:12" ht="15" thickBot="1" x14ac:dyDescent="0.2">
      <c r="A37" s="108" t="s">
        <v>542</v>
      </c>
      <c r="B37" s="108" t="s">
        <v>764</v>
      </c>
      <c r="C37" s="109">
        <v>10.9</v>
      </c>
      <c r="D37" s="109">
        <v>9.18</v>
      </c>
      <c r="E37" s="109">
        <v>9.39</v>
      </c>
      <c r="F37" s="109">
        <v>6.38</v>
      </c>
      <c r="G37" s="109">
        <v>9.64</v>
      </c>
      <c r="H37" s="109">
        <v>9.51</v>
      </c>
      <c r="I37" s="109">
        <v>13.4</v>
      </c>
      <c r="J37" s="109">
        <v>14.1</v>
      </c>
      <c r="K37" s="17">
        <f t="shared" si="1"/>
        <v>9.7714285714285722</v>
      </c>
      <c r="L37" s="108" t="s">
        <v>542</v>
      </c>
    </row>
    <row r="38" spans="1:12" ht="15" thickBot="1" x14ac:dyDescent="0.2">
      <c r="A38" s="108" t="s">
        <v>543</v>
      </c>
      <c r="B38" s="108" t="s">
        <v>766</v>
      </c>
      <c r="C38" s="109">
        <v>210</v>
      </c>
      <c r="D38" s="109">
        <v>154</v>
      </c>
      <c r="E38" s="109">
        <v>154</v>
      </c>
      <c r="F38" s="109">
        <v>178</v>
      </c>
      <c r="G38" s="109">
        <v>191</v>
      </c>
      <c r="H38" s="109">
        <v>67</v>
      </c>
      <c r="I38" s="109">
        <v>215</v>
      </c>
      <c r="J38" s="109">
        <v>120</v>
      </c>
      <c r="K38" s="7">
        <f t="shared" si="1"/>
        <v>167</v>
      </c>
      <c r="L38" s="108" t="s">
        <v>543</v>
      </c>
    </row>
    <row r="39" spans="1:12" ht="15" thickBot="1" x14ac:dyDescent="0.2">
      <c r="A39" s="108" t="s">
        <v>849</v>
      </c>
      <c r="B39" s="108" t="s">
        <v>766</v>
      </c>
      <c r="C39" s="109" t="s">
        <v>1162</v>
      </c>
      <c r="D39" s="109" t="s">
        <v>1162</v>
      </c>
      <c r="E39" s="109" t="s">
        <v>1162</v>
      </c>
      <c r="F39" s="109" t="s">
        <v>1162</v>
      </c>
      <c r="G39" s="109" t="s">
        <v>1162</v>
      </c>
      <c r="H39" s="109" t="s">
        <v>1162</v>
      </c>
      <c r="I39" s="109" t="s">
        <v>1162</v>
      </c>
      <c r="J39" s="109" t="s">
        <v>1162</v>
      </c>
      <c r="K39" s="81" t="s">
        <v>1180</v>
      </c>
      <c r="L39" s="108" t="s">
        <v>849</v>
      </c>
    </row>
    <row r="40" spans="1:12" ht="15" thickBot="1" x14ac:dyDescent="0.2">
      <c r="A40" s="108" t="s">
        <v>544</v>
      </c>
      <c r="B40" s="108" t="s">
        <v>766</v>
      </c>
      <c r="C40" s="109">
        <v>0.97799999999999998</v>
      </c>
      <c r="D40" s="109">
        <v>0.247</v>
      </c>
      <c r="E40" s="109">
        <v>0.67700000000000005</v>
      </c>
      <c r="F40" s="109">
        <v>1.61</v>
      </c>
      <c r="G40" s="109">
        <v>0.61099999999999999</v>
      </c>
      <c r="H40" s="109">
        <v>2.13</v>
      </c>
      <c r="I40" s="109">
        <v>23.6</v>
      </c>
      <c r="J40" s="109">
        <v>19.3</v>
      </c>
      <c r="K40" s="81">
        <f t="shared" si="1"/>
        <v>4.2647142857142857</v>
      </c>
      <c r="L40" s="108" t="s">
        <v>544</v>
      </c>
    </row>
    <row r="41" spans="1:12" ht="15" thickBot="1" x14ac:dyDescent="0.2">
      <c r="A41" s="108" t="s">
        <v>668</v>
      </c>
      <c r="B41" s="108" t="s">
        <v>766</v>
      </c>
      <c r="C41" s="110">
        <v>2.5000000000000001E-2</v>
      </c>
      <c r="D41" s="110">
        <v>2.5000000000000001E-2</v>
      </c>
      <c r="E41" s="110">
        <v>2.5000000000000001E-2</v>
      </c>
      <c r="F41" s="109">
        <v>0.47499999999999998</v>
      </c>
      <c r="G41" s="110">
        <v>2.5000000000000001E-2</v>
      </c>
      <c r="H41" s="109">
        <v>5.6300000000000003E-2</v>
      </c>
      <c r="I41" s="109">
        <v>0.17899999999999999</v>
      </c>
      <c r="J41" s="110">
        <v>2.5000000000000001E-2</v>
      </c>
      <c r="K41" s="81">
        <f>AVERAGE(C41:H41)</f>
        <v>0.10521666666666668</v>
      </c>
      <c r="L41" s="108" t="s">
        <v>668</v>
      </c>
    </row>
    <row r="42" spans="1:12" ht="15" thickBot="1" x14ac:dyDescent="0.2">
      <c r="A42" s="108" t="s">
        <v>669</v>
      </c>
      <c r="B42" s="108" t="s">
        <v>766</v>
      </c>
      <c r="C42" s="109">
        <v>30.1</v>
      </c>
      <c r="D42" s="109">
        <v>30</v>
      </c>
      <c r="E42" s="109">
        <v>29.9</v>
      </c>
      <c r="F42" s="109">
        <v>21.5</v>
      </c>
      <c r="G42" s="109">
        <v>26.2</v>
      </c>
      <c r="H42" s="109">
        <v>9.9</v>
      </c>
      <c r="I42" s="109">
        <v>64</v>
      </c>
      <c r="J42" s="109">
        <v>23.8</v>
      </c>
      <c r="K42" s="17">
        <f t="shared" si="1"/>
        <v>30.228571428571428</v>
      </c>
      <c r="L42" s="108" t="s">
        <v>669</v>
      </c>
    </row>
    <row r="43" spans="1:12" ht="15" thickBot="1" x14ac:dyDescent="0.2">
      <c r="A43" s="108" t="s">
        <v>670</v>
      </c>
      <c r="B43" s="108" t="s">
        <v>766</v>
      </c>
      <c r="C43" s="110">
        <v>1E-3</v>
      </c>
      <c r="D43" s="110">
        <v>1E-3</v>
      </c>
      <c r="E43" s="110">
        <v>1E-3</v>
      </c>
      <c r="F43" s="110">
        <v>1E-3</v>
      </c>
      <c r="G43" s="110">
        <v>1E-3</v>
      </c>
      <c r="H43" s="109">
        <v>6.1999999999999998E-3</v>
      </c>
      <c r="I43" s="109">
        <v>2.4899999999999999E-2</v>
      </c>
      <c r="J43" s="109">
        <v>4.6199999999999998E-2</v>
      </c>
      <c r="K43" s="81">
        <f t="shared" si="1"/>
        <v>5.1571428571428575E-3</v>
      </c>
      <c r="L43" s="108" t="s">
        <v>670</v>
      </c>
    </row>
    <row r="44" spans="1:12" ht="15" thickBot="1" x14ac:dyDescent="0.2">
      <c r="A44" s="108" t="s">
        <v>671</v>
      </c>
      <c r="B44" s="108" t="s">
        <v>766</v>
      </c>
      <c r="C44" s="109">
        <v>6.0900000000000003E-2</v>
      </c>
      <c r="D44" s="109">
        <v>7.8E-2</v>
      </c>
      <c r="E44" s="109">
        <v>9.0899999999999995E-2</v>
      </c>
      <c r="F44" s="109">
        <v>6.2399999999999997E-2</v>
      </c>
      <c r="G44" s="109">
        <v>0.11700000000000001</v>
      </c>
      <c r="H44" s="109">
        <v>2.6800000000000001E-2</v>
      </c>
      <c r="I44" s="109">
        <v>0.50600000000000001</v>
      </c>
      <c r="J44" s="109">
        <v>30.2</v>
      </c>
      <c r="K44" s="81">
        <f t="shared" si="1"/>
        <v>0.13457142857142856</v>
      </c>
      <c r="L44" s="108" t="s">
        <v>671</v>
      </c>
    </row>
    <row r="45" spans="1:12" ht="15" thickBot="1" x14ac:dyDescent="0.2">
      <c r="A45" s="108" t="s">
        <v>672</v>
      </c>
      <c r="B45" s="108" t="s">
        <v>766</v>
      </c>
      <c r="C45" s="109">
        <v>1.55E-2</v>
      </c>
      <c r="D45" s="110">
        <v>5.0000000000000001E-3</v>
      </c>
      <c r="E45" s="110">
        <v>5.0000000000000001E-3</v>
      </c>
      <c r="F45" s="110">
        <v>5.0000000000000001E-3</v>
      </c>
      <c r="G45" s="109">
        <v>1.66E-2</v>
      </c>
      <c r="H45" s="110">
        <v>5.0000000000000001E-3</v>
      </c>
      <c r="I45" s="109">
        <v>2.2999999999999998</v>
      </c>
      <c r="J45" s="109">
        <v>5.9499999999999997E-2</v>
      </c>
      <c r="K45" s="81">
        <f>AVERAGE(C45:H45)</f>
        <v>8.6833333333333328E-3</v>
      </c>
      <c r="L45" s="108" t="s">
        <v>672</v>
      </c>
    </row>
    <row r="46" spans="1:12" ht="15" thickBot="1" x14ac:dyDescent="0.2">
      <c r="A46" s="108" t="s">
        <v>836</v>
      </c>
      <c r="B46" s="108" t="s">
        <v>766</v>
      </c>
      <c r="C46" s="109">
        <v>0.17499999999999999</v>
      </c>
      <c r="D46" s="109">
        <v>0.124</v>
      </c>
      <c r="E46" s="109">
        <v>0.23100000000000001</v>
      </c>
      <c r="F46" s="109">
        <v>0.13700000000000001</v>
      </c>
      <c r="G46" s="110">
        <v>0.05</v>
      </c>
      <c r="H46" s="109">
        <v>0.502</v>
      </c>
      <c r="I46" s="110">
        <v>0.05</v>
      </c>
      <c r="J46" s="109">
        <v>1.78</v>
      </c>
      <c r="K46" s="81">
        <f t="shared" si="1"/>
        <v>0.1812857142857143</v>
      </c>
      <c r="L46" s="108" t="s">
        <v>836</v>
      </c>
    </row>
    <row r="47" spans="1:12" ht="15" thickBot="1" x14ac:dyDescent="0.2">
      <c r="A47" s="108" t="s">
        <v>545</v>
      </c>
      <c r="B47" s="108" t="s">
        <v>764</v>
      </c>
      <c r="C47" s="109">
        <v>1.7899999999999999E-2</v>
      </c>
      <c r="D47" s="109">
        <v>1.6799999999999999E-2</v>
      </c>
      <c r="E47" s="109">
        <v>2.7E-2</v>
      </c>
      <c r="F47" s="109">
        <v>3.1800000000000002E-2</v>
      </c>
      <c r="G47" s="109">
        <v>2.3300000000000001E-2</v>
      </c>
      <c r="H47" s="109">
        <v>2.5999999999999999E-3</v>
      </c>
      <c r="I47" s="109">
        <v>11.3</v>
      </c>
      <c r="J47" s="109">
        <v>1.44</v>
      </c>
      <c r="K47" s="81">
        <f>AVERAGE(A47:H47)</f>
        <v>1.9900000000000001E-2</v>
      </c>
      <c r="L47" s="108" t="s">
        <v>545</v>
      </c>
    </row>
    <row r="48" spans="1:12" ht="15" thickBot="1" x14ac:dyDescent="0.2">
      <c r="A48" s="108" t="s">
        <v>546</v>
      </c>
      <c r="B48" s="108" t="s">
        <v>766</v>
      </c>
      <c r="C48" s="109">
        <v>467</v>
      </c>
      <c r="D48" s="109">
        <v>430</v>
      </c>
      <c r="E48" s="109">
        <v>496</v>
      </c>
      <c r="F48" s="109">
        <v>316</v>
      </c>
      <c r="G48" s="109">
        <v>526</v>
      </c>
      <c r="H48" s="109">
        <v>7.68</v>
      </c>
      <c r="I48" s="109">
        <v>4430</v>
      </c>
      <c r="J48" s="109" t="s">
        <v>575</v>
      </c>
      <c r="K48" s="7">
        <f>AVERAGE(A48:H48)</f>
        <v>373.78</v>
      </c>
      <c r="L48" s="108" t="s">
        <v>546</v>
      </c>
    </row>
    <row r="49" spans="1:12" ht="15" thickBot="1" x14ac:dyDescent="0.2">
      <c r="A49" s="108" t="s">
        <v>837</v>
      </c>
      <c r="B49" s="108" t="s">
        <v>766</v>
      </c>
      <c r="C49" s="109">
        <v>0.94399999999999995</v>
      </c>
      <c r="D49" s="109" t="s">
        <v>426</v>
      </c>
      <c r="E49" s="109" t="s">
        <v>354</v>
      </c>
      <c r="F49" s="109" t="s">
        <v>375</v>
      </c>
      <c r="G49" s="109" t="s">
        <v>601</v>
      </c>
      <c r="H49" s="109" t="s">
        <v>739</v>
      </c>
      <c r="I49" s="109" t="s">
        <v>556</v>
      </c>
      <c r="J49" s="109" t="s">
        <v>576</v>
      </c>
      <c r="K49" s="81">
        <f t="shared" si="1"/>
        <v>0.94399999999999995</v>
      </c>
      <c r="L49" s="108" t="s">
        <v>837</v>
      </c>
    </row>
    <row r="50" spans="1:12" ht="15" thickBot="1" x14ac:dyDescent="0.2">
      <c r="A50" s="108" t="s">
        <v>838</v>
      </c>
      <c r="B50" s="108" t="s">
        <v>766</v>
      </c>
      <c r="C50" s="109">
        <v>0.40400000000000003</v>
      </c>
      <c r="D50" s="109">
        <v>0.45400000000000001</v>
      </c>
      <c r="E50" s="109">
        <v>0.40400000000000003</v>
      </c>
      <c r="F50" s="109">
        <v>0.45</v>
      </c>
      <c r="G50" s="109">
        <v>0.40899999999999997</v>
      </c>
      <c r="H50" s="109">
        <v>0.16900000000000001</v>
      </c>
      <c r="I50" s="109">
        <v>3.32</v>
      </c>
      <c r="J50" s="109">
        <v>23.7</v>
      </c>
      <c r="K50" s="81">
        <f t="shared" si="1"/>
        <v>0.80142857142857138</v>
      </c>
      <c r="L50" s="108" t="s">
        <v>838</v>
      </c>
    </row>
    <row r="51" spans="1:12" ht="15" thickBot="1" x14ac:dyDescent="0.2">
      <c r="A51" s="108" t="s">
        <v>547</v>
      </c>
      <c r="B51" s="108" t="s">
        <v>766</v>
      </c>
      <c r="C51" s="109" t="s">
        <v>406</v>
      </c>
      <c r="D51" s="109" t="s">
        <v>406</v>
      </c>
      <c r="E51" s="109" t="s">
        <v>355</v>
      </c>
      <c r="F51" s="109" t="s">
        <v>406</v>
      </c>
      <c r="G51" s="109" t="s">
        <v>406</v>
      </c>
      <c r="H51" s="109" t="s">
        <v>406</v>
      </c>
      <c r="I51" s="109" t="s">
        <v>557</v>
      </c>
      <c r="J51" s="109" t="s">
        <v>577</v>
      </c>
      <c r="K51" s="109" t="s">
        <v>406</v>
      </c>
      <c r="L51" s="108" t="s">
        <v>547</v>
      </c>
    </row>
    <row r="52" spans="1:12" ht="15" thickBot="1" x14ac:dyDescent="0.2">
      <c r="A52" s="108" t="s">
        <v>839</v>
      </c>
      <c r="B52" s="108" t="s">
        <v>766</v>
      </c>
      <c r="C52" s="109" t="s">
        <v>693</v>
      </c>
      <c r="D52" s="109" t="s">
        <v>693</v>
      </c>
      <c r="E52" s="109" t="s">
        <v>693</v>
      </c>
      <c r="F52" s="109" t="s">
        <v>693</v>
      </c>
      <c r="G52" s="109" t="s">
        <v>693</v>
      </c>
      <c r="H52" s="109" t="s">
        <v>693</v>
      </c>
      <c r="I52" s="109" t="s">
        <v>558</v>
      </c>
      <c r="J52" s="109" t="s">
        <v>693</v>
      </c>
      <c r="K52" s="109" t="s">
        <v>693</v>
      </c>
      <c r="L52" s="108" t="s">
        <v>839</v>
      </c>
    </row>
    <row r="53" spans="1:12" ht="15" thickBot="1" x14ac:dyDescent="0.2">
      <c r="A53" s="108" t="s">
        <v>548</v>
      </c>
      <c r="B53" s="108" t="s">
        <v>766</v>
      </c>
      <c r="C53" s="109">
        <v>1.9099999999999999E-2</v>
      </c>
      <c r="D53" s="109">
        <v>9.7000000000000003E-3</v>
      </c>
      <c r="E53" s="109">
        <v>1.0999999999999999E-2</v>
      </c>
      <c r="F53" s="109">
        <v>1.5299999999999999E-2</v>
      </c>
      <c r="G53" s="109">
        <v>1.18E-2</v>
      </c>
      <c r="H53" s="109">
        <v>0.14099999999999999</v>
      </c>
      <c r="I53" s="109">
        <v>2.2999999999999998</v>
      </c>
      <c r="J53" s="109">
        <v>8.2000000000000007E-3</v>
      </c>
      <c r="K53" s="81">
        <f t="shared" si="1"/>
        <v>0.35827142857142852</v>
      </c>
      <c r="L53" s="108" t="s">
        <v>548</v>
      </c>
    </row>
    <row r="54" spans="1:12" ht="15" thickBot="1" x14ac:dyDescent="0.2">
      <c r="A54" s="108" t="s">
        <v>847</v>
      </c>
      <c r="B54" s="108" t="s">
        <v>766</v>
      </c>
      <c r="C54" s="109">
        <v>4.45</v>
      </c>
      <c r="D54" s="109">
        <v>1.19</v>
      </c>
      <c r="E54" s="109">
        <v>1.08</v>
      </c>
      <c r="F54" s="109">
        <v>0.41399999999999998</v>
      </c>
      <c r="G54" s="109">
        <v>1.05</v>
      </c>
      <c r="H54" s="109">
        <v>1.2</v>
      </c>
      <c r="I54" s="109">
        <v>10.199999999999999</v>
      </c>
      <c r="J54" s="109">
        <v>193</v>
      </c>
      <c r="K54" s="81">
        <f t="shared" si="1"/>
        <v>2.7977142857142856</v>
      </c>
      <c r="L54" s="108" t="s">
        <v>847</v>
      </c>
    </row>
    <row r="55" spans="1:12" ht="15" thickBot="1" x14ac:dyDescent="0.2">
      <c r="A55" s="108" t="s">
        <v>756</v>
      </c>
      <c r="B55" s="108" t="s">
        <v>767</v>
      </c>
      <c r="C55" s="109" t="s">
        <v>407</v>
      </c>
      <c r="D55" s="109" t="s">
        <v>427</v>
      </c>
      <c r="E55" s="109" t="s">
        <v>356</v>
      </c>
      <c r="F55" s="109" t="s">
        <v>356</v>
      </c>
      <c r="G55" s="109" t="s">
        <v>427</v>
      </c>
      <c r="H55" s="109"/>
      <c r="I55" s="109"/>
      <c r="J55" s="109"/>
      <c r="K55" s="81"/>
      <c r="L55" s="108" t="s">
        <v>756</v>
      </c>
    </row>
    <row r="56" spans="1:12" ht="15" thickBot="1" x14ac:dyDescent="0.2">
      <c r="A56" s="108" t="s">
        <v>662</v>
      </c>
      <c r="B56" s="108" t="s">
        <v>764</v>
      </c>
      <c r="C56" s="109"/>
      <c r="D56" s="109"/>
      <c r="E56" s="109"/>
      <c r="F56" s="109"/>
      <c r="G56" s="109"/>
      <c r="H56" s="109" t="s">
        <v>740</v>
      </c>
      <c r="I56" s="109" t="s">
        <v>777</v>
      </c>
      <c r="J56" s="109" t="s">
        <v>578</v>
      </c>
      <c r="K56" s="81"/>
      <c r="L56" s="108" t="s">
        <v>662</v>
      </c>
    </row>
    <row r="58" spans="1:12" ht="14" thickBot="1" x14ac:dyDescent="0.2"/>
    <row r="59" spans="1:12" ht="15" thickBot="1" x14ac:dyDescent="0.2">
      <c r="A59" s="108" t="s">
        <v>698</v>
      </c>
      <c r="B59" s="108" t="s">
        <v>760</v>
      </c>
      <c r="C59" s="109"/>
      <c r="D59" s="108" t="s">
        <v>543</v>
      </c>
      <c r="E59" s="108" t="s">
        <v>766</v>
      </c>
      <c r="F59" s="7">
        <v>161.125</v>
      </c>
      <c r="G59" s="109"/>
      <c r="H59" s="109"/>
      <c r="I59" s="109"/>
      <c r="J59" s="109"/>
    </row>
    <row r="60" spans="1:12" ht="15" thickBot="1" x14ac:dyDescent="0.2">
      <c r="A60" s="108" t="s">
        <v>700</v>
      </c>
      <c r="B60" s="108" t="s">
        <v>762</v>
      </c>
      <c r="C60" s="81">
        <v>1.9062499999999996</v>
      </c>
      <c r="D60" s="108" t="s">
        <v>849</v>
      </c>
      <c r="E60" s="108" t="s">
        <v>766</v>
      </c>
      <c r="F60" s="109" t="s">
        <v>1162</v>
      </c>
      <c r="G60" s="109"/>
      <c r="H60" s="109"/>
      <c r="I60" s="109"/>
      <c r="J60" s="109"/>
    </row>
    <row r="61" spans="1:12" ht="15" thickBot="1" x14ac:dyDescent="0.2">
      <c r="A61" s="108" t="s">
        <v>535</v>
      </c>
      <c r="B61" s="108" t="s">
        <v>764</v>
      </c>
      <c r="C61" t="s">
        <v>840</v>
      </c>
      <c r="D61" s="108" t="s">
        <v>544</v>
      </c>
      <c r="E61" s="108" t="s">
        <v>766</v>
      </c>
      <c r="F61" s="81">
        <v>6.1441250000000007</v>
      </c>
      <c r="G61" s="109"/>
      <c r="H61" s="109"/>
      <c r="I61" s="109"/>
      <c r="J61" s="109"/>
    </row>
    <row r="62" spans="1:12" ht="15" thickBot="1" x14ac:dyDescent="0.2">
      <c r="A62" s="108" t="s">
        <v>536</v>
      </c>
      <c r="B62" s="108" t="s">
        <v>764</v>
      </c>
      <c r="C62" s="81">
        <v>0.22042857142857145</v>
      </c>
      <c r="D62" s="108" t="s">
        <v>668</v>
      </c>
      <c r="E62" s="108" t="s">
        <v>766</v>
      </c>
      <c r="F62" s="81">
        <v>0.10441250000000001</v>
      </c>
      <c r="G62" s="109"/>
      <c r="H62" s="109"/>
      <c r="I62" s="109"/>
      <c r="J62" s="109"/>
    </row>
    <row r="63" spans="1:12" ht="15" thickBot="1" x14ac:dyDescent="0.2">
      <c r="A63" s="108" t="s">
        <v>537</v>
      </c>
      <c r="B63" s="108" t="s">
        <v>764</v>
      </c>
      <c r="C63" s="81">
        <v>0.25228571428571428</v>
      </c>
      <c r="D63" s="108" t="s">
        <v>669</v>
      </c>
      <c r="E63" s="108" t="s">
        <v>766</v>
      </c>
      <c r="F63" s="17">
        <v>29.425000000000001</v>
      </c>
      <c r="G63" s="109"/>
      <c r="H63" s="109"/>
      <c r="I63" s="109"/>
      <c r="J63" s="109"/>
    </row>
    <row r="64" spans="1:12" ht="15" thickBot="1" x14ac:dyDescent="0.2">
      <c r="A64" s="108" t="s">
        <v>659</v>
      </c>
      <c r="B64" s="108" t="s">
        <v>764</v>
      </c>
      <c r="C64" s="81">
        <v>0.16875000000000001</v>
      </c>
      <c r="D64" s="108" t="s">
        <v>670</v>
      </c>
      <c r="E64" s="108" t="s">
        <v>766</v>
      </c>
      <c r="F64" s="99">
        <v>1.02875E-2</v>
      </c>
      <c r="G64" s="109"/>
      <c r="H64" s="109"/>
      <c r="I64" s="109"/>
      <c r="J64" s="109"/>
    </row>
    <row r="65" spans="1:47" ht="15" thickBot="1" x14ac:dyDescent="0.2">
      <c r="A65" s="108" t="s">
        <v>660</v>
      </c>
      <c r="B65" s="108" t="s">
        <v>764</v>
      </c>
      <c r="C65" s="81">
        <v>2.1324999999999998</v>
      </c>
      <c r="D65" s="108" t="s">
        <v>671</v>
      </c>
      <c r="E65" s="108" t="s">
        <v>766</v>
      </c>
      <c r="F65" s="81">
        <v>3.8927499999999999</v>
      </c>
      <c r="G65" s="109"/>
      <c r="H65" s="109"/>
      <c r="I65" s="109"/>
      <c r="J65" s="109"/>
    </row>
    <row r="66" spans="1:47" ht="15" thickBot="1" x14ac:dyDescent="0.2">
      <c r="A66" s="108" t="s">
        <v>661</v>
      </c>
      <c r="B66" s="108" t="s">
        <v>764</v>
      </c>
      <c r="C66" t="s">
        <v>840</v>
      </c>
      <c r="D66" s="108" t="s">
        <v>672</v>
      </c>
      <c r="E66" s="108" t="s">
        <v>766</v>
      </c>
      <c r="F66" s="81">
        <v>0.30144999999999994</v>
      </c>
      <c r="G66" s="109"/>
      <c r="H66" s="109"/>
      <c r="I66" s="109"/>
      <c r="J66" s="109"/>
    </row>
    <row r="67" spans="1:47" ht="15" thickBot="1" x14ac:dyDescent="0.2">
      <c r="A67" s="108" t="s">
        <v>663</v>
      </c>
      <c r="B67" s="108" t="s">
        <v>764</v>
      </c>
      <c r="C67" s="7">
        <v>131.36250000000001</v>
      </c>
      <c r="D67" s="108" t="s">
        <v>836</v>
      </c>
      <c r="E67" s="108" t="s">
        <v>766</v>
      </c>
      <c r="F67" s="81">
        <v>0.38112500000000005</v>
      </c>
      <c r="G67" s="109"/>
      <c r="H67" s="109"/>
      <c r="I67" s="109"/>
      <c r="J67" s="109"/>
    </row>
    <row r="68" spans="1:47" ht="15" thickBot="1" x14ac:dyDescent="0.2">
      <c r="A68" s="108" t="s">
        <v>664</v>
      </c>
      <c r="B68" s="108" t="s">
        <v>764</v>
      </c>
      <c r="C68">
        <v>64.899999999999991</v>
      </c>
      <c r="D68" s="108" t="s">
        <v>837</v>
      </c>
      <c r="E68" s="108" t="s">
        <v>766</v>
      </c>
      <c r="F68" s="81">
        <v>0.94399999999999995</v>
      </c>
      <c r="G68" s="109"/>
      <c r="H68" s="109"/>
      <c r="I68" s="109"/>
      <c r="J68" s="109"/>
    </row>
    <row r="69" spans="1:47" ht="15" thickBot="1" x14ac:dyDescent="0.2">
      <c r="A69" s="108" t="s">
        <v>665</v>
      </c>
      <c r="B69" s="108" t="s">
        <v>764</v>
      </c>
      <c r="C69" s="17">
        <v>10.856249999999998</v>
      </c>
      <c r="D69" s="108" t="s">
        <v>838</v>
      </c>
      <c r="E69" s="108" t="s">
        <v>766</v>
      </c>
      <c r="F69" s="81">
        <v>3.6637499999999998</v>
      </c>
      <c r="G69" s="109"/>
      <c r="H69" s="109"/>
      <c r="I69" s="109"/>
      <c r="J69" s="109"/>
    </row>
    <row r="70" spans="1:47" ht="15" thickBot="1" x14ac:dyDescent="0.2">
      <c r="A70" s="108" t="s">
        <v>666</v>
      </c>
      <c r="B70" s="108" t="s">
        <v>764</v>
      </c>
      <c r="C70" s="17">
        <v>13.946250000000001</v>
      </c>
      <c r="D70" s="108" t="s">
        <v>839</v>
      </c>
      <c r="E70" s="108" t="s">
        <v>766</v>
      </c>
      <c r="F70" t="s">
        <v>840</v>
      </c>
      <c r="G70" s="109"/>
      <c r="H70" s="109"/>
      <c r="I70" s="109"/>
      <c r="J70" s="109"/>
    </row>
    <row r="71" spans="1:47" ht="15" thickBot="1" x14ac:dyDescent="0.2">
      <c r="A71" s="108" t="s">
        <v>667</v>
      </c>
      <c r="B71" s="108" t="s">
        <v>764</v>
      </c>
      <c r="C71" s="17">
        <v>11.13875</v>
      </c>
      <c r="D71" s="108" t="s">
        <v>548</v>
      </c>
      <c r="E71" s="108" t="s">
        <v>766</v>
      </c>
      <c r="F71" s="81">
        <v>0.31451249999999997</v>
      </c>
      <c r="G71" s="109"/>
      <c r="H71" s="109"/>
      <c r="I71" s="109"/>
      <c r="J71" s="109"/>
    </row>
    <row r="72" spans="1:47" ht="15" thickBot="1" x14ac:dyDescent="0.2">
      <c r="A72" s="108" t="s">
        <v>542</v>
      </c>
      <c r="B72" s="108" t="s">
        <v>764</v>
      </c>
      <c r="C72" s="17">
        <v>10.3125</v>
      </c>
      <c r="D72" s="108" t="s">
        <v>847</v>
      </c>
      <c r="E72" s="108" t="s">
        <v>766</v>
      </c>
      <c r="F72" s="17">
        <v>26.573</v>
      </c>
      <c r="G72" s="109"/>
      <c r="H72" s="109"/>
      <c r="I72" s="109"/>
      <c r="J72" s="109"/>
    </row>
    <row r="73" spans="1:47" ht="14" thickBot="1" x14ac:dyDescent="0.2">
      <c r="G73" s="109"/>
      <c r="H73" s="109"/>
      <c r="I73" s="109"/>
      <c r="J73" s="109"/>
    </row>
    <row r="74" spans="1:47" ht="14" thickBot="1" x14ac:dyDescent="0.2">
      <c r="D74" s="109"/>
      <c r="E74" s="109"/>
      <c r="F74" s="109"/>
      <c r="G74" s="109"/>
      <c r="H74" s="109"/>
      <c r="I74" s="109"/>
      <c r="J74" s="109"/>
    </row>
    <row r="75" spans="1:47" ht="27" thickBot="1" x14ac:dyDescent="0.2">
      <c r="A75" s="107"/>
      <c r="B75" s="107"/>
      <c r="D75" s="105" t="s">
        <v>698</v>
      </c>
      <c r="E75" s="105" t="s">
        <v>699</v>
      </c>
      <c r="F75" s="105" t="s">
        <v>700</v>
      </c>
      <c r="G75" s="105" t="s">
        <v>534</v>
      </c>
      <c r="I75" s="105" t="s">
        <v>532</v>
      </c>
      <c r="J75" s="105" t="s">
        <v>533</v>
      </c>
      <c r="L75" s="105" t="s">
        <v>537</v>
      </c>
      <c r="M75" s="105" t="s">
        <v>662</v>
      </c>
      <c r="N75" s="105" t="s">
        <v>535</v>
      </c>
      <c r="O75" s="105" t="s">
        <v>536</v>
      </c>
      <c r="P75" s="105" t="s">
        <v>659</v>
      </c>
      <c r="Q75" s="105" t="s">
        <v>658</v>
      </c>
      <c r="R75" s="105" t="s">
        <v>661</v>
      </c>
      <c r="S75" s="105" t="s">
        <v>663</v>
      </c>
      <c r="T75" s="105" t="s">
        <v>756</v>
      </c>
      <c r="U75" s="105" t="s">
        <v>580</v>
      </c>
      <c r="V75" s="105" t="s">
        <v>664</v>
      </c>
      <c r="W75" s="105" t="s">
        <v>545</v>
      </c>
      <c r="X75" s="105" t="s">
        <v>665</v>
      </c>
      <c r="Y75" s="105" t="s">
        <v>666</v>
      </c>
      <c r="Z75" s="105" t="s">
        <v>667</v>
      </c>
      <c r="AA75" s="105" t="s">
        <v>581</v>
      </c>
      <c r="AB75" s="105" t="s">
        <v>542</v>
      </c>
      <c r="AC75" s="105" t="s">
        <v>544</v>
      </c>
      <c r="AD75" s="105" t="s">
        <v>668</v>
      </c>
      <c r="AE75" s="105" t="s">
        <v>669</v>
      </c>
      <c r="AF75" s="105" t="s">
        <v>670</v>
      </c>
      <c r="AG75" s="105" t="s">
        <v>671</v>
      </c>
      <c r="AH75" s="105" t="s">
        <v>672</v>
      </c>
      <c r="AI75" s="105" t="s">
        <v>836</v>
      </c>
      <c r="AJ75" s="105" t="s">
        <v>849</v>
      </c>
      <c r="AK75" s="105" t="s">
        <v>546</v>
      </c>
      <c r="AL75" s="105" t="s">
        <v>837</v>
      </c>
      <c r="AM75" s="105" t="s">
        <v>838</v>
      </c>
      <c r="AN75" s="105" t="s">
        <v>547</v>
      </c>
      <c r="AO75" s="105" t="s">
        <v>839</v>
      </c>
      <c r="AP75" s="105" t="s">
        <v>543</v>
      </c>
      <c r="AQ75" s="105" t="s">
        <v>548</v>
      </c>
      <c r="AR75" s="113" t="s">
        <v>847</v>
      </c>
      <c r="AS75" s="114"/>
      <c r="AT75" s="114"/>
      <c r="AU75" s="114"/>
    </row>
    <row r="76" spans="1:47" ht="14" thickBot="1" x14ac:dyDescent="0.2">
      <c r="A76" s="107"/>
      <c r="B76" s="107"/>
      <c r="D76" s="105" t="s">
        <v>760</v>
      </c>
      <c r="E76" s="105" t="s">
        <v>761</v>
      </c>
      <c r="F76" s="105" t="s">
        <v>762</v>
      </c>
      <c r="G76" s="105" t="s">
        <v>764</v>
      </c>
      <c r="I76" s="105" t="s">
        <v>763</v>
      </c>
      <c r="J76" s="105" t="s">
        <v>764</v>
      </c>
      <c r="L76" s="105" t="s">
        <v>764</v>
      </c>
      <c r="M76" s="105" t="s">
        <v>764</v>
      </c>
      <c r="N76" s="105" t="s">
        <v>764</v>
      </c>
      <c r="O76" s="105" t="s">
        <v>764</v>
      </c>
      <c r="P76" s="105" t="s">
        <v>764</v>
      </c>
      <c r="Q76" s="105" t="s">
        <v>764</v>
      </c>
      <c r="R76" s="105" t="s">
        <v>764</v>
      </c>
      <c r="S76" s="105" t="s">
        <v>764</v>
      </c>
      <c r="T76" s="105" t="s">
        <v>767</v>
      </c>
      <c r="U76" s="105" t="s">
        <v>764</v>
      </c>
      <c r="V76" s="105" t="s">
        <v>764</v>
      </c>
      <c r="W76" s="105" t="s">
        <v>764</v>
      </c>
      <c r="X76" s="105" t="s">
        <v>764</v>
      </c>
      <c r="Y76" s="105" t="s">
        <v>764</v>
      </c>
      <c r="Z76" s="105" t="s">
        <v>764</v>
      </c>
      <c r="AA76" s="105" t="s">
        <v>764</v>
      </c>
      <c r="AB76" s="105" t="s">
        <v>764</v>
      </c>
      <c r="AC76" s="105" t="s">
        <v>766</v>
      </c>
      <c r="AD76" s="105" t="s">
        <v>766</v>
      </c>
      <c r="AE76" s="105" t="s">
        <v>766</v>
      </c>
      <c r="AF76" s="105" t="s">
        <v>766</v>
      </c>
      <c r="AG76" s="105" t="s">
        <v>766</v>
      </c>
      <c r="AH76" s="105" t="s">
        <v>766</v>
      </c>
      <c r="AI76" s="105" t="s">
        <v>766</v>
      </c>
      <c r="AJ76" s="105" t="s">
        <v>766</v>
      </c>
      <c r="AK76" s="105" t="s">
        <v>766</v>
      </c>
      <c r="AL76" s="105" t="s">
        <v>766</v>
      </c>
      <c r="AM76" s="105" t="s">
        <v>766</v>
      </c>
      <c r="AN76" s="105" t="s">
        <v>766</v>
      </c>
      <c r="AO76" s="105" t="s">
        <v>766</v>
      </c>
      <c r="AP76" s="105" t="s">
        <v>766</v>
      </c>
      <c r="AQ76" s="105" t="s">
        <v>766</v>
      </c>
      <c r="AR76" s="113" t="s">
        <v>766</v>
      </c>
      <c r="AS76" s="114"/>
      <c r="AT76" s="114"/>
      <c r="AU76" s="114"/>
    </row>
    <row r="77" spans="1:47" ht="14" thickBot="1" x14ac:dyDescent="0.2">
      <c r="A77" t="s">
        <v>582</v>
      </c>
      <c r="D77" s="115">
        <v>8</v>
      </c>
      <c r="E77" s="81">
        <v>41.697222222222223</v>
      </c>
      <c r="F77" s="81">
        <v>2.3349999999999995</v>
      </c>
      <c r="G77">
        <v>4</v>
      </c>
      <c r="I77" s="99">
        <v>0.17956521739130438</v>
      </c>
      <c r="J77">
        <v>7.5</v>
      </c>
      <c r="L77" s="102">
        <v>8.4166666666666695E-3</v>
      </c>
      <c r="M77" s="102">
        <v>3.2222222222222222E-3</v>
      </c>
      <c r="N77">
        <v>5.0000000000000018E-3</v>
      </c>
      <c r="O77" s="81">
        <v>1.4861111111111101</v>
      </c>
      <c r="P77" s="81">
        <v>0.14944444444444446</v>
      </c>
      <c r="Q77" s="17">
        <v>11.666666666666666</v>
      </c>
      <c r="R77" s="17">
        <v>1.341666666666667</v>
      </c>
      <c r="S77" s="17">
        <v>69.388888888888886</v>
      </c>
      <c r="T77" s="17">
        <v>3.7833333333333345</v>
      </c>
      <c r="U77" s="17"/>
      <c r="V77" s="17">
        <v>57.766666666666652</v>
      </c>
      <c r="W77" s="102">
        <v>1.3481481481481484E-3</v>
      </c>
      <c r="X77" s="81">
        <v>7.0111111111111102</v>
      </c>
      <c r="Y77" s="81">
        <v>9.9027777777777786</v>
      </c>
      <c r="Z77" s="81">
        <v>7.3063888888888897</v>
      </c>
      <c r="AA77">
        <v>23.049999999999997</v>
      </c>
      <c r="AB77" s="81">
        <v>4.0875000000000004</v>
      </c>
      <c r="AC77" s="81">
        <v>4.6438888888888874</v>
      </c>
      <c r="AD77" s="99">
        <v>5.3611111111111144E-2</v>
      </c>
      <c r="AE77" s="17">
        <v>11.458055555555557</v>
      </c>
      <c r="AF77" s="102">
        <v>2.0583333333333343E-3</v>
      </c>
      <c r="AG77" s="99">
        <v>0.23206388888888885</v>
      </c>
      <c r="AH77" s="99">
        <v>3.3644444444444449E-2</v>
      </c>
      <c r="AI77" s="17">
        <v>8.4774999999999991</v>
      </c>
      <c r="AJ77" s="103" t="s">
        <v>583</v>
      </c>
      <c r="AK77" s="81">
        <v>2.1726666666666667</v>
      </c>
      <c r="AL77" s="81">
        <v>3.8422222222222229</v>
      </c>
      <c r="AM77" s="81">
        <v>0.83238888888888884</v>
      </c>
      <c r="AN77" s="81">
        <v>3.0207142857142855</v>
      </c>
      <c r="AO77" s="99">
        <v>1.7233333333333337E-2</v>
      </c>
      <c r="AP77" s="81">
        <v>74.622222222222206</v>
      </c>
      <c r="AQ77" s="81">
        <v>2.3161111111111108</v>
      </c>
      <c r="AR77" s="81">
        <v>1.5069444444444446</v>
      </c>
      <c r="AS77" s="17"/>
      <c r="AU77" s="81"/>
    </row>
    <row r="78" spans="1:47" ht="14" thickBot="1" x14ac:dyDescent="0.2"/>
    <row r="79" spans="1:47" ht="14" thickBot="1" x14ac:dyDescent="0.2">
      <c r="D79" s="109"/>
      <c r="E79" s="109"/>
      <c r="F79" s="109"/>
      <c r="G79" s="109"/>
      <c r="H79" s="109"/>
      <c r="I79" s="109"/>
      <c r="J79" s="109"/>
    </row>
    <row r="80" spans="1:47" ht="14" thickBot="1" x14ac:dyDescent="0.2">
      <c r="A80" s="107"/>
      <c r="B80" s="107"/>
      <c r="C80" t="s">
        <v>582</v>
      </c>
      <c r="D80" s="110"/>
      <c r="E80" s="110"/>
      <c r="F80" s="110"/>
      <c r="G80" s="109"/>
      <c r="H80" s="110"/>
      <c r="I80" s="109"/>
      <c r="J80" s="109"/>
    </row>
    <row r="81" spans="1:10" ht="14" thickBot="1" x14ac:dyDescent="0.2">
      <c r="A81" s="107"/>
      <c r="B81" s="107"/>
      <c r="D81" s="109"/>
      <c r="E81" s="109"/>
      <c r="F81" s="109"/>
      <c r="G81" s="110"/>
      <c r="H81" s="109"/>
      <c r="I81" s="110"/>
      <c r="J81" s="109"/>
    </row>
    <row r="82" spans="1:10" ht="14" thickBot="1" x14ac:dyDescent="0.2">
      <c r="D82" s="109"/>
      <c r="E82" s="109"/>
      <c r="F82" s="109"/>
      <c r="G82" s="109"/>
      <c r="H82" s="109"/>
      <c r="I82" s="109"/>
      <c r="J82" s="109"/>
    </row>
    <row r="83" spans="1:10" ht="14" thickBot="1" x14ac:dyDescent="0.2">
      <c r="A83" s="105" t="s">
        <v>698</v>
      </c>
      <c r="B83" s="105" t="s">
        <v>760</v>
      </c>
      <c r="C83" s="115">
        <v>8</v>
      </c>
      <c r="D83" s="109"/>
      <c r="E83" s="109"/>
      <c r="F83" s="109"/>
      <c r="G83" s="109"/>
      <c r="H83" s="109"/>
      <c r="I83" s="109"/>
      <c r="J83" s="109"/>
    </row>
    <row r="84" spans="1:10" ht="14" thickBot="1" x14ac:dyDescent="0.2">
      <c r="A84" s="105" t="s">
        <v>699</v>
      </c>
      <c r="B84" s="105" t="s">
        <v>761</v>
      </c>
      <c r="C84" s="81">
        <v>41.697222222222223</v>
      </c>
      <c r="D84" s="109"/>
      <c r="E84" s="109"/>
      <c r="F84" s="109"/>
      <c r="G84" s="109"/>
      <c r="H84" s="109"/>
      <c r="I84" s="109"/>
      <c r="J84" s="109"/>
    </row>
    <row r="85" spans="1:10" ht="14" thickBot="1" x14ac:dyDescent="0.2">
      <c r="A85" s="105" t="s">
        <v>700</v>
      </c>
      <c r="B85" s="105" t="s">
        <v>762</v>
      </c>
      <c r="C85" s="81">
        <v>2.3349999999999995</v>
      </c>
      <c r="D85" s="109"/>
      <c r="E85" s="109"/>
      <c r="F85" s="109"/>
      <c r="G85" s="109"/>
      <c r="H85" s="109"/>
      <c r="I85" s="109"/>
      <c r="J85" s="109"/>
    </row>
    <row r="86" spans="1:10" ht="14" thickBot="1" x14ac:dyDescent="0.2">
      <c r="A86" s="105" t="s">
        <v>534</v>
      </c>
      <c r="B86" s="105" t="s">
        <v>764</v>
      </c>
      <c r="C86">
        <v>4</v>
      </c>
      <c r="D86" s="109"/>
      <c r="E86" s="109"/>
      <c r="F86" s="109"/>
      <c r="G86" s="109"/>
      <c r="H86" s="109"/>
      <c r="I86" s="109"/>
      <c r="J86" s="109"/>
    </row>
    <row r="87" spans="1:10" ht="14" thickBot="1" x14ac:dyDescent="0.2">
      <c r="A87" s="105" t="s">
        <v>537</v>
      </c>
      <c r="B87" s="105" t="s">
        <v>764</v>
      </c>
      <c r="C87" s="102">
        <v>8.4166666666666695E-3</v>
      </c>
    </row>
    <row r="88" spans="1:10" ht="14" thickBot="1" x14ac:dyDescent="0.2">
      <c r="A88" s="105" t="s">
        <v>662</v>
      </c>
      <c r="B88" s="105" t="s">
        <v>764</v>
      </c>
      <c r="C88" s="102">
        <v>3.2222222222222222E-3</v>
      </c>
    </row>
    <row r="89" spans="1:10" ht="14" thickBot="1" x14ac:dyDescent="0.2">
      <c r="A89" s="105" t="s">
        <v>535</v>
      </c>
      <c r="B89" s="105" t="s">
        <v>764</v>
      </c>
      <c r="C89">
        <v>5.0000000000000018E-3</v>
      </c>
    </row>
    <row r="90" spans="1:10" ht="14" thickBot="1" x14ac:dyDescent="0.2">
      <c r="A90" s="105" t="s">
        <v>536</v>
      </c>
      <c r="B90" s="105" t="s">
        <v>764</v>
      </c>
      <c r="C90" s="81">
        <v>1.4861111111111101</v>
      </c>
    </row>
    <row r="91" spans="1:10" ht="14" thickBot="1" x14ac:dyDescent="0.2">
      <c r="A91" s="105" t="s">
        <v>659</v>
      </c>
      <c r="B91" s="105" t="s">
        <v>764</v>
      </c>
      <c r="C91" s="81">
        <v>0.14944444444444446</v>
      </c>
    </row>
    <row r="92" spans="1:10" ht="14" thickBot="1" x14ac:dyDescent="0.2">
      <c r="A92" s="105" t="s">
        <v>658</v>
      </c>
      <c r="B92" s="105" t="s">
        <v>764</v>
      </c>
      <c r="C92" s="17">
        <v>11.666666666666666</v>
      </c>
    </row>
    <row r="93" spans="1:10" ht="14" thickBot="1" x14ac:dyDescent="0.2">
      <c r="A93" s="105" t="s">
        <v>661</v>
      </c>
      <c r="B93" s="105" t="s">
        <v>764</v>
      </c>
      <c r="C93" s="17">
        <v>1.341666666666667</v>
      </c>
    </row>
    <row r="94" spans="1:10" ht="14" thickBot="1" x14ac:dyDescent="0.2">
      <c r="A94" s="105" t="s">
        <v>663</v>
      </c>
      <c r="B94" s="105" t="s">
        <v>764</v>
      </c>
      <c r="C94" s="17">
        <v>69.388888888888886</v>
      </c>
    </row>
    <row r="95" spans="1:10" ht="14" thickBot="1" x14ac:dyDescent="0.2">
      <c r="A95" s="105" t="s">
        <v>664</v>
      </c>
      <c r="B95" s="105" t="s">
        <v>764</v>
      </c>
      <c r="C95" s="17">
        <v>57.766666666666652</v>
      </c>
    </row>
    <row r="96" spans="1:10" ht="14" thickBot="1" x14ac:dyDescent="0.2">
      <c r="A96" s="105" t="s">
        <v>545</v>
      </c>
      <c r="B96" s="105" t="s">
        <v>764</v>
      </c>
      <c r="C96" s="102">
        <v>1.3481481481481484E-3</v>
      </c>
    </row>
    <row r="97" spans="1:3" ht="14" thickBot="1" x14ac:dyDescent="0.2">
      <c r="A97" s="105" t="s">
        <v>665</v>
      </c>
      <c r="B97" s="105" t="s">
        <v>764</v>
      </c>
      <c r="C97" s="81">
        <v>7.0111111111111102</v>
      </c>
    </row>
    <row r="98" spans="1:3" ht="14" thickBot="1" x14ac:dyDescent="0.2">
      <c r="A98" s="105" t="s">
        <v>666</v>
      </c>
      <c r="B98" s="105" t="s">
        <v>764</v>
      </c>
      <c r="C98" s="81">
        <v>9.9027777777777786</v>
      </c>
    </row>
    <row r="99" spans="1:3" ht="14" thickBot="1" x14ac:dyDescent="0.2">
      <c r="A99" s="105" t="s">
        <v>667</v>
      </c>
      <c r="B99" s="105" t="s">
        <v>764</v>
      </c>
      <c r="C99" s="81">
        <v>7.3063888888888897</v>
      </c>
    </row>
    <row r="100" spans="1:3" ht="14" thickBot="1" x14ac:dyDescent="0.2">
      <c r="A100" s="105" t="s">
        <v>581</v>
      </c>
      <c r="B100" s="105" t="s">
        <v>764</v>
      </c>
      <c r="C100">
        <v>23.049999999999997</v>
      </c>
    </row>
    <row r="101" spans="1:3" ht="14" thickBot="1" x14ac:dyDescent="0.2">
      <c r="A101" s="105" t="s">
        <v>542</v>
      </c>
      <c r="B101" s="105" t="s">
        <v>764</v>
      </c>
      <c r="C101" s="81">
        <v>4.0875000000000004</v>
      </c>
    </row>
    <row r="102" spans="1:3" ht="14" thickBot="1" x14ac:dyDescent="0.2">
      <c r="A102" s="105" t="s">
        <v>544</v>
      </c>
      <c r="B102" s="105" t="s">
        <v>766</v>
      </c>
      <c r="C102" s="81">
        <v>4.6438888888888874</v>
      </c>
    </row>
    <row r="103" spans="1:3" ht="14" thickBot="1" x14ac:dyDescent="0.2">
      <c r="A103" s="105" t="s">
        <v>668</v>
      </c>
      <c r="B103" s="105" t="s">
        <v>766</v>
      </c>
      <c r="C103" s="99">
        <v>5.3611111111111144E-2</v>
      </c>
    </row>
    <row r="104" spans="1:3" ht="14" thickBot="1" x14ac:dyDescent="0.2">
      <c r="A104" s="105" t="s">
        <v>669</v>
      </c>
      <c r="B104" s="105" t="s">
        <v>766</v>
      </c>
      <c r="C104" s="17">
        <v>11.458055555555557</v>
      </c>
    </row>
    <row r="105" spans="1:3" ht="14" thickBot="1" x14ac:dyDescent="0.2">
      <c r="A105" s="105" t="s">
        <v>670</v>
      </c>
      <c r="B105" s="105" t="s">
        <v>766</v>
      </c>
      <c r="C105" s="102">
        <v>2.0583333333333343E-3</v>
      </c>
    </row>
    <row r="106" spans="1:3" ht="14" thickBot="1" x14ac:dyDescent="0.2">
      <c r="A106" s="105" t="s">
        <v>671</v>
      </c>
      <c r="B106" s="105" t="s">
        <v>766</v>
      </c>
      <c r="C106" s="99">
        <v>0.23206388888888885</v>
      </c>
    </row>
    <row r="107" spans="1:3" ht="14" thickBot="1" x14ac:dyDescent="0.2">
      <c r="A107" s="105" t="s">
        <v>672</v>
      </c>
      <c r="B107" s="105" t="s">
        <v>766</v>
      </c>
      <c r="C107" s="99">
        <v>3.3644444444444449E-2</v>
      </c>
    </row>
    <row r="108" spans="1:3" ht="14" thickBot="1" x14ac:dyDescent="0.2">
      <c r="A108" s="105" t="s">
        <v>836</v>
      </c>
      <c r="B108" s="105" t="s">
        <v>766</v>
      </c>
      <c r="C108" s="17">
        <v>8.4774999999999991</v>
      </c>
    </row>
    <row r="109" spans="1:3" ht="14" thickBot="1" x14ac:dyDescent="0.2">
      <c r="A109" s="105" t="s">
        <v>849</v>
      </c>
      <c r="B109" s="105" t="s">
        <v>766</v>
      </c>
      <c r="C109" s="103" t="s">
        <v>583</v>
      </c>
    </row>
    <row r="110" spans="1:3" ht="14" thickBot="1" x14ac:dyDescent="0.2">
      <c r="A110" s="105" t="s">
        <v>546</v>
      </c>
      <c r="B110" s="105" t="s">
        <v>766</v>
      </c>
      <c r="C110" s="81">
        <v>2.1726666666666667</v>
      </c>
    </row>
    <row r="111" spans="1:3" ht="14" thickBot="1" x14ac:dyDescent="0.2">
      <c r="A111" s="105" t="s">
        <v>837</v>
      </c>
      <c r="B111" s="105" t="s">
        <v>766</v>
      </c>
      <c r="C111" s="81">
        <v>3.8422222222222229</v>
      </c>
    </row>
    <row r="112" spans="1:3" ht="14" thickBot="1" x14ac:dyDescent="0.2">
      <c r="A112" s="105" t="s">
        <v>838</v>
      </c>
      <c r="B112" s="105" t="s">
        <v>766</v>
      </c>
      <c r="C112" s="81">
        <v>0.83238888888888884</v>
      </c>
    </row>
    <row r="113" spans="1:3" ht="14" thickBot="1" x14ac:dyDescent="0.2">
      <c r="A113" s="105" t="s">
        <v>547</v>
      </c>
      <c r="B113" s="105" t="s">
        <v>766</v>
      </c>
      <c r="C113" s="81">
        <v>3.0207142857142855</v>
      </c>
    </row>
    <row r="114" spans="1:3" ht="14" thickBot="1" x14ac:dyDescent="0.2">
      <c r="A114" s="105" t="s">
        <v>839</v>
      </c>
      <c r="B114" s="105" t="s">
        <v>766</v>
      </c>
      <c r="C114" s="99">
        <v>1.7233333333333337E-2</v>
      </c>
    </row>
    <row r="115" spans="1:3" ht="14" thickBot="1" x14ac:dyDescent="0.2">
      <c r="A115" s="105" t="s">
        <v>543</v>
      </c>
      <c r="B115" s="105" t="s">
        <v>766</v>
      </c>
      <c r="C115" s="81">
        <v>74.622222222222206</v>
      </c>
    </row>
    <row r="116" spans="1:3" ht="14" thickBot="1" x14ac:dyDescent="0.2">
      <c r="A116" s="105" t="s">
        <v>548</v>
      </c>
      <c r="B116" s="105" t="s">
        <v>766</v>
      </c>
      <c r="C116" s="81">
        <v>2.3161111111111108</v>
      </c>
    </row>
    <row r="117" spans="1:3" ht="14" thickBot="1" x14ac:dyDescent="0.2">
      <c r="A117" s="113" t="s">
        <v>847</v>
      </c>
      <c r="B117" s="113" t="s">
        <v>766</v>
      </c>
      <c r="C117" s="81">
        <v>1.5069444444444446</v>
      </c>
    </row>
  </sheetData>
  <mergeCells count="12">
    <mergeCell ref="A20:A21"/>
    <mergeCell ref="C9:D9"/>
    <mergeCell ref="A1:C1"/>
    <mergeCell ref="A3:E4"/>
    <mergeCell ref="C12:D12"/>
    <mergeCell ref="C10:D10"/>
    <mergeCell ref="C11:D11"/>
    <mergeCell ref="F3:G3"/>
    <mergeCell ref="C5:D5"/>
    <mergeCell ref="C6:D6"/>
    <mergeCell ref="C7:D7"/>
    <mergeCell ref="C8:D8"/>
  </mergeCells>
  <phoneticPr fontId="8" type="noConversion"/>
  <pageMargins left="0.79000000000000015" right="0.79000000000000015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732"/>
  <sheetViews>
    <sheetView topLeftCell="A21" workbookViewId="0">
      <selection activeCell="C43" sqref="C43"/>
    </sheetView>
  </sheetViews>
  <sheetFormatPr baseColWidth="10" defaultRowHeight="13" x14ac:dyDescent="0.15"/>
  <sheetData>
    <row r="1" spans="1:8" x14ac:dyDescent="0.15"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</row>
    <row r="2" spans="1:8" x14ac:dyDescent="0.15">
      <c r="B2" t="s">
        <v>437</v>
      </c>
      <c r="C2" t="s">
        <v>431</v>
      </c>
      <c r="D2" t="s">
        <v>438</v>
      </c>
    </row>
    <row r="3" spans="1:8" x14ac:dyDescent="0.15">
      <c r="A3" t="s">
        <v>439</v>
      </c>
      <c r="B3" t="s">
        <v>431</v>
      </c>
      <c r="C3" t="s">
        <v>432</v>
      </c>
      <c r="D3" t="s">
        <v>433</v>
      </c>
      <c r="E3" t="s">
        <v>434</v>
      </c>
      <c r="F3" t="s">
        <v>435</v>
      </c>
      <c r="G3" t="s">
        <v>440</v>
      </c>
    </row>
    <row r="5" spans="1:8" x14ac:dyDescent="0.15">
      <c r="A5" t="s">
        <v>441</v>
      </c>
    </row>
    <row r="6" spans="1:8" x14ac:dyDescent="0.15">
      <c r="A6" t="s">
        <v>442</v>
      </c>
      <c r="B6" t="s">
        <v>443</v>
      </c>
      <c r="C6" t="s">
        <v>444</v>
      </c>
    </row>
    <row r="7" spans="1:8" x14ac:dyDescent="0.15">
      <c r="A7" t="s">
        <v>441</v>
      </c>
    </row>
    <row r="9" spans="1:8" x14ac:dyDescent="0.15">
      <c r="B9" t="s">
        <v>445</v>
      </c>
    </row>
    <row r="10" spans="1:8" x14ac:dyDescent="0.15">
      <c r="B10" t="s">
        <v>446</v>
      </c>
    </row>
    <row r="11" spans="1:8" x14ac:dyDescent="0.15">
      <c r="B11" t="s">
        <v>446</v>
      </c>
    </row>
    <row r="12" spans="1:8" x14ac:dyDescent="0.15">
      <c r="B12" t="s">
        <v>447</v>
      </c>
    </row>
    <row r="13" spans="1:8" x14ac:dyDescent="0.15">
      <c r="B13" t="s">
        <v>447</v>
      </c>
    </row>
    <row r="14" spans="1:8" x14ac:dyDescent="0.15">
      <c r="B14" t="s">
        <v>448</v>
      </c>
    </row>
    <row r="15" spans="1:8" x14ac:dyDescent="0.15">
      <c r="B15" t="s">
        <v>449</v>
      </c>
    </row>
    <row r="16" spans="1:8" x14ac:dyDescent="0.15">
      <c r="B16" t="s">
        <v>450</v>
      </c>
    </row>
    <row r="17" spans="1:7" x14ac:dyDescent="0.15">
      <c r="A17" t="s">
        <v>451</v>
      </c>
    </row>
    <row r="18" spans="1:7" x14ac:dyDescent="0.15">
      <c r="A18" t="s">
        <v>442</v>
      </c>
      <c r="B18" t="s">
        <v>452</v>
      </c>
      <c r="C18" t="s">
        <v>443</v>
      </c>
      <c r="D18" t="s">
        <v>453</v>
      </c>
      <c r="E18" t="s">
        <v>454</v>
      </c>
      <c r="F18">
        <v>1</v>
      </c>
    </row>
    <row r="19" spans="1:7" x14ac:dyDescent="0.15">
      <c r="A19" t="s">
        <v>451</v>
      </c>
    </row>
    <row r="21" spans="1:7" x14ac:dyDescent="0.15">
      <c r="B21" t="s">
        <v>455</v>
      </c>
      <c r="C21" t="s">
        <v>432</v>
      </c>
      <c r="D21" t="s">
        <v>433</v>
      </c>
      <c r="E21" t="s">
        <v>434</v>
      </c>
      <c r="F21" t="s">
        <v>435</v>
      </c>
      <c r="G21" t="s">
        <v>440</v>
      </c>
    </row>
    <row r="22" spans="1:7" x14ac:dyDescent="0.15">
      <c r="B22" t="s">
        <v>456</v>
      </c>
      <c r="C22">
        <v>1</v>
      </c>
      <c r="D22" t="s">
        <v>457</v>
      </c>
      <c r="E22" t="s">
        <v>458</v>
      </c>
    </row>
    <row r="23" spans="1:7" x14ac:dyDescent="0.15">
      <c r="B23" t="s">
        <v>459</v>
      </c>
      <c r="C23">
        <v>10</v>
      </c>
    </row>
    <row r="24" spans="1:7" x14ac:dyDescent="0.15">
      <c r="B24" t="s">
        <v>698</v>
      </c>
      <c r="C24">
        <v>8.1</v>
      </c>
    </row>
    <row r="25" spans="1:7" x14ac:dyDescent="0.15">
      <c r="B25" t="s">
        <v>460</v>
      </c>
      <c r="C25">
        <v>4</v>
      </c>
      <c r="D25" t="s">
        <v>461</v>
      </c>
      <c r="E25">
        <v>0</v>
      </c>
    </row>
    <row r="26" spans="1:7" x14ac:dyDescent="0.15">
      <c r="B26" t="s">
        <v>462</v>
      </c>
      <c r="C26" t="s">
        <v>460</v>
      </c>
    </row>
    <row r="27" spans="1:7" x14ac:dyDescent="0.15">
      <c r="B27" t="s">
        <v>463</v>
      </c>
      <c r="C27" t="s">
        <v>464</v>
      </c>
    </row>
    <row r="28" spans="1:7" x14ac:dyDescent="0.15">
      <c r="B28" t="s">
        <v>465</v>
      </c>
      <c r="C28">
        <v>1</v>
      </c>
    </row>
    <row r="29" spans="1:7" x14ac:dyDescent="0.15">
      <c r="B29" t="s">
        <v>466</v>
      </c>
      <c r="C29">
        <v>2E-3</v>
      </c>
      <c r="D29" t="s">
        <v>467</v>
      </c>
    </row>
    <row r="30" spans="1:7" x14ac:dyDescent="0.15">
      <c r="B30" t="s">
        <v>664</v>
      </c>
      <c r="C30">
        <v>174</v>
      </c>
    </row>
    <row r="31" spans="1:7" x14ac:dyDescent="0.15">
      <c r="B31" t="s">
        <v>658</v>
      </c>
      <c r="C31">
        <v>170</v>
      </c>
    </row>
    <row r="32" spans="1:7" x14ac:dyDescent="0.15">
      <c r="B32" t="s">
        <v>671</v>
      </c>
      <c r="C32">
        <v>2.7000000000000001E-3</v>
      </c>
    </row>
    <row r="33" spans="2:6" x14ac:dyDescent="0.15">
      <c r="B33" t="s">
        <v>836</v>
      </c>
      <c r="C33">
        <v>2.5000000000000001E-3</v>
      </c>
    </row>
    <row r="34" spans="2:6" x14ac:dyDescent="0.15">
      <c r="B34" t="s">
        <v>837</v>
      </c>
      <c r="C34">
        <v>1.9E-2</v>
      </c>
    </row>
    <row r="35" spans="2:6" x14ac:dyDescent="0.15">
      <c r="B35" t="s">
        <v>468</v>
      </c>
      <c r="C35">
        <v>1.4</v>
      </c>
    </row>
    <row r="36" spans="2:6" x14ac:dyDescent="0.15">
      <c r="B36" t="s">
        <v>469</v>
      </c>
      <c r="C36">
        <v>7.5</v>
      </c>
    </row>
    <row r="37" spans="2:6" x14ac:dyDescent="0.15">
      <c r="B37" t="s">
        <v>667</v>
      </c>
      <c r="C37">
        <v>20</v>
      </c>
      <c r="D37" t="s">
        <v>470</v>
      </c>
    </row>
    <row r="38" spans="2:6" x14ac:dyDescent="0.15">
      <c r="B38" t="s">
        <v>838</v>
      </c>
      <c r="C38">
        <v>1.6999999999999999E-3</v>
      </c>
    </row>
    <row r="39" spans="2:6" x14ac:dyDescent="0.15">
      <c r="B39" t="s">
        <v>471</v>
      </c>
      <c r="C39">
        <v>10</v>
      </c>
    </row>
    <row r="40" spans="2:6" x14ac:dyDescent="0.15">
      <c r="B40" t="s">
        <v>472</v>
      </c>
      <c r="C40">
        <v>461</v>
      </c>
    </row>
    <row r="41" spans="2:6" x14ac:dyDescent="0.15">
      <c r="B41" t="s">
        <v>847</v>
      </c>
      <c r="C41">
        <v>2.5999999999999999E-3</v>
      </c>
    </row>
    <row r="42" spans="2:6" x14ac:dyDescent="0.15">
      <c r="B42" t="s">
        <v>473</v>
      </c>
      <c r="C42">
        <v>1</v>
      </c>
      <c r="D42" t="s">
        <v>474</v>
      </c>
      <c r="E42" t="s">
        <v>475</v>
      </c>
    </row>
    <row r="43" spans="2:6" x14ac:dyDescent="0.15">
      <c r="B43" t="s">
        <v>456</v>
      </c>
      <c r="C43">
        <v>2</v>
      </c>
      <c r="D43" t="s">
        <v>457</v>
      </c>
      <c r="E43" t="s">
        <v>458</v>
      </c>
      <c r="F43" t="s">
        <v>476</v>
      </c>
    </row>
    <row r="44" spans="2:6" x14ac:dyDescent="0.15">
      <c r="B44" t="s">
        <v>459</v>
      </c>
      <c r="C44">
        <v>10</v>
      </c>
    </row>
    <row r="45" spans="2:6" x14ac:dyDescent="0.15">
      <c r="B45" t="s">
        <v>698</v>
      </c>
      <c r="C45">
        <v>8.1</v>
      </c>
    </row>
    <row r="46" spans="2:6" x14ac:dyDescent="0.15">
      <c r="B46" t="s">
        <v>460</v>
      </c>
      <c r="C46">
        <v>4</v>
      </c>
      <c r="D46" t="s">
        <v>461</v>
      </c>
      <c r="E46">
        <v>0</v>
      </c>
    </row>
    <row r="47" spans="2:6" x14ac:dyDescent="0.15">
      <c r="B47" t="s">
        <v>462</v>
      </c>
      <c r="C47" t="s">
        <v>460</v>
      </c>
    </row>
    <row r="48" spans="2:6" x14ac:dyDescent="0.15">
      <c r="B48" t="s">
        <v>463</v>
      </c>
      <c r="C48" t="s">
        <v>464</v>
      </c>
    </row>
    <row r="49" spans="1:5" x14ac:dyDescent="0.15">
      <c r="B49" t="s">
        <v>465</v>
      </c>
      <c r="C49">
        <v>1</v>
      </c>
    </row>
    <row r="50" spans="1:5" x14ac:dyDescent="0.15">
      <c r="B50" t="s">
        <v>466</v>
      </c>
      <c r="C50">
        <v>2E-3</v>
      </c>
      <c r="D50" t="s">
        <v>467</v>
      </c>
    </row>
    <row r="51" spans="1:5" x14ac:dyDescent="0.15">
      <c r="B51" t="s">
        <v>664</v>
      </c>
      <c r="C51">
        <v>174</v>
      </c>
      <c r="D51" t="s">
        <v>477</v>
      </c>
      <c r="E51">
        <v>0.2</v>
      </c>
    </row>
    <row r="52" spans="1:5" x14ac:dyDescent="0.15">
      <c r="B52" t="s">
        <v>658</v>
      </c>
      <c r="C52">
        <v>170</v>
      </c>
    </row>
    <row r="53" spans="1:5" x14ac:dyDescent="0.15">
      <c r="B53" t="s">
        <v>671</v>
      </c>
      <c r="C53">
        <v>2.7000000000000001E-3</v>
      </c>
    </row>
    <row r="54" spans="1:5" x14ac:dyDescent="0.15">
      <c r="B54" t="s">
        <v>836</v>
      </c>
      <c r="C54">
        <v>2.5000000000000001E-3</v>
      </c>
    </row>
    <row r="55" spans="1:5" x14ac:dyDescent="0.15">
      <c r="B55" t="s">
        <v>837</v>
      </c>
      <c r="C55">
        <v>1.9E-2</v>
      </c>
    </row>
    <row r="56" spans="1:5" x14ac:dyDescent="0.15">
      <c r="B56" t="s">
        <v>468</v>
      </c>
      <c r="C56">
        <v>1.4</v>
      </c>
    </row>
    <row r="57" spans="1:5" x14ac:dyDescent="0.15">
      <c r="B57" t="s">
        <v>469</v>
      </c>
      <c r="C57">
        <v>7.5</v>
      </c>
    </row>
    <row r="58" spans="1:5" x14ac:dyDescent="0.15">
      <c r="B58" t="s">
        <v>667</v>
      </c>
      <c r="C58">
        <v>20</v>
      </c>
      <c r="D58" t="s">
        <v>470</v>
      </c>
    </row>
    <row r="59" spans="1:5" x14ac:dyDescent="0.15">
      <c r="B59" t="s">
        <v>838</v>
      </c>
      <c r="C59">
        <v>1.6999999999999999E-3</v>
      </c>
    </row>
    <row r="60" spans="1:5" x14ac:dyDescent="0.15">
      <c r="B60" t="s">
        <v>471</v>
      </c>
      <c r="C60">
        <v>10</v>
      </c>
    </row>
    <row r="61" spans="1:5" x14ac:dyDescent="0.15">
      <c r="B61" t="s">
        <v>472</v>
      </c>
      <c r="C61">
        <v>461</v>
      </c>
    </row>
    <row r="62" spans="1:5" x14ac:dyDescent="0.15">
      <c r="B62" t="s">
        <v>847</v>
      </c>
      <c r="C62">
        <v>2.5999999999999999E-3</v>
      </c>
    </row>
    <row r="63" spans="1:5" x14ac:dyDescent="0.15">
      <c r="B63" t="s">
        <v>473</v>
      </c>
      <c r="C63">
        <v>1</v>
      </c>
      <c r="D63" t="s">
        <v>474</v>
      </c>
      <c r="E63" t="s">
        <v>475</v>
      </c>
    </row>
    <row r="64" spans="1:5" x14ac:dyDescent="0.15">
      <c r="A64" t="s">
        <v>478</v>
      </c>
    </row>
    <row r="65" spans="1:5" x14ac:dyDescent="0.15">
      <c r="A65" t="s">
        <v>479</v>
      </c>
      <c r="B65" t="s">
        <v>480</v>
      </c>
      <c r="C65" t="s">
        <v>481</v>
      </c>
      <c r="D65" t="s">
        <v>482</v>
      </c>
      <c r="E65" t="s">
        <v>483</v>
      </c>
    </row>
    <row r="66" spans="1:5" x14ac:dyDescent="0.15">
      <c r="A66" t="s">
        <v>478</v>
      </c>
    </row>
    <row r="68" spans="1:5" x14ac:dyDescent="0.15">
      <c r="A68" t="s">
        <v>484</v>
      </c>
      <c r="B68" t="s">
        <v>482</v>
      </c>
      <c r="C68">
        <v>1</v>
      </c>
      <c r="D68" t="s">
        <v>457</v>
      </c>
      <c r="E68" t="s">
        <v>458</v>
      </c>
    </row>
    <row r="70" spans="1:5" x14ac:dyDescent="0.15">
      <c r="A70" t="e">
        <f>-----------------------------Solution</f>
        <v>#NAME?</v>
      </c>
      <c r="B70" t="s">
        <v>204</v>
      </c>
    </row>
    <row r="72" spans="1:5" x14ac:dyDescent="0.15">
      <c r="B72" t="s">
        <v>205</v>
      </c>
      <c r="C72" t="s">
        <v>206</v>
      </c>
      <c r="D72" t="s">
        <v>207</v>
      </c>
    </row>
    <row r="74" spans="1:5" x14ac:dyDescent="0.15">
      <c r="B74" t="s">
        <v>466</v>
      </c>
      <c r="C74" s="169">
        <v>2E-3</v>
      </c>
      <c r="D74" s="169">
        <v>2E-3</v>
      </c>
    </row>
    <row r="75" spans="1:5" x14ac:dyDescent="0.15">
      <c r="B75" t="s">
        <v>664</v>
      </c>
      <c r="C75" s="169">
        <v>4.3420000000000004E-3</v>
      </c>
      <c r="D75" s="169">
        <v>4.3420000000000004E-3</v>
      </c>
    </row>
    <row r="76" spans="1:5" x14ac:dyDescent="0.15">
      <c r="B76" t="s">
        <v>658</v>
      </c>
      <c r="C76" s="169">
        <v>4.7949999999999998E-3</v>
      </c>
      <c r="D76" s="169">
        <v>4.7949999999999998E-3</v>
      </c>
    </row>
    <row r="77" spans="1:5" x14ac:dyDescent="0.15">
      <c r="B77" t="s">
        <v>671</v>
      </c>
      <c r="C77" s="169">
        <v>4.5809999999999998E-8</v>
      </c>
      <c r="D77" s="169">
        <v>4.5809999999999998E-8</v>
      </c>
    </row>
    <row r="78" spans="1:5" x14ac:dyDescent="0.15">
      <c r="B78" t="s">
        <v>836</v>
      </c>
      <c r="C78" s="169">
        <v>3.934E-8</v>
      </c>
      <c r="D78" s="169">
        <v>3.934E-8</v>
      </c>
    </row>
    <row r="79" spans="1:5" x14ac:dyDescent="0.15">
      <c r="B79" t="s">
        <v>837</v>
      </c>
      <c r="C79" s="169">
        <v>1.98E-7</v>
      </c>
      <c r="D79" s="169">
        <v>1.98E-7</v>
      </c>
    </row>
    <row r="80" spans="1:5" x14ac:dyDescent="0.15">
      <c r="B80" t="s">
        <v>468</v>
      </c>
      <c r="C80" s="169">
        <v>9.9950000000000004E-5</v>
      </c>
      <c r="D80" s="169">
        <v>9.9950000000000004E-5</v>
      </c>
    </row>
    <row r="81" spans="1:7" x14ac:dyDescent="0.15">
      <c r="B81" t="s">
        <v>469</v>
      </c>
      <c r="C81" s="169">
        <v>5.3549999999999995E-4</v>
      </c>
      <c r="D81" s="169">
        <v>5.3549999999999995E-4</v>
      </c>
    </row>
    <row r="82" spans="1:7" x14ac:dyDescent="0.15">
      <c r="B82" t="s">
        <v>667</v>
      </c>
      <c r="C82" s="169">
        <v>8.1449999999999995E-3</v>
      </c>
      <c r="D82" s="169">
        <v>8.1449999999999995E-3</v>
      </c>
      <c r="E82" t="s">
        <v>208</v>
      </c>
      <c r="F82" t="s">
        <v>209</v>
      </c>
    </row>
    <row r="83" spans="1:7" x14ac:dyDescent="0.15">
      <c r="B83" t="s">
        <v>838</v>
      </c>
      <c r="C83" s="169">
        <v>2.8970000000000001E-8</v>
      </c>
      <c r="D83" s="169">
        <v>2.8970000000000001E-8</v>
      </c>
    </row>
    <row r="84" spans="1:7" x14ac:dyDescent="0.15">
      <c r="B84" t="s">
        <v>471</v>
      </c>
      <c r="C84" s="169">
        <v>6.2500000000000001E-4</v>
      </c>
      <c r="D84" s="169">
        <v>6.2500000000000001E-4</v>
      </c>
    </row>
    <row r="85" spans="1:7" x14ac:dyDescent="0.15">
      <c r="B85" t="s">
        <v>472</v>
      </c>
      <c r="C85" s="169">
        <v>4.7990000000000003E-3</v>
      </c>
      <c r="D85" s="169">
        <v>4.7990000000000003E-3</v>
      </c>
    </row>
    <row r="86" spans="1:7" x14ac:dyDescent="0.15">
      <c r="B86" t="s">
        <v>847</v>
      </c>
      <c r="C86" s="169">
        <v>3.976E-8</v>
      </c>
      <c r="D86" s="169">
        <v>3.976E-8</v>
      </c>
    </row>
    <row r="88" spans="1:7" x14ac:dyDescent="0.15">
      <c r="A88" t="e">
        <f>----------------------------Description</f>
        <v>#NAME?</v>
      </c>
      <c r="B88" t="s">
        <v>480</v>
      </c>
      <c r="C88" t="s">
        <v>210</v>
      </c>
    </row>
    <row r="90" spans="1:7" x14ac:dyDescent="0.15">
      <c r="B90" t="s">
        <v>698</v>
      </c>
      <c r="C90" t="s">
        <v>211</v>
      </c>
      <c r="D90">
        <v>8.1</v>
      </c>
    </row>
    <row r="91" spans="1:7" x14ac:dyDescent="0.15">
      <c r="B91" t="s">
        <v>460</v>
      </c>
      <c r="C91" t="s">
        <v>211</v>
      </c>
      <c r="D91">
        <v>13.999000000000001</v>
      </c>
      <c r="E91" t="s">
        <v>212</v>
      </c>
      <c r="F91" t="s">
        <v>213</v>
      </c>
      <c r="G91" t="s">
        <v>461</v>
      </c>
    </row>
    <row r="92" spans="1:7" x14ac:dyDescent="0.15">
      <c r="B92" t="s">
        <v>214</v>
      </c>
      <c r="C92" t="s">
        <v>480</v>
      </c>
      <c r="D92" t="s">
        <v>473</v>
      </c>
      <c r="E92" t="s">
        <v>211</v>
      </c>
      <c r="F92">
        <v>1</v>
      </c>
    </row>
    <row r="93" spans="1:7" x14ac:dyDescent="0.15">
      <c r="B93" t="s">
        <v>215</v>
      </c>
      <c r="C93" t="s">
        <v>216</v>
      </c>
      <c r="D93" t="s">
        <v>211</v>
      </c>
      <c r="E93" s="169">
        <v>2.2349999999999998E-2</v>
      </c>
    </row>
    <row r="94" spans="1:7" x14ac:dyDescent="0.15">
      <c r="B94" t="s">
        <v>217</v>
      </c>
      <c r="C94" t="s">
        <v>480</v>
      </c>
      <c r="D94" t="s">
        <v>473</v>
      </c>
      <c r="E94" t="s">
        <v>218</v>
      </c>
      <c r="F94" t="s">
        <v>211</v>
      </c>
      <c r="G94" s="169">
        <v>1</v>
      </c>
    </row>
    <row r="95" spans="1:7" x14ac:dyDescent="0.15">
      <c r="B95" t="s">
        <v>1228</v>
      </c>
      <c r="C95" t="s">
        <v>219</v>
      </c>
      <c r="D95" t="s">
        <v>220</v>
      </c>
      <c r="E95" t="s">
        <v>211</v>
      </c>
      <c r="F95" s="169">
        <v>1.99E-3</v>
      </c>
    </row>
    <row r="96" spans="1:7" x14ac:dyDescent="0.15">
      <c r="B96" t="s">
        <v>1228</v>
      </c>
      <c r="C96" t="s">
        <v>221</v>
      </c>
      <c r="D96" t="s">
        <v>220</v>
      </c>
      <c r="E96" t="s">
        <v>211</v>
      </c>
      <c r="F96" s="169">
        <v>1.99E-3</v>
      </c>
    </row>
    <row r="97" spans="1:6" x14ac:dyDescent="0.15">
      <c r="B97" t="s">
        <v>222</v>
      </c>
      <c r="C97" t="s">
        <v>223</v>
      </c>
      <c r="D97" t="s">
        <v>224</v>
      </c>
      <c r="E97" t="s">
        <v>211</v>
      </c>
      <c r="F97">
        <v>10</v>
      </c>
    </row>
    <row r="98" spans="1:6" x14ac:dyDescent="0.15">
      <c r="B98" t="s">
        <v>225</v>
      </c>
      <c r="C98" t="s">
        <v>209</v>
      </c>
      <c r="D98" t="s">
        <v>226</v>
      </c>
      <c r="E98" t="s">
        <v>211</v>
      </c>
      <c r="F98" s="169">
        <v>4.4569999999999997E-15</v>
      </c>
    </row>
    <row r="99" spans="1:6" x14ac:dyDescent="0.15">
      <c r="B99" t="s">
        <v>227</v>
      </c>
      <c r="C99" t="s">
        <v>228</v>
      </c>
      <c r="D99" t="s">
        <v>229</v>
      </c>
      <c r="E99" t="s">
        <v>211</v>
      </c>
      <c r="F99">
        <v>0</v>
      </c>
    </row>
    <row r="100" spans="1:6" x14ac:dyDescent="0.15">
      <c r="B100" t="s">
        <v>497</v>
      </c>
      <c r="C100" t="s">
        <v>211</v>
      </c>
      <c r="D100">
        <v>11</v>
      </c>
    </row>
    <row r="101" spans="1:6" x14ac:dyDescent="0.15">
      <c r="B101" t="s">
        <v>1228</v>
      </c>
      <c r="C101" t="s">
        <v>498</v>
      </c>
      <c r="D101" t="s">
        <v>211</v>
      </c>
      <c r="E101" s="169">
        <v>111.01600000000001</v>
      </c>
    </row>
    <row r="102" spans="1:6" x14ac:dyDescent="0.15">
      <c r="B102" t="s">
        <v>1228</v>
      </c>
      <c r="C102" t="s">
        <v>499</v>
      </c>
      <c r="D102" t="s">
        <v>211</v>
      </c>
      <c r="E102" s="169">
        <v>55.534230000000001</v>
      </c>
    </row>
    <row r="104" spans="1:6" x14ac:dyDescent="0.15">
      <c r="A104" t="e">
        <f>---------------------------------Redox</f>
        <v>#NAME?</v>
      </c>
      <c r="B104" t="s">
        <v>500</v>
      </c>
    </row>
    <row r="106" spans="1:6" x14ac:dyDescent="0.15">
      <c r="B106" t="s">
        <v>501</v>
      </c>
      <c r="C106" t="s">
        <v>502</v>
      </c>
      <c r="D106" t="s">
        <v>460</v>
      </c>
      <c r="E106" t="s">
        <v>503</v>
      </c>
      <c r="F106" t="s">
        <v>504</v>
      </c>
    </row>
    <row r="108" spans="1:6" x14ac:dyDescent="0.15">
      <c r="B108" t="s">
        <v>505</v>
      </c>
      <c r="C108">
        <v>5.7693000000000003</v>
      </c>
      <c r="D108">
        <v>0.3241</v>
      </c>
    </row>
    <row r="109" spans="1:6" x14ac:dyDescent="0.15">
      <c r="B109" t="s">
        <v>506</v>
      </c>
      <c r="C109">
        <v>13.639099999999999</v>
      </c>
      <c r="D109">
        <v>0.76619999999999999</v>
      </c>
    </row>
    <row r="111" spans="1:6" x14ac:dyDescent="0.15">
      <c r="A111" t="e">
        <f>----------------------------Distribution</f>
        <v>#NAME?</v>
      </c>
      <c r="B111" t="s">
        <v>480</v>
      </c>
      <c r="C111" t="s">
        <v>507</v>
      </c>
    </row>
    <row r="113" spans="1:8" x14ac:dyDescent="0.15">
      <c r="B113" t="s">
        <v>508</v>
      </c>
      <c r="C113" t="s">
        <v>508</v>
      </c>
      <c r="D113" t="s">
        <v>508</v>
      </c>
      <c r="E113" t="s">
        <v>509</v>
      </c>
      <c r="F113" t="s">
        <v>548</v>
      </c>
    </row>
    <row r="114" spans="1:8" x14ac:dyDescent="0.15">
      <c r="B114" t="s">
        <v>510</v>
      </c>
      <c r="C114" t="s">
        <v>206</v>
      </c>
      <c r="D114" t="s">
        <v>214</v>
      </c>
      <c r="E114" t="s">
        <v>206</v>
      </c>
      <c r="F114" t="s">
        <v>214</v>
      </c>
      <c r="G114" t="s">
        <v>511</v>
      </c>
      <c r="H114" t="s">
        <v>512</v>
      </c>
    </row>
    <row r="116" spans="1:8" x14ac:dyDescent="0.15">
      <c r="B116" t="s">
        <v>513</v>
      </c>
      <c r="C116" s="169">
        <v>4.4509999999999998E-7</v>
      </c>
      <c r="D116" s="169">
        <v>3.8449999999999998E-7</v>
      </c>
      <c r="E116">
        <v>-6.3520000000000003</v>
      </c>
      <c r="F116">
        <v>-6.415</v>
      </c>
      <c r="G116">
        <v>-6.4000000000000001E-2</v>
      </c>
      <c r="H116">
        <v>0</v>
      </c>
    </row>
    <row r="117" spans="1:8" x14ac:dyDescent="0.15">
      <c r="B117" t="s">
        <v>514</v>
      </c>
      <c r="C117" s="169">
        <v>9.1499999999999992E-9</v>
      </c>
      <c r="D117" s="169">
        <v>7.9430000000000004E-9</v>
      </c>
      <c r="E117">
        <v>-8.0389999999999997</v>
      </c>
      <c r="F117">
        <v>-8.1</v>
      </c>
      <c r="G117">
        <v>-6.0999999999999999E-2</v>
      </c>
      <c r="H117">
        <v>0</v>
      </c>
    </row>
    <row r="118" spans="1:8" x14ac:dyDescent="0.15">
      <c r="B118" t="s">
        <v>515</v>
      </c>
      <c r="C118" s="169">
        <v>55.51</v>
      </c>
      <c r="D118" s="169">
        <v>0.99960000000000004</v>
      </c>
      <c r="E118">
        <v>1.744</v>
      </c>
      <c r="F118">
        <v>0</v>
      </c>
      <c r="G118">
        <v>0</v>
      </c>
      <c r="H118">
        <v>18.02</v>
      </c>
    </row>
    <row r="119" spans="1:8" x14ac:dyDescent="0.15">
      <c r="A119" t="s">
        <v>516</v>
      </c>
      <c r="B119" s="169">
        <v>1.99E-3</v>
      </c>
    </row>
    <row r="120" spans="1:8" x14ac:dyDescent="0.15">
      <c r="B120" t="s">
        <v>517</v>
      </c>
      <c r="C120" s="169">
        <v>1.872E-3</v>
      </c>
      <c r="D120" s="169">
        <v>1.634E-3</v>
      </c>
      <c r="E120">
        <v>-2.7280000000000002</v>
      </c>
      <c r="F120">
        <v>-2.7869999999999999</v>
      </c>
      <c r="G120">
        <v>-5.8999999999999997E-2</v>
      </c>
      <c r="H120">
        <v>0</v>
      </c>
    </row>
    <row r="121" spans="1:8" x14ac:dyDescent="0.15">
      <c r="B121" t="s">
        <v>518</v>
      </c>
      <c r="C121" s="169">
        <v>4.4230000000000002E-5</v>
      </c>
      <c r="D121" s="169">
        <v>3.8729999999999997E-5</v>
      </c>
      <c r="E121">
        <v>-4.3540000000000001</v>
      </c>
      <c r="F121">
        <v>-4.4119999999999999</v>
      </c>
      <c r="G121">
        <v>-5.8000000000000003E-2</v>
      </c>
      <c r="H121">
        <v>0</v>
      </c>
    </row>
    <row r="122" spans="1:8" x14ac:dyDescent="0.15">
      <c r="B122" t="s">
        <v>519</v>
      </c>
      <c r="C122" s="169">
        <v>3.5509999999999997E-5</v>
      </c>
      <c r="D122" s="169">
        <v>3.5509999999999997E-5</v>
      </c>
      <c r="E122">
        <v>-4.45</v>
      </c>
      <c r="F122">
        <v>-4.45</v>
      </c>
      <c r="G122">
        <v>0</v>
      </c>
      <c r="H122">
        <v>0</v>
      </c>
    </row>
    <row r="123" spans="1:8" x14ac:dyDescent="0.15">
      <c r="B123" t="s">
        <v>520</v>
      </c>
      <c r="C123" s="169">
        <v>1.5509999999999999E-5</v>
      </c>
      <c r="D123" s="169">
        <v>1.5509999999999999E-5</v>
      </c>
      <c r="E123">
        <v>-4.8090000000000002</v>
      </c>
      <c r="F123">
        <v>-4.8090000000000002</v>
      </c>
      <c r="G123">
        <v>0</v>
      </c>
      <c r="H123">
        <v>0</v>
      </c>
    </row>
    <row r="124" spans="1:8" x14ac:dyDescent="0.15">
      <c r="B124" t="s">
        <v>521</v>
      </c>
      <c r="C124" s="169">
        <v>1.243E-5</v>
      </c>
      <c r="D124" s="169">
        <v>7.0609999999999998E-6</v>
      </c>
      <c r="E124">
        <v>-4.9050000000000002</v>
      </c>
      <c r="F124">
        <v>-5.1509999999999998</v>
      </c>
      <c r="G124">
        <v>-0.246</v>
      </c>
      <c r="H124">
        <v>0</v>
      </c>
    </row>
    <row r="125" spans="1:8" x14ac:dyDescent="0.15">
      <c r="B125" t="s">
        <v>522</v>
      </c>
      <c r="C125" s="169">
        <v>8.6060000000000003E-6</v>
      </c>
      <c r="D125" s="169">
        <v>8.6060000000000003E-6</v>
      </c>
      <c r="E125">
        <v>-5.0650000000000004</v>
      </c>
      <c r="F125">
        <v>-5.0650000000000004</v>
      </c>
      <c r="G125">
        <v>0</v>
      </c>
      <c r="H125">
        <v>0</v>
      </c>
    </row>
    <row r="126" spans="1:8" x14ac:dyDescent="0.15">
      <c r="B126" t="s">
        <v>255</v>
      </c>
      <c r="C126" s="169">
        <v>1.624E-6</v>
      </c>
      <c r="D126" s="169">
        <v>1.418E-6</v>
      </c>
      <c r="E126">
        <v>-5.7889999999999997</v>
      </c>
      <c r="F126">
        <v>-5.8479999999999999</v>
      </c>
      <c r="G126">
        <v>-5.8999999999999997E-2</v>
      </c>
      <c r="H126">
        <v>0</v>
      </c>
    </row>
    <row r="127" spans="1:8" x14ac:dyDescent="0.15">
      <c r="B127" t="s">
        <v>256</v>
      </c>
      <c r="C127" s="169">
        <v>3.3330000000000001E-8</v>
      </c>
      <c r="D127" s="169">
        <v>3.3330000000000001E-8</v>
      </c>
      <c r="E127">
        <v>-7.4770000000000003</v>
      </c>
      <c r="F127">
        <v>-7.4770000000000003</v>
      </c>
      <c r="G127">
        <v>0</v>
      </c>
      <c r="H127">
        <v>0</v>
      </c>
    </row>
    <row r="128" spans="1:8" x14ac:dyDescent="0.15">
      <c r="B128" t="s">
        <v>257</v>
      </c>
      <c r="C128" s="169">
        <v>5.8720000000000004E-9</v>
      </c>
      <c r="D128" s="169">
        <v>5.8720000000000004E-9</v>
      </c>
      <c r="E128">
        <v>-8.2309999999999999</v>
      </c>
      <c r="F128">
        <v>-8.2309999999999999</v>
      </c>
      <c r="G128">
        <v>0</v>
      </c>
      <c r="H128">
        <v>0</v>
      </c>
    </row>
    <row r="129" spans="1:8" x14ac:dyDescent="0.15">
      <c r="B129" t="s">
        <v>258</v>
      </c>
      <c r="C129" s="169">
        <v>2.9009999999999998E-9</v>
      </c>
      <c r="D129" s="169">
        <v>2.9009999999999998E-9</v>
      </c>
      <c r="E129">
        <v>-8.5370000000000008</v>
      </c>
      <c r="F129">
        <v>-8.5370000000000008</v>
      </c>
      <c r="G129">
        <v>0</v>
      </c>
      <c r="H129">
        <v>0</v>
      </c>
    </row>
    <row r="130" spans="1:8" x14ac:dyDescent="0.15">
      <c r="B130" t="s">
        <v>259</v>
      </c>
      <c r="C130" s="169">
        <v>2.0609999999999998E-9</v>
      </c>
      <c r="D130" s="169">
        <v>2.0609999999999998E-9</v>
      </c>
      <c r="E130">
        <v>-8.6859999999999999</v>
      </c>
      <c r="F130">
        <v>-8.6859999999999999</v>
      </c>
      <c r="G130">
        <v>0</v>
      </c>
      <c r="H130">
        <v>0</v>
      </c>
    </row>
    <row r="131" spans="1:8" x14ac:dyDescent="0.15">
      <c r="B131" t="s">
        <v>260</v>
      </c>
      <c r="C131" s="169">
        <v>1.928E-9</v>
      </c>
      <c r="D131" s="169">
        <v>1.624E-9</v>
      </c>
      <c r="E131">
        <v>-8.7149999999999999</v>
      </c>
      <c r="F131">
        <v>-8.7889999999999997</v>
      </c>
      <c r="G131">
        <v>-7.3999999999999996E-2</v>
      </c>
      <c r="H131">
        <v>0</v>
      </c>
    </row>
    <row r="132" spans="1:8" x14ac:dyDescent="0.15">
      <c r="B132" t="s">
        <v>261</v>
      </c>
      <c r="C132" s="169">
        <v>1.908E-9</v>
      </c>
      <c r="D132" s="169">
        <v>1.6069999999999999E-9</v>
      </c>
      <c r="E132">
        <v>-8.7189999999999994</v>
      </c>
      <c r="F132">
        <v>-8.7940000000000005</v>
      </c>
      <c r="G132">
        <v>-7.3999999999999996E-2</v>
      </c>
      <c r="H132">
        <v>0</v>
      </c>
    </row>
    <row r="133" spans="1:8" x14ac:dyDescent="0.15">
      <c r="B133" t="s">
        <v>262</v>
      </c>
      <c r="C133" s="169">
        <v>1.258E-9</v>
      </c>
      <c r="D133" s="169">
        <v>6.3350000000000004E-10</v>
      </c>
      <c r="E133">
        <v>-8.9</v>
      </c>
      <c r="F133">
        <v>-9.1980000000000004</v>
      </c>
      <c r="G133">
        <v>-0.29799999999999999</v>
      </c>
      <c r="H133">
        <v>0</v>
      </c>
    </row>
    <row r="134" spans="1:8" x14ac:dyDescent="0.15">
      <c r="B134" t="s">
        <v>263</v>
      </c>
      <c r="C134" s="169">
        <v>6.4900000000000003E-10</v>
      </c>
      <c r="D134" s="169">
        <v>5.4680000000000001E-10</v>
      </c>
      <c r="E134">
        <v>-9.1880000000000006</v>
      </c>
      <c r="F134">
        <v>-9.2620000000000005</v>
      </c>
      <c r="G134">
        <v>-7.3999999999999996E-2</v>
      </c>
      <c r="H134">
        <v>0</v>
      </c>
    </row>
    <row r="135" spans="1:8" x14ac:dyDescent="0.15">
      <c r="B135" t="s">
        <v>264</v>
      </c>
      <c r="C135" s="169">
        <v>7.1829999999999999E-11</v>
      </c>
      <c r="D135" s="169">
        <v>6.0520000000000001E-11</v>
      </c>
      <c r="E135">
        <v>-10.144</v>
      </c>
      <c r="F135">
        <v>-10.218</v>
      </c>
      <c r="G135">
        <v>-7.3999999999999996E-2</v>
      </c>
      <c r="H135">
        <v>0</v>
      </c>
    </row>
    <row r="136" spans="1:8" x14ac:dyDescent="0.15">
      <c r="A136" t="s">
        <v>664</v>
      </c>
      <c r="B136" s="169">
        <v>4.3420000000000004E-3</v>
      </c>
    </row>
    <row r="137" spans="1:8" x14ac:dyDescent="0.15">
      <c r="B137" t="s">
        <v>265</v>
      </c>
      <c r="C137" s="169">
        <v>3.4350000000000001E-3</v>
      </c>
      <c r="D137" s="169">
        <v>1.951E-3</v>
      </c>
      <c r="E137">
        <v>-2.464</v>
      </c>
      <c r="F137">
        <v>-2.71</v>
      </c>
      <c r="G137">
        <v>-0.246</v>
      </c>
      <c r="H137">
        <v>0</v>
      </c>
    </row>
    <row r="138" spans="1:8" x14ac:dyDescent="0.15">
      <c r="B138" t="s">
        <v>266</v>
      </c>
      <c r="C138" s="169">
        <v>8.4250000000000004E-4</v>
      </c>
      <c r="D138" s="169">
        <v>8.4250000000000004E-4</v>
      </c>
      <c r="E138">
        <v>-3.0739999999999998</v>
      </c>
      <c r="F138">
        <v>-3.0739999999999998</v>
      </c>
      <c r="G138">
        <v>0</v>
      </c>
      <c r="H138">
        <v>0</v>
      </c>
    </row>
    <row r="139" spans="1:8" x14ac:dyDescent="0.15">
      <c r="B139" t="s">
        <v>518</v>
      </c>
      <c r="C139" s="169">
        <v>4.4230000000000002E-5</v>
      </c>
      <c r="D139" s="169">
        <v>3.8729999999999997E-5</v>
      </c>
      <c r="E139">
        <v>-4.3540000000000001</v>
      </c>
      <c r="F139">
        <v>-4.4119999999999999</v>
      </c>
      <c r="G139">
        <v>-5.8000000000000003E-2</v>
      </c>
      <c r="H139">
        <v>0</v>
      </c>
    </row>
    <row r="140" spans="1:8" x14ac:dyDescent="0.15">
      <c r="B140" t="s">
        <v>520</v>
      </c>
      <c r="C140" s="169">
        <v>1.5509999999999999E-5</v>
      </c>
      <c r="D140" s="169">
        <v>1.5509999999999999E-5</v>
      </c>
      <c r="E140">
        <v>-4.8090000000000002</v>
      </c>
      <c r="F140">
        <v>-4.8090000000000002</v>
      </c>
      <c r="G140">
        <v>0</v>
      </c>
      <c r="H140">
        <v>0</v>
      </c>
    </row>
    <row r="141" spans="1:8" x14ac:dyDescent="0.15">
      <c r="B141" t="s">
        <v>267</v>
      </c>
      <c r="C141" s="169">
        <v>3.794E-6</v>
      </c>
      <c r="D141" s="169">
        <v>3.196E-6</v>
      </c>
      <c r="E141">
        <v>-5.4210000000000003</v>
      </c>
      <c r="F141">
        <v>-5.4950000000000001</v>
      </c>
      <c r="G141">
        <v>-7.3999999999999996E-2</v>
      </c>
      <c r="H141">
        <v>0</v>
      </c>
    </row>
    <row r="142" spans="1:8" x14ac:dyDescent="0.15">
      <c r="B142" t="s">
        <v>268</v>
      </c>
      <c r="C142" s="169">
        <v>2.48E-8</v>
      </c>
      <c r="D142" s="169">
        <v>1.2499999999999999E-8</v>
      </c>
      <c r="E142">
        <v>-7.6059999999999999</v>
      </c>
      <c r="F142">
        <v>-7.9029999999999996</v>
      </c>
      <c r="G142">
        <v>-0.29799999999999999</v>
      </c>
      <c r="H142">
        <v>0</v>
      </c>
    </row>
    <row r="143" spans="1:8" x14ac:dyDescent="0.15">
      <c r="B143" t="s">
        <v>269</v>
      </c>
      <c r="C143" s="169">
        <v>1.431E-8</v>
      </c>
      <c r="D143" s="169">
        <v>1.254E-8</v>
      </c>
      <c r="E143">
        <v>-7.8440000000000003</v>
      </c>
      <c r="F143">
        <v>-7.9020000000000001</v>
      </c>
      <c r="G143">
        <v>-5.8000000000000003E-2</v>
      </c>
      <c r="H143">
        <v>0</v>
      </c>
    </row>
    <row r="144" spans="1:8" x14ac:dyDescent="0.15">
      <c r="B144" t="s">
        <v>270</v>
      </c>
      <c r="C144" s="169">
        <v>5.0229999999999998E-14</v>
      </c>
      <c r="D144" s="169">
        <v>2.53E-14</v>
      </c>
      <c r="E144">
        <v>-13.298999999999999</v>
      </c>
      <c r="F144">
        <v>-13.597</v>
      </c>
      <c r="G144">
        <v>-0.29799999999999999</v>
      </c>
      <c r="H144">
        <v>0</v>
      </c>
    </row>
    <row r="145" spans="1:8" x14ac:dyDescent="0.15">
      <c r="A145" t="s">
        <v>658</v>
      </c>
      <c r="B145" s="169">
        <v>4.7949999999999998E-3</v>
      </c>
    </row>
    <row r="146" spans="1:8" x14ac:dyDescent="0.15">
      <c r="B146" t="s">
        <v>271</v>
      </c>
      <c r="C146" s="169">
        <v>4.7949999999999998E-3</v>
      </c>
      <c r="D146" s="169">
        <v>4.163E-3</v>
      </c>
      <c r="E146">
        <v>-2.319</v>
      </c>
      <c r="F146">
        <v>-2.3809999999999998</v>
      </c>
      <c r="G146">
        <v>-6.0999999999999999E-2</v>
      </c>
      <c r="H146">
        <v>0</v>
      </c>
    </row>
    <row r="147" spans="1:8" x14ac:dyDescent="0.15">
      <c r="B147" t="s">
        <v>272</v>
      </c>
      <c r="C147" s="169">
        <v>2.828E-10</v>
      </c>
      <c r="D147" s="169">
        <v>2.3829999999999999E-10</v>
      </c>
      <c r="E147">
        <v>-9.548</v>
      </c>
      <c r="F147">
        <v>-9.6229999999999993</v>
      </c>
      <c r="G147">
        <v>-7.3999999999999996E-2</v>
      </c>
      <c r="H147">
        <v>0</v>
      </c>
    </row>
    <row r="148" spans="1:8" x14ac:dyDescent="0.15">
      <c r="B148" t="s">
        <v>273</v>
      </c>
      <c r="C148" s="169">
        <v>2.5070000000000002E-10</v>
      </c>
      <c r="D148" s="169">
        <v>2.5070000000000002E-10</v>
      </c>
      <c r="E148">
        <v>-9.6010000000000009</v>
      </c>
      <c r="F148">
        <v>-9.6010000000000009</v>
      </c>
      <c r="G148">
        <v>0</v>
      </c>
      <c r="H148">
        <v>0</v>
      </c>
    </row>
    <row r="149" spans="1:8" x14ac:dyDescent="0.15">
      <c r="B149" t="s">
        <v>274</v>
      </c>
      <c r="C149" s="169">
        <v>1.554E-10</v>
      </c>
      <c r="D149" s="169">
        <v>1.3460000000000001E-10</v>
      </c>
      <c r="E149">
        <v>-9.8089999999999993</v>
      </c>
      <c r="F149">
        <v>-9.8710000000000004</v>
      </c>
      <c r="G149">
        <v>-6.2E-2</v>
      </c>
      <c r="H149">
        <v>0</v>
      </c>
    </row>
    <row r="150" spans="1:8" x14ac:dyDescent="0.15">
      <c r="B150" t="s">
        <v>275</v>
      </c>
      <c r="C150" s="169">
        <v>1.334E-10</v>
      </c>
      <c r="D150" s="169">
        <v>1.1239999999999999E-10</v>
      </c>
      <c r="E150">
        <v>-9.875</v>
      </c>
      <c r="F150">
        <v>-9.9489999999999998</v>
      </c>
      <c r="G150">
        <v>-7.3999999999999996E-2</v>
      </c>
      <c r="H150">
        <v>0</v>
      </c>
    </row>
    <row r="151" spans="1:8" x14ac:dyDescent="0.15">
      <c r="B151" t="s">
        <v>276</v>
      </c>
      <c r="C151" s="169">
        <v>5.1129999999999997E-12</v>
      </c>
      <c r="D151" s="169">
        <v>4.4289999999999998E-12</v>
      </c>
      <c r="E151">
        <v>-11.291</v>
      </c>
      <c r="F151">
        <v>-11.353999999999999</v>
      </c>
      <c r="G151">
        <v>-6.2E-2</v>
      </c>
      <c r="H151">
        <v>0</v>
      </c>
    </row>
    <row r="152" spans="1:8" x14ac:dyDescent="0.15">
      <c r="B152" t="s">
        <v>277</v>
      </c>
      <c r="C152" s="169">
        <v>4.5219999999999998E-13</v>
      </c>
      <c r="D152" s="169">
        <v>4.5219999999999998E-13</v>
      </c>
      <c r="E152">
        <v>-12.345000000000001</v>
      </c>
      <c r="F152">
        <v>-12.345000000000001</v>
      </c>
      <c r="G152">
        <v>0</v>
      </c>
      <c r="H152">
        <v>0</v>
      </c>
    </row>
    <row r="153" spans="1:8" x14ac:dyDescent="0.15">
      <c r="B153" t="s">
        <v>278</v>
      </c>
      <c r="C153" s="169">
        <v>2.9700000000000001E-15</v>
      </c>
      <c r="D153" s="169">
        <v>2.9700000000000001E-15</v>
      </c>
      <c r="E153">
        <v>-14.526999999999999</v>
      </c>
      <c r="F153">
        <v>-14.526999999999999</v>
      </c>
      <c r="G153">
        <v>0</v>
      </c>
      <c r="H153">
        <v>0</v>
      </c>
    </row>
    <row r="154" spans="1:8" x14ac:dyDescent="0.15">
      <c r="B154" t="s">
        <v>279</v>
      </c>
      <c r="C154" s="169">
        <v>2.4589999999999999E-15</v>
      </c>
      <c r="D154" s="169">
        <v>2.4589999999999999E-15</v>
      </c>
      <c r="E154">
        <v>-14.609</v>
      </c>
      <c r="F154">
        <v>-14.609</v>
      </c>
      <c r="G154">
        <v>0</v>
      </c>
      <c r="H154">
        <v>0</v>
      </c>
    </row>
    <row r="155" spans="1:8" x14ac:dyDescent="0.15">
      <c r="B155" t="s">
        <v>280</v>
      </c>
      <c r="C155" s="169">
        <v>1.6190000000000001E-15</v>
      </c>
      <c r="D155" s="169">
        <v>1.4019999999999999E-15</v>
      </c>
      <c r="E155">
        <v>-14.791</v>
      </c>
      <c r="F155">
        <v>-14.853</v>
      </c>
      <c r="G155">
        <v>-6.2E-2</v>
      </c>
      <c r="H155">
        <v>0</v>
      </c>
    </row>
    <row r="156" spans="1:8" x14ac:dyDescent="0.15">
      <c r="B156" t="s">
        <v>281</v>
      </c>
      <c r="C156" s="169">
        <v>4.4689999999999999E-18</v>
      </c>
      <c r="D156" s="169">
        <v>2.5750000000000002E-18</v>
      </c>
      <c r="E156">
        <v>-17.350000000000001</v>
      </c>
      <c r="F156">
        <v>-17.588999999999999</v>
      </c>
      <c r="G156">
        <v>-0.23899999999999999</v>
      </c>
      <c r="H156">
        <v>0</v>
      </c>
    </row>
    <row r="157" spans="1:8" x14ac:dyDescent="0.15">
      <c r="B157" t="s">
        <v>282</v>
      </c>
      <c r="C157" s="169">
        <v>1.007E-19</v>
      </c>
      <c r="D157" s="169">
        <v>8.7209999999999999E-20</v>
      </c>
      <c r="E157">
        <v>-18.997</v>
      </c>
      <c r="F157">
        <v>-19.059000000000001</v>
      </c>
      <c r="G157">
        <v>-6.2E-2</v>
      </c>
      <c r="H157">
        <v>0</v>
      </c>
    </row>
    <row r="158" spans="1:8" x14ac:dyDescent="0.15">
      <c r="B158" t="s">
        <v>283</v>
      </c>
      <c r="C158" s="169">
        <v>1.8560000000000001E-20</v>
      </c>
      <c r="D158" s="169">
        <v>1.6080000000000001E-20</v>
      </c>
      <c r="E158">
        <v>-19.731000000000002</v>
      </c>
      <c r="F158">
        <v>-19.794</v>
      </c>
      <c r="G158">
        <v>-6.2E-2</v>
      </c>
      <c r="H158">
        <v>0</v>
      </c>
    </row>
    <row r="159" spans="1:8" x14ac:dyDescent="0.15">
      <c r="B159" t="s">
        <v>284</v>
      </c>
      <c r="C159" s="169">
        <v>1.781E-20</v>
      </c>
      <c r="D159" s="169">
        <v>1.781E-20</v>
      </c>
      <c r="E159">
        <v>-19.748999999999999</v>
      </c>
      <c r="F159">
        <v>-19.748999999999999</v>
      </c>
      <c r="G159">
        <v>0</v>
      </c>
      <c r="H159">
        <v>0</v>
      </c>
    </row>
    <row r="160" spans="1:8" x14ac:dyDescent="0.15">
      <c r="B160" t="s">
        <v>285</v>
      </c>
      <c r="C160" s="169">
        <v>2.337E-23</v>
      </c>
      <c r="D160" s="169">
        <v>1.347E-23</v>
      </c>
      <c r="E160">
        <v>-22.631</v>
      </c>
      <c r="F160">
        <v>-22.870999999999999</v>
      </c>
      <c r="G160">
        <v>-0.23899999999999999</v>
      </c>
      <c r="H160">
        <v>0</v>
      </c>
    </row>
    <row r="161" spans="1:8" x14ac:dyDescent="0.15">
      <c r="B161" t="s">
        <v>286</v>
      </c>
      <c r="C161" s="169">
        <v>5.3560000000000003E-24</v>
      </c>
      <c r="D161" s="169">
        <v>3.0860000000000001E-24</v>
      </c>
      <c r="E161">
        <v>-23.271000000000001</v>
      </c>
      <c r="F161">
        <v>-23.510999999999999</v>
      </c>
      <c r="G161">
        <v>-0.23899999999999999</v>
      </c>
      <c r="H161">
        <v>0</v>
      </c>
    </row>
    <row r="162" spans="1:8" x14ac:dyDescent="0.15">
      <c r="B162" t="s">
        <v>287</v>
      </c>
      <c r="C162" s="169">
        <v>8.1889999999999996E-27</v>
      </c>
      <c r="D162" s="169">
        <v>4.1249999999999998E-27</v>
      </c>
      <c r="E162">
        <v>-26.087</v>
      </c>
      <c r="F162">
        <v>-26.385000000000002</v>
      </c>
      <c r="G162">
        <v>-0.29799999999999999</v>
      </c>
      <c r="H162">
        <v>0</v>
      </c>
    </row>
    <row r="163" spans="1:8" x14ac:dyDescent="0.15">
      <c r="B163" t="s">
        <v>288</v>
      </c>
      <c r="C163" s="169">
        <v>3.1240000000000001E-28</v>
      </c>
      <c r="D163" s="169">
        <v>1.574E-28</v>
      </c>
      <c r="E163">
        <v>-27.504999999999999</v>
      </c>
      <c r="F163">
        <v>-27.803000000000001</v>
      </c>
      <c r="G163">
        <v>-0.29799999999999999</v>
      </c>
      <c r="H163">
        <v>0</v>
      </c>
    </row>
    <row r="164" spans="1:8" x14ac:dyDescent="0.15">
      <c r="B164" t="s">
        <v>289</v>
      </c>
      <c r="C164" s="169">
        <v>3.7110000000000001E-40</v>
      </c>
      <c r="D164" s="169">
        <v>1.8699999999999998E-40</v>
      </c>
      <c r="E164">
        <v>-39.43</v>
      </c>
      <c r="F164">
        <v>-39.728000000000002</v>
      </c>
      <c r="G164">
        <v>-0.29799999999999999</v>
      </c>
      <c r="H164">
        <v>0</v>
      </c>
    </row>
    <row r="165" spans="1:8" x14ac:dyDescent="0.15">
      <c r="A165" t="s">
        <v>290</v>
      </c>
      <c r="B165" s="169">
        <v>4.5809999999999998E-8</v>
      </c>
    </row>
    <row r="166" spans="1:8" x14ac:dyDescent="0.15">
      <c r="B166" t="s">
        <v>291</v>
      </c>
      <c r="C166" s="169">
        <v>3.428E-8</v>
      </c>
      <c r="D166" s="169">
        <v>1.7269999999999998E-8</v>
      </c>
      <c r="E166">
        <v>-7.4649999999999999</v>
      </c>
      <c r="F166">
        <v>-7.7629999999999999</v>
      </c>
      <c r="G166">
        <v>-0.29799999999999999</v>
      </c>
      <c r="H166">
        <v>0</v>
      </c>
    </row>
    <row r="167" spans="1:8" x14ac:dyDescent="0.15">
      <c r="B167" t="s">
        <v>292</v>
      </c>
      <c r="C167" s="169">
        <v>6.6210000000000002E-9</v>
      </c>
      <c r="D167" s="169">
        <v>6.6210000000000002E-9</v>
      </c>
      <c r="E167">
        <v>-8.1790000000000003</v>
      </c>
      <c r="F167">
        <v>-8.1790000000000003</v>
      </c>
      <c r="G167">
        <v>0</v>
      </c>
      <c r="H167">
        <v>0</v>
      </c>
    </row>
    <row r="168" spans="1:8" x14ac:dyDescent="0.15">
      <c r="B168" t="s">
        <v>259</v>
      </c>
      <c r="C168" s="169">
        <v>2.0609999999999998E-9</v>
      </c>
      <c r="D168" s="169">
        <v>2.0609999999999998E-9</v>
      </c>
      <c r="E168">
        <v>-8.6859999999999999</v>
      </c>
      <c r="F168">
        <v>-8.6859999999999999</v>
      </c>
      <c r="G168">
        <v>0</v>
      </c>
      <c r="H168">
        <v>0</v>
      </c>
    </row>
    <row r="169" spans="1:8" x14ac:dyDescent="0.15">
      <c r="B169" t="s">
        <v>261</v>
      </c>
      <c r="C169" s="169">
        <v>1.908E-9</v>
      </c>
      <c r="D169" s="169">
        <v>1.6069999999999999E-9</v>
      </c>
      <c r="E169">
        <v>-8.7189999999999994</v>
      </c>
      <c r="F169">
        <v>-8.7940000000000005</v>
      </c>
      <c r="G169">
        <v>-7.3999999999999996E-2</v>
      </c>
      <c r="H169">
        <v>0</v>
      </c>
    </row>
    <row r="170" spans="1:8" x14ac:dyDescent="0.15">
      <c r="B170" t="s">
        <v>293</v>
      </c>
      <c r="C170" s="169">
        <v>5.1829999999999996E-10</v>
      </c>
      <c r="D170" s="169">
        <v>4.3660000000000002E-10</v>
      </c>
      <c r="E170">
        <v>-9.2850000000000001</v>
      </c>
      <c r="F170">
        <v>-9.36</v>
      </c>
      <c r="G170">
        <v>-7.3999999999999996E-2</v>
      </c>
      <c r="H170">
        <v>0</v>
      </c>
    </row>
    <row r="171" spans="1:8" x14ac:dyDescent="0.15">
      <c r="B171" t="s">
        <v>272</v>
      </c>
      <c r="C171" s="169">
        <v>2.828E-10</v>
      </c>
      <c r="D171" s="169">
        <v>2.3829999999999999E-10</v>
      </c>
      <c r="E171">
        <v>-9.548</v>
      </c>
      <c r="F171">
        <v>-9.6229999999999993</v>
      </c>
      <c r="G171">
        <v>-7.3999999999999996E-2</v>
      </c>
      <c r="H171">
        <v>0</v>
      </c>
    </row>
    <row r="172" spans="1:8" x14ac:dyDescent="0.15">
      <c r="B172" t="s">
        <v>294</v>
      </c>
      <c r="C172" s="169">
        <v>8.4079999999999996E-11</v>
      </c>
      <c r="D172" s="169">
        <v>4.2360000000000003E-11</v>
      </c>
      <c r="E172">
        <v>-10.074999999999999</v>
      </c>
      <c r="F172">
        <v>-10.372999999999999</v>
      </c>
      <c r="G172">
        <v>-0.29799999999999999</v>
      </c>
      <c r="H172">
        <v>0</v>
      </c>
    </row>
    <row r="173" spans="1:8" x14ac:dyDescent="0.15">
      <c r="B173" t="s">
        <v>295</v>
      </c>
      <c r="C173" s="169">
        <v>4.3950000000000001E-11</v>
      </c>
      <c r="D173" s="169">
        <v>4.3950000000000001E-11</v>
      </c>
      <c r="E173">
        <v>-10.356999999999999</v>
      </c>
      <c r="F173">
        <v>-10.356999999999999</v>
      </c>
      <c r="G173">
        <v>0</v>
      </c>
      <c r="H173">
        <v>0</v>
      </c>
    </row>
    <row r="174" spans="1:8" x14ac:dyDescent="0.15">
      <c r="B174" t="s">
        <v>296</v>
      </c>
      <c r="C174" s="169">
        <v>1.5E-11</v>
      </c>
      <c r="D174" s="169">
        <v>1.2629999999999999E-11</v>
      </c>
      <c r="E174">
        <v>-10.824</v>
      </c>
      <c r="F174">
        <v>-10.898</v>
      </c>
      <c r="G174">
        <v>-7.3999999999999996E-2</v>
      </c>
      <c r="H174">
        <v>0</v>
      </c>
    </row>
    <row r="175" spans="1:8" x14ac:dyDescent="0.15">
      <c r="B175" t="s">
        <v>297</v>
      </c>
      <c r="C175" s="169">
        <v>1.1859999999999999E-14</v>
      </c>
      <c r="D175" s="169">
        <v>1.1859999999999999E-14</v>
      </c>
      <c r="E175">
        <v>-13.926</v>
      </c>
      <c r="F175">
        <v>-13.926</v>
      </c>
      <c r="G175">
        <v>0</v>
      </c>
      <c r="H175">
        <v>0</v>
      </c>
    </row>
    <row r="176" spans="1:8" x14ac:dyDescent="0.15">
      <c r="B176" t="s">
        <v>298</v>
      </c>
      <c r="C176" s="169">
        <v>4.5490000000000004E-15</v>
      </c>
      <c r="D176" s="169">
        <v>2.2920000000000002E-15</v>
      </c>
      <c r="E176">
        <v>-14.342000000000001</v>
      </c>
      <c r="F176">
        <v>-14.64</v>
      </c>
      <c r="G176">
        <v>-0.29799999999999999</v>
      </c>
      <c r="H176">
        <v>0</v>
      </c>
    </row>
    <row r="177" spans="1:14" x14ac:dyDescent="0.15">
      <c r="B177" t="s">
        <v>299</v>
      </c>
      <c r="C177" s="169">
        <v>1.3189999999999999E-15</v>
      </c>
      <c r="D177" s="169">
        <v>1.1109999999999999E-15</v>
      </c>
      <c r="E177">
        <v>-14.88</v>
      </c>
      <c r="F177">
        <v>-14.954000000000001</v>
      </c>
      <c r="G177">
        <v>-7.3999999999999996E-2</v>
      </c>
      <c r="H177">
        <v>0</v>
      </c>
    </row>
    <row r="178" spans="1:14" x14ac:dyDescent="0.15">
      <c r="B178" t="s">
        <v>300</v>
      </c>
      <c r="C178" s="169">
        <v>1.7669999999999999E-18</v>
      </c>
      <c r="D178" s="169">
        <v>3.7789999999999998E-19</v>
      </c>
      <c r="E178">
        <v>-17.753</v>
      </c>
      <c r="F178">
        <v>-18.422999999999998</v>
      </c>
      <c r="G178">
        <v>-0.67</v>
      </c>
      <c r="H178">
        <v>0</v>
      </c>
    </row>
    <row r="179" spans="1:14" x14ac:dyDescent="0.15">
      <c r="B179" t="s">
        <v>301</v>
      </c>
      <c r="C179" s="169">
        <v>1.2670000000000001E-18</v>
      </c>
      <c r="D179" s="169">
        <v>1.067E-18</v>
      </c>
      <c r="E179">
        <v>-17.896999999999998</v>
      </c>
      <c r="F179">
        <v>-17.972000000000001</v>
      </c>
      <c r="G179">
        <v>-7.3999999999999996E-2</v>
      </c>
      <c r="H179">
        <v>0</v>
      </c>
    </row>
    <row r="180" spans="1:14" x14ac:dyDescent="0.15">
      <c r="B180" t="s">
        <v>302</v>
      </c>
      <c r="C180" s="169">
        <v>2.9129999999999999E-19</v>
      </c>
      <c r="D180" s="169">
        <v>1.4680000000000001E-19</v>
      </c>
      <c r="E180">
        <v>-18.536000000000001</v>
      </c>
      <c r="F180">
        <v>-18.832999999999998</v>
      </c>
      <c r="G180">
        <v>-0.29799999999999999</v>
      </c>
      <c r="H180">
        <v>0</v>
      </c>
    </row>
    <row r="181" spans="1:14" x14ac:dyDescent="0.15">
      <c r="B181" t="s">
        <v>303</v>
      </c>
      <c r="C181" s="169">
        <v>4.4290000000000001E-22</v>
      </c>
      <c r="D181" s="169">
        <v>2.2310000000000001E-22</v>
      </c>
      <c r="E181">
        <v>-21.353999999999999</v>
      </c>
      <c r="F181">
        <v>-21.651</v>
      </c>
      <c r="G181">
        <v>-0.29799999999999999</v>
      </c>
      <c r="H181">
        <v>0</v>
      </c>
    </row>
    <row r="182" spans="1:14" x14ac:dyDescent="0.15">
      <c r="B182" t="s">
        <v>304</v>
      </c>
      <c r="C182" s="169">
        <v>7.776E-24</v>
      </c>
      <c r="D182" s="169">
        <v>3.9170000000000001E-24</v>
      </c>
      <c r="E182">
        <v>-23.109000000000002</v>
      </c>
      <c r="F182">
        <v>-23.407</v>
      </c>
      <c r="G182">
        <v>-0.29799999999999999</v>
      </c>
      <c r="H182">
        <v>0</v>
      </c>
    </row>
    <row r="183" spans="1:14" x14ac:dyDescent="0.15">
      <c r="B183" t="s">
        <v>305</v>
      </c>
      <c r="C183" s="169">
        <v>1.1259999999999999E-28</v>
      </c>
      <c r="D183" s="169">
        <v>7.2520000000000007E-30</v>
      </c>
      <c r="E183">
        <v>-27.949000000000002</v>
      </c>
      <c r="F183">
        <v>-29.14</v>
      </c>
      <c r="G183">
        <v>-1.1910000000000001</v>
      </c>
      <c r="H183">
        <v>0</v>
      </c>
    </row>
    <row r="184" spans="1:14" x14ac:dyDescent="0.15">
      <c r="B184" t="s">
        <v>306</v>
      </c>
      <c r="C184" s="169">
        <v>6.5639999999999995E-29</v>
      </c>
      <c r="D184" s="169">
        <v>3.3070000000000002E-29</v>
      </c>
      <c r="E184">
        <v>-28.183</v>
      </c>
      <c r="F184">
        <v>-28.481000000000002</v>
      </c>
      <c r="G184">
        <v>-0.29799999999999999</v>
      </c>
      <c r="H184">
        <v>0</v>
      </c>
    </row>
    <row r="185" spans="1:14" x14ac:dyDescent="0.15">
      <c r="A185" t="s">
        <v>307</v>
      </c>
      <c r="B185" s="169">
        <v>8.7629999999999999E-20</v>
      </c>
      <c r="J185" t="s">
        <v>98</v>
      </c>
      <c r="K185" t="s">
        <v>99</v>
      </c>
      <c r="L185" t="s">
        <v>100</v>
      </c>
      <c r="N185" s="169">
        <v>1.416E-7</v>
      </c>
    </row>
    <row r="186" spans="1:14" x14ac:dyDescent="0.15">
      <c r="B186" t="s">
        <v>308</v>
      </c>
      <c r="C186" s="169">
        <v>8.7629999999999999E-20</v>
      </c>
      <c r="D186" s="169">
        <v>4.4149999999999997E-20</v>
      </c>
      <c r="E186">
        <v>-19.056999999999999</v>
      </c>
      <c r="F186">
        <v>-19.355</v>
      </c>
      <c r="G186">
        <v>-0.29799999999999999</v>
      </c>
      <c r="H186">
        <v>0</v>
      </c>
      <c r="I186" t="s">
        <v>256</v>
      </c>
      <c r="J186" s="17">
        <f t="shared" ref="J186:J193" si="0">J199/J$198*100</f>
        <v>84.722928317234363</v>
      </c>
      <c r="K186" s="17">
        <f t="shared" ref="K186:K193" si="1">N186/N$185*100</f>
        <v>86.158192090395488</v>
      </c>
      <c r="L186" s="17">
        <f>J212/J$211*100</f>
        <v>64.102981912986806</v>
      </c>
      <c r="N186" s="169">
        <v>1.2200000000000001E-7</v>
      </c>
    </row>
    <row r="187" spans="1:14" x14ac:dyDescent="0.15">
      <c r="B187" t="s">
        <v>309</v>
      </c>
      <c r="C187" s="169">
        <v>2.4479999999999999E-26</v>
      </c>
      <c r="D187" s="169">
        <v>6.856E-27</v>
      </c>
      <c r="E187">
        <v>-25.611000000000001</v>
      </c>
      <c r="F187">
        <v>-26.164000000000001</v>
      </c>
      <c r="G187">
        <v>-0.55300000000000005</v>
      </c>
      <c r="H187">
        <v>0</v>
      </c>
      <c r="I187" t="s">
        <v>315</v>
      </c>
      <c r="J187" s="17">
        <f t="shared" si="0"/>
        <v>4.3848500254194205</v>
      </c>
      <c r="K187" s="17">
        <f t="shared" si="1"/>
        <v>4.2923728813559325</v>
      </c>
      <c r="L187" s="17">
        <f>J213/J$211*100</f>
        <v>5.2859703438161967</v>
      </c>
      <c r="N187" s="169">
        <v>6.0779999999999999E-9</v>
      </c>
    </row>
    <row r="188" spans="1:14" x14ac:dyDescent="0.15">
      <c r="B188" t="s">
        <v>287</v>
      </c>
      <c r="C188" s="169">
        <v>8.1889999999999996E-27</v>
      </c>
      <c r="D188" s="169">
        <v>4.1249999999999998E-27</v>
      </c>
      <c r="E188">
        <v>-26.087</v>
      </c>
      <c r="F188">
        <v>-26.385000000000002</v>
      </c>
      <c r="G188">
        <v>-0.29799999999999999</v>
      </c>
      <c r="H188">
        <v>0</v>
      </c>
      <c r="I188" t="s">
        <v>316</v>
      </c>
      <c r="J188" s="17">
        <f t="shared" si="0"/>
        <v>3.5866802236908994</v>
      </c>
      <c r="K188" s="17">
        <f t="shared" si="1"/>
        <v>3.3644067796610164</v>
      </c>
      <c r="L188" s="17">
        <f>J214/J$211*100</f>
        <v>26.071370376405412</v>
      </c>
      <c r="N188" s="169">
        <v>4.7639999999999997E-9</v>
      </c>
    </row>
    <row r="189" spans="1:14" x14ac:dyDescent="0.15">
      <c r="B189" t="s">
        <v>288</v>
      </c>
      <c r="C189" s="169">
        <v>3.1240000000000001E-28</v>
      </c>
      <c r="D189" s="169">
        <v>1.574E-28</v>
      </c>
      <c r="E189">
        <v>-27.504999999999999</v>
      </c>
      <c r="F189">
        <v>-27.803000000000001</v>
      </c>
      <c r="G189">
        <v>-0.29799999999999999</v>
      </c>
      <c r="H189">
        <v>0</v>
      </c>
      <c r="I189" t="s">
        <v>262</v>
      </c>
      <c r="J189" s="17">
        <f t="shared" si="0"/>
        <v>3.1977630910015251</v>
      </c>
      <c r="K189" s="17">
        <f t="shared" si="1"/>
        <v>3.0543785310734464</v>
      </c>
      <c r="L189" s="17">
        <f>J215/J$211*100</f>
        <v>0.15465211015153985</v>
      </c>
      <c r="N189" s="169">
        <v>4.3249999999999999E-9</v>
      </c>
    </row>
    <row r="190" spans="1:14" x14ac:dyDescent="0.15">
      <c r="B190" t="s">
        <v>310</v>
      </c>
      <c r="C190" s="169">
        <v>6.4000000000000004E-36</v>
      </c>
      <c r="D190" s="169">
        <v>5.392E-36</v>
      </c>
      <c r="E190">
        <v>-35.194000000000003</v>
      </c>
      <c r="F190">
        <v>-35.268000000000001</v>
      </c>
      <c r="G190">
        <v>-7.3999999999999996E-2</v>
      </c>
      <c r="H190">
        <v>0</v>
      </c>
      <c r="I190" t="s">
        <v>317</v>
      </c>
      <c r="J190" s="17">
        <f t="shared" si="0"/>
        <v>2.0645653279105241</v>
      </c>
      <c r="K190" s="17">
        <f t="shared" si="1"/>
        <v>2.0522598870056497</v>
      </c>
      <c r="L190" s="17">
        <f>J216/J$211*100</f>
        <v>0.37379827277171257</v>
      </c>
      <c r="N190" s="169">
        <v>2.9060000000000001E-9</v>
      </c>
    </row>
    <row r="191" spans="1:14" x14ac:dyDescent="0.15">
      <c r="B191" t="s">
        <v>311</v>
      </c>
      <c r="C191" s="169">
        <v>1.6649999999999999E-38</v>
      </c>
      <c r="D191" s="169">
        <v>8.3880000000000002E-39</v>
      </c>
      <c r="E191">
        <v>-37.779000000000003</v>
      </c>
      <c r="F191">
        <v>-38.076000000000001</v>
      </c>
      <c r="G191">
        <v>-0.29799999999999999</v>
      </c>
      <c r="H191">
        <v>0</v>
      </c>
      <c r="I191" t="s">
        <v>318</v>
      </c>
      <c r="J191" s="17">
        <f t="shared" si="0"/>
        <v>0.98068124046771732</v>
      </c>
      <c r="K191" s="17">
        <f t="shared" si="1"/>
        <v>0.22789548022598871</v>
      </c>
      <c r="L191" s="17">
        <v>1E-4</v>
      </c>
      <c r="N191" s="169">
        <v>3.2269999999999998E-10</v>
      </c>
    </row>
    <row r="192" spans="1:14" x14ac:dyDescent="0.15">
      <c r="B192" t="s">
        <v>289</v>
      </c>
      <c r="C192" s="169">
        <v>3.7110000000000001E-40</v>
      </c>
      <c r="D192" s="169">
        <v>1.8699999999999998E-40</v>
      </c>
      <c r="E192">
        <v>-39.43</v>
      </c>
      <c r="F192">
        <v>-39.728000000000002</v>
      </c>
      <c r="G192">
        <v>-0.29799999999999999</v>
      </c>
      <c r="H192">
        <v>0</v>
      </c>
      <c r="I192" t="s">
        <v>319</v>
      </c>
      <c r="J192" s="17">
        <f t="shared" si="0"/>
        <v>0.85027961362480931</v>
      </c>
      <c r="K192" s="17">
        <f t="shared" si="1"/>
        <v>0.68248587570621477</v>
      </c>
      <c r="L192" s="17">
        <f>J218/J$211*100</f>
        <v>3.0764217044158384</v>
      </c>
      <c r="N192" s="169">
        <v>9.664000000000001E-10</v>
      </c>
    </row>
    <row r="193" spans="1:14" x14ac:dyDescent="0.15">
      <c r="A193" t="s">
        <v>312</v>
      </c>
      <c r="B193" s="169">
        <v>4.0419999999999997E-20</v>
      </c>
      <c r="I193" t="s">
        <v>264</v>
      </c>
      <c r="J193" s="17">
        <f t="shared" si="0"/>
        <v>0.18258769700050836</v>
      </c>
      <c r="K193" s="17">
        <f t="shared" si="1"/>
        <v>0.18170903954802259</v>
      </c>
      <c r="L193" s="17">
        <f>J219/J$211*100</f>
        <v>0.90386182173700491</v>
      </c>
      <c r="N193" s="169">
        <v>2.5729999999999998E-10</v>
      </c>
    </row>
    <row r="194" spans="1:14" x14ac:dyDescent="0.15">
      <c r="B194" t="s">
        <v>283</v>
      </c>
      <c r="C194" s="169">
        <v>1.8560000000000001E-20</v>
      </c>
      <c r="D194" s="169">
        <v>1.6080000000000001E-20</v>
      </c>
      <c r="E194">
        <v>-19.731000000000002</v>
      </c>
      <c r="F194">
        <v>-19.794</v>
      </c>
      <c r="G194">
        <v>-6.2E-2</v>
      </c>
      <c r="H194">
        <v>0</v>
      </c>
    </row>
    <row r="195" spans="1:14" x14ac:dyDescent="0.15">
      <c r="B195" t="s">
        <v>284</v>
      </c>
      <c r="C195" s="169">
        <v>1.781E-20</v>
      </c>
      <c r="D195" s="169">
        <v>1.781E-20</v>
      </c>
      <c r="E195">
        <v>-19.748999999999999</v>
      </c>
      <c r="F195">
        <v>-19.748999999999999</v>
      </c>
      <c r="G195">
        <v>0</v>
      </c>
      <c r="H195">
        <v>0</v>
      </c>
    </row>
    <row r="196" spans="1:14" x14ac:dyDescent="0.15">
      <c r="B196" t="s">
        <v>313</v>
      </c>
      <c r="C196" s="169">
        <v>4.0330000000000002E-21</v>
      </c>
      <c r="D196" s="169">
        <v>3.3979999999999999E-21</v>
      </c>
      <c r="E196">
        <v>-20.393999999999998</v>
      </c>
      <c r="F196">
        <v>-20.469000000000001</v>
      </c>
      <c r="G196">
        <v>-7.3999999999999996E-2</v>
      </c>
      <c r="H196">
        <v>0</v>
      </c>
    </row>
    <row r="197" spans="1:14" x14ac:dyDescent="0.15">
      <c r="B197" t="s">
        <v>285</v>
      </c>
      <c r="C197" s="169">
        <v>2.337E-23</v>
      </c>
      <c r="D197" s="169">
        <v>1.347E-23</v>
      </c>
      <c r="E197">
        <v>-22.631</v>
      </c>
      <c r="F197">
        <v>-22.870999999999999</v>
      </c>
      <c r="G197">
        <v>-0.23899999999999999</v>
      </c>
      <c r="H197">
        <v>0</v>
      </c>
    </row>
    <row r="198" spans="1:14" x14ac:dyDescent="0.15">
      <c r="A198" t="s">
        <v>314</v>
      </c>
      <c r="B198" s="169">
        <v>3.934E-8</v>
      </c>
      <c r="I198" s="169">
        <v>3.934E-8</v>
      </c>
      <c r="J198" s="169">
        <v>3.934E-8</v>
      </c>
      <c r="L198" s="169">
        <f>J198/J211</f>
        <v>0.64102981912986801</v>
      </c>
      <c r="M198" s="169">
        <f>7.5*L198</f>
        <v>4.8077236434740103</v>
      </c>
    </row>
    <row r="199" spans="1:14" x14ac:dyDescent="0.15">
      <c r="B199" t="s">
        <v>256</v>
      </c>
      <c r="C199" s="169">
        <v>3.3330000000000001E-8</v>
      </c>
      <c r="D199" s="169">
        <v>3.3330000000000001E-8</v>
      </c>
      <c r="E199">
        <v>-7.4770000000000003</v>
      </c>
      <c r="F199">
        <v>-7.4770000000000003</v>
      </c>
      <c r="G199">
        <v>0</v>
      </c>
      <c r="H199">
        <v>0</v>
      </c>
      <c r="I199" t="s">
        <v>256</v>
      </c>
      <c r="J199" s="169">
        <v>3.3330000000000001E-8</v>
      </c>
    </row>
    <row r="200" spans="1:14" x14ac:dyDescent="0.15">
      <c r="B200" t="s">
        <v>315</v>
      </c>
      <c r="C200" s="169">
        <v>1.7249999999999999E-9</v>
      </c>
      <c r="D200" s="169">
        <v>1.494E-9</v>
      </c>
      <c r="E200">
        <v>-8.7629999999999999</v>
      </c>
      <c r="F200">
        <v>-8.8260000000000005</v>
      </c>
      <c r="G200">
        <v>-6.2E-2</v>
      </c>
      <c r="H200">
        <v>0</v>
      </c>
      <c r="I200" t="s">
        <v>315</v>
      </c>
      <c r="J200" s="169">
        <v>1.7249999999999999E-9</v>
      </c>
    </row>
    <row r="201" spans="1:14" x14ac:dyDescent="0.15">
      <c r="B201" t="s">
        <v>316</v>
      </c>
      <c r="C201" s="169">
        <v>1.411E-9</v>
      </c>
      <c r="D201" s="169">
        <v>8.0170000000000003E-10</v>
      </c>
      <c r="E201">
        <v>-8.85</v>
      </c>
      <c r="F201">
        <v>-9.0960000000000001</v>
      </c>
      <c r="G201">
        <v>-0.246</v>
      </c>
      <c r="H201">
        <v>0</v>
      </c>
      <c r="I201" t="s">
        <v>316</v>
      </c>
      <c r="J201" s="169">
        <v>1.411E-9</v>
      </c>
    </row>
    <row r="202" spans="1:14" x14ac:dyDescent="0.15">
      <c r="B202" t="s">
        <v>262</v>
      </c>
      <c r="C202" s="169">
        <v>1.258E-9</v>
      </c>
      <c r="D202" s="169">
        <v>6.3350000000000004E-10</v>
      </c>
      <c r="E202">
        <v>-8.9</v>
      </c>
      <c r="F202">
        <v>-9.1980000000000004</v>
      </c>
      <c r="G202">
        <v>-0.29799999999999999</v>
      </c>
      <c r="H202">
        <v>0</v>
      </c>
      <c r="I202" t="s">
        <v>262</v>
      </c>
      <c r="J202" s="169">
        <v>1.258E-9</v>
      </c>
    </row>
    <row r="203" spans="1:14" x14ac:dyDescent="0.15">
      <c r="B203" t="s">
        <v>317</v>
      </c>
      <c r="C203" s="169">
        <v>8.1220000000000005E-10</v>
      </c>
      <c r="D203" s="169">
        <v>8.1220000000000005E-10</v>
      </c>
      <c r="E203">
        <v>-9.09</v>
      </c>
      <c r="F203">
        <v>-9.09</v>
      </c>
      <c r="G203">
        <v>0</v>
      </c>
      <c r="H203">
        <v>0</v>
      </c>
      <c r="I203" t="s">
        <v>317</v>
      </c>
      <c r="J203" s="169">
        <v>8.1220000000000005E-10</v>
      </c>
    </row>
    <row r="204" spans="1:14" x14ac:dyDescent="0.15">
      <c r="B204" t="s">
        <v>318</v>
      </c>
      <c r="C204" s="169">
        <v>3.858E-10</v>
      </c>
      <c r="D204" s="169">
        <v>1.944E-10</v>
      </c>
      <c r="E204">
        <v>-9.4139999999999997</v>
      </c>
      <c r="F204">
        <v>-9.7110000000000003</v>
      </c>
      <c r="G204">
        <v>-0.29799999999999999</v>
      </c>
      <c r="H204">
        <v>0</v>
      </c>
      <c r="I204" t="s">
        <v>318</v>
      </c>
      <c r="J204" s="169">
        <v>3.858E-10</v>
      </c>
    </row>
    <row r="205" spans="1:14" x14ac:dyDescent="0.15">
      <c r="B205" t="s">
        <v>319</v>
      </c>
      <c r="C205" s="169">
        <v>3.3449999999999998E-10</v>
      </c>
      <c r="D205" s="169">
        <v>3.3449999999999998E-10</v>
      </c>
      <c r="E205">
        <v>-9.4760000000000009</v>
      </c>
      <c r="F205">
        <v>-9.4760000000000009</v>
      </c>
      <c r="G205">
        <v>0</v>
      </c>
      <c r="H205">
        <v>0</v>
      </c>
      <c r="I205" t="s">
        <v>319</v>
      </c>
      <c r="J205" s="169">
        <v>3.3449999999999998E-10</v>
      </c>
    </row>
    <row r="206" spans="1:14" x14ac:dyDescent="0.15">
      <c r="B206" t="s">
        <v>264</v>
      </c>
      <c r="C206" s="169">
        <v>7.1829999999999999E-11</v>
      </c>
      <c r="D206" s="169">
        <v>6.0520000000000001E-11</v>
      </c>
      <c r="E206">
        <v>-10.144</v>
      </c>
      <c r="F206">
        <v>-10.218</v>
      </c>
      <c r="G206">
        <v>-7.3999999999999996E-2</v>
      </c>
      <c r="H206">
        <v>0</v>
      </c>
      <c r="I206" t="s">
        <v>264</v>
      </c>
      <c r="J206" s="169">
        <v>7.1829999999999999E-11</v>
      </c>
    </row>
    <row r="207" spans="1:14" x14ac:dyDescent="0.15">
      <c r="B207" t="s">
        <v>276</v>
      </c>
      <c r="C207" s="169">
        <v>5.1129999999999997E-12</v>
      </c>
      <c r="D207" s="169">
        <v>4.4289999999999998E-12</v>
      </c>
      <c r="E207">
        <v>-11.291</v>
      </c>
      <c r="F207">
        <v>-11.353999999999999</v>
      </c>
      <c r="G207">
        <v>-6.2E-2</v>
      </c>
      <c r="H207">
        <v>0</v>
      </c>
    </row>
    <row r="208" spans="1:14" x14ac:dyDescent="0.15">
      <c r="B208" t="s">
        <v>320</v>
      </c>
      <c r="C208" s="169">
        <v>2.506E-12</v>
      </c>
      <c r="D208" s="169">
        <v>2.1110000000000002E-12</v>
      </c>
      <c r="E208">
        <v>-11.601000000000001</v>
      </c>
      <c r="F208">
        <v>-11.676</v>
      </c>
      <c r="G208">
        <v>-7.3999999999999996E-2</v>
      </c>
      <c r="H208">
        <v>0</v>
      </c>
    </row>
    <row r="209" spans="1:10" x14ac:dyDescent="0.15">
      <c r="B209" t="s">
        <v>321</v>
      </c>
      <c r="C209" s="169">
        <v>1.516E-12</v>
      </c>
      <c r="D209" s="169">
        <v>1.2769999999999999E-12</v>
      </c>
      <c r="E209">
        <v>-11.819000000000001</v>
      </c>
      <c r="F209">
        <v>-11.894</v>
      </c>
      <c r="G209">
        <v>-7.3999999999999996E-2</v>
      </c>
      <c r="H209">
        <v>0</v>
      </c>
    </row>
    <row r="210" spans="1:10" x14ac:dyDescent="0.15">
      <c r="B210" t="s">
        <v>322</v>
      </c>
      <c r="C210" s="169">
        <v>1.001E-13</v>
      </c>
      <c r="D210" s="169">
        <v>5.0420000000000001E-14</v>
      </c>
      <c r="E210">
        <v>-13</v>
      </c>
      <c r="F210">
        <v>-13.297000000000001</v>
      </c>
      <c r="G210">
        <v>-0.29799999999999999</v>
      </c>
      <c r="H210">
        <v>0</v>
      </c>
    </row>
    <row r="211" spans="1:10" x14ac:dyDescent="0.15">
      <c r="B211" t="s">
        <v>278</v>
      </c>
      <c r="C211" s="169">
        <v>2.9700000000000001E-15</v>
      </c>
      <c r="D211" s="169">
        <v>2.9700000000000001E-15</v>
      </c>
      <c r="E211">
        <v>-14.526999999999999</v>
      </c>
      <c r="F211">
        <v>-14.526999999999999</v>
      </c>
      <c r="G211">
        <v>0</v>
      </c>
      <c r="H211">
        <v>0</v>
      </c>
      <c r="J211" s="169">
        <v>6.137E-8</v>
      </c>
    </row>
    <row r="212" spans="1:10" x14ac:dyDescent="0.15">
      <c r="B212" t="s">
        <v>323</v>
      </c>
      <c r="C212" s="169">
        <v>6.7989999999999996E-17</v>
      </c>
      <c r="D212" s="169">
        <v>6.7989999999999996E-17</v>
      </c>
      <c r="E212">
        <v>-16.167999999999999</v>
      </c>
      <c r="F212">
        <v>-16.167999999999999</v>
      </c>
      <c r="G212">
        <v>0</v>
      </c>
      <c r="H212">
        <v>0</v>
      </c>
      <c r="I212" t="s">
        <v>256</v>
      </c>
      <c r="J212" s="169">
        <v>3.934E-8</v>
      </c>
    </row>
    <row r="213" spans="1:10" x14ac:dyDescent="0.15">
      <c r="B213" t="s">
        <v>324</v>
      </c>
      <c r="C213" s="169">
        <v>4.1789999999999997E-17</v>
      </c>
      <c r="D213" s="169">
        <v>2.1050000000000001E-17</v>
      </c>
      <c r="E213">
        <v>-16.379000000000001</v>
      </c>
      <c r="F213">
        <v>-16.677</v>
      </c>
      <c r="G213">
        <v>-0.29799999999999999</v>
      </c>
      <c r="H213">
        <v>0</v>
      </c>
      <c r="I213" t="s">
        <v>315</v>
      </c>
      <c r="J213" s="169">
        <v>3.244E-9</v>
      </c>
    </row>
    <row r="214" spans="1:10" x14ac:dyDescent="0.15">
      <c r="B214" t="s">
        <v>282</v>
      </c>
      <c r="C214" s="169">
        <v>1.007E-19</v>
      </c>
      <c r="D214" s="169">
        <v>8.7209999999999999E-20</v>
      </c>
      <c r="E214">
        <v>-18.997</v>
      </c>
      <c r="F214">
        <v>-19.059000000000001</v>
      </c>
      <c r="G214">
        <v>-6.2E-2</v>
      </c>
      <c r="H214">
        <v>0</v>
      </c>
      <c r="I214" t="s">
        <v>316</v>
      </c>
      <c r="J214" s="169">
        <v>1.6000000000000001E-8</v>
      </c>
    </row>
    <row r="215" spans="1:10" x14ac:dyDescent="0.15">
      <c r="B215" t="s">
        <v>286</v>
      </c>
      <c r="C215" s="169">
        <v>5.3560000000000003E-24</v>
      </c>
      <c r="D215" s="169">
        <v>3.0860000000000001E-24</v>
      </c>
      <c r="E215">
        <v>-23.271000000000001</v>
      </c>
      <c r="F215">
        <v>-23.510999999999999</v>
      </c>
      <c r="G215">
        <v>-0.23899999999999999</v>
      </c>
      <c r="H215">
        <v>0</v>
      </c>
      <c r="I215" t="s">
        <v>262</v>
      </c>
      <c r="J215" s="169">
        <v>9.4909999999999998E-11</v>
      </c>
    </row>
    <row r="216" spans="1:10" x14ac:dyDescent="0.15">
      <c r="A216" t="s">
        <v>325</v>
      </c>
      <c r="B216" s="169">
        <v>0</v>
      </c>
      <c r="I216" t="s">
        <v>317</v>
      </c>
      <c r="J216" s="169">
        <v>2.294E-10</v>
      </c>
    </row>
    <row r="217" spans="1:10" x14ac:dyDescent="0.15">
      <c r="B217" t="s">
        <v>326</v>
      </c>
      <c r="C217" s="169">
        <v>0</v>
      </c>
      <c r="D217" s="169">
        <v>0</v>
      </c>
      <c r="E217">
        <v>-47.280999999999999</v>
      </c>
      <c r="F217">
        <v>-47.279000000000003</v>
      </c>
      <c r="G217">
        <v>2E-3</v>
      </c>
      <c r="H217">
        <v>0</v>
      </c>
      <c r="I217" t="s">
        <v>318</v>
      </c>
    </row>
    <row r="218" spans="1:10" x14ac:dyDescent="0.15">
      <c r="A218" t="s">
        <v>837</v>
      </c>
      <c r="B218" s="169">
        <v>1.98E-7</v>
      </c>
      <c r="I218" t="s">
        <v>319</v>
      </c>
      <c r="J218" s="169">
        <v>1.8880000000000001E-9</v>
      </c>
    </row>
    <row r="219" spans="1:10" x14ac:dyDescent="0.15">
      <c r="B219" t="s">
        <v>327</v>
      </c>
      <c r="C219" s="169">
        <v>1.98E-7</v>
      </c>
      <c r="D219" s="169">
        <v>1.1249999999999999E-7</v>
      </c>
      <c r="E219">
        <v>-6.7030000000000003</v>
      </c>
      <c r="F219">
        <v>-6.9489999999999998</v>
      </c>
      <c r="G219">
        <v>-0.246</v>
      </c>
      <c r="H219">
        <v>0</v>
      </c>
      <c r="I219" t="s">
        <v>264</v>
      </c>
      <c r="J219" s="169">
        <v>5.5469999999999996E-10</v>
      </c>
    </row>
    <row r="220" spans="1:10" x14ac:dyDescent="0.15">
      <c r="B220" t="s">
        <v>328</v>
      </c>
      <c r="C220" s="169">
        <v>1.376E-11</v>
      </c>
      <c r="D220" s="169">
        <v>1.159E-11</v>
      </c>
      <c r="E220">
        <v>-10.861000000000001</v>
      </c>
      <c r="F220">
        <v>-10.936</v>
      </c>
      <c r="G220">
        <v>-7.3999999999999996E-2</v>
      </c>
      <c r="H220">
        <v>0</v>
      </c>
    </row>
    <row r="221" spans="1:10" x14ac:dyDescent="0.15">
      <c r="B221" t="s">
        <v>329</v>
      </c>
      <c r="C221" s="169">
        <v>1.8029999999999999E-15</v>
      </c>
      <c r="D221" s="169">
        <v>1.8029999999999999E-15</v>
      </c>
      <c r="E221">
        <v>-14.744</v>
      </c>
      <c r="F221">
        <v>-14.744</v>
      </c>
      <c r="G221">
        <v>0</v>
      </c>
      <c r="H221">
        <v>0</v>
      </c>
    </row>
    <row r="222" spans="1:10" x14ac:dyDescent="0.15">
      <c r="B222" t="s">
        <v>330</v>
      </c>
      <c r="C222" s="169">
        <v>0</v>
      </c>
      <c r="D222" s="169">
        <v>0</v>
      </c>
      <c r="E222">
        <v>-55.655999999999999</v>
      </c>
      <c r="F222">
        <v>-58.335999999999999</v>
      </c>
      <c r="G222">
        <v>-2.68</v>
      </c>
      <c r="H222">
        <v>0</v>
      </c>
    </row>
    <row r="223" spans="1:10" x14ac:dyDescent="0.15">
      <c r="B223" t="s">
        <v>331</v>
      </c>
      <c r="C223" s="169">
        <v>0</v>
      </c>
      <c r="D223" s="169">
        <v>0</v>
      </c>
      <c r="E223">
        <v>-58.280999999999999</v>
      </c>
      <c r="F223">
        <v>-60.142000000000003</v>
      </c>
      <c r="G223">
        <v>-1.861</v>
      </c>
      <c r="H223">
        <v>0</v>
      </c>
    </row>
    <row r="224" spans="1:10" x14ac:dyDescent="0.15">
      <c r="B224" t="s">
        <v>332</v>
      </c>
      <c r="C224" s="169">
        <v>0</v>
      </c>
      <c r="D224" s="169">
        <v>0</v>
      </c>
      <c r="E224">
        <v>-62.296999999999997</v>
      </c>
      <c r="F224">
        <v>-63.488</v>
      </c>
      <c r="G224">
        <v>-1.1910000000000001</v>
      </c>
      <c r="H224">
        <v>0</v>
      </c>
    </row>
    <row r="225" spans="1:11" x14ac:dyDescent="0.15">
      <c r="B225" t="s">
        <v>333</v>
      </c>
      <c r="C225" s="169">
        <v>0</v>
      </c>
      <c r="D225" s="169">
        <v>0</v>
      </c>
      <c r="E225">
        <v>-67.653000000000006</v>
      </c>
      <c r="F225">
        <v>-68.322999999999993</v>
      </c>
      <c r="G225">
        <v>-0.67</v>
      </c>
      <c r="H225">
        <v>0</v>
      </c>
    </row>
    <row r="226" spans="1:11" x14ac:dyDescent="0.15">
      <c r="A226" t="s">
        <v>468</v>
      </c>
      <c r="B226" s="169">
        <v>9.9950000000000004E-5</v>
      </c>
      <c r="J226" s="169">
        <v>9.9950000000000004E-5</v>
      </c>
      <c r="K226" s="169"/>
    </row>
    <row r="227" spans="1:11" x14ac:dyDescent="0.15">
      <c r="B227" t="s">
        <v>334</v>
      </c>
      <c r="C227" s="169">
        <v>8.2559999999999996E-5</v>
      </c>
      <c r="D227" s="169">
        <v>7.0859999999999996E-5</v>
      </c>
      <c r="E227">
        <v>-4.0830000000000002</v>
      </c>
      <c r="F227">
        <v>-4.1500000000000004</v>
      </c>
      <c r="G227">
        <v>-6.6000000000000003E-2</v>
      </c>
      <c r="H227">
        <v>0</v>
      </c>
      <c r="I227" t="s">
        <v>334</v>
      </c>
      <c r="J227" s="169">
        <v>8.2559999999999996E-5</v>
      </c>
      <c r="K227" s="17">
        <f>J227/J$226*100</f>
        <v>82.601300650325157</v>
      </c>
    </row>
    <row r="228" spans="1:11" x14ac:dyDescent="0.15">
      <c r="B228" t="s">
        <v>335</v>
      </c>
      <c r="C228" s="169">
        <v>1.5449999999999999E-5</v>
      </c>
      <c r="D228" s="169">
        <v>1.5449999999999999E-5</v>
      </c>
      <c r="E228">
        <v>-4.8109999999999999</v>
      </c>
      <c r="F228">
        <v>-4.8109999999999999</v>
      </c>
      <c r="G228">
        <v>0</v>
      </c>
      <c r="H228">
        <v>0</v>
      </c>
      <c r="I228" t="s">
        <v>335</v>
      </c>
      <c r="J228" s="169">
        <v>1.5449999999999999E-5</v>
      </c>
      <c r="K228" s="17">
        <f t="shared" ref="K228:K229" si="2">J228/J$226*100</f>
        <v>15.457728864432216</v>
      </c>
    </row>
    <row r="229" spans="1:11" x14ac:dyDescent="0.15">
      <c r="B229" t="s">
        <v>336</v>
      </c>
      <c r="C229" s="169">
        <v>1.9120000000000001E-6</v>
      </c>
      <c r="D229" s="169">
        <v>1.666E-6</v>
      </c>
      <c r="E229">
        <v>-5.7190000000000003</v>
      </c>
      <c r="F229">
        <v>-5.7779999999999996</v>
      </c>
      <c r="G229">
        <v>-0.06</v>
      </c>
      <c r="H229">
        <v>0</v>
      </c>
      <c r="I229" t="s">
        <v>336</v>
      </c>
      <c r="J229" s="169">
        <v>1.9120000000000001E-6</v>
      </c>
      <c r="K229" s="17">
        <f t="shared" si="2"/>
        <v>1.9129564782391195</v>
      </c>
    </row>
    <row r="230" spans="1:11" x14ac:dyDescent="0.15">
      <c r="B230" t="s">
        <v>268</v>
      </c>
      <c r="C230" s="169">
        <v>2.48E-8</v>
      </c>
      <c r="D230" s="169">
        <v>1.2499999999999999E-8</v>
      </c>
      <c r="E230">
        <v>-7.6059999999999999</v>
      </c>
      <c r="F230">
        <v>-7.9029999999999996</v>
      </c>
      <c r="G230">
        <v>-0.29799999999999999</v>
      </c>
      <c r="H230">
        <v>0</v>
      </c>
    </row>
    <row r="231" spans="1:11" x14ac:dyDescent="0.15">
      <c r="B231" t="s">
        <v>318</v>
      </c>
      <c r="C231" s="169">
        <v>3.858E-10</v>
      </c>
      <c r="D231" s="169">
        <v>1.944E-10</v>
      </c>
      <c r="E231">
        <v>-9.4139999999999997</v>
      </c>
      <c r="F231">
        <v>-9.7110000000000003</v>
      </c>
      <c r="G231">
        <v>-0.29799999999999999</v>
      </c>
      <c r="H231">
        <v>0</v>
      </c>
    </row>
    <row r="232" spans="1:11" x14ac:dyDescent="0.15">
      <c r="B232" t="s">
        <v>337</v>
      </c>
      <c r="C232" s="169">
        <v>2.5000000000000002E-10</v>
      </c>
      <c r="D232" s="169">
        <v>1.259E-10</v>
      </c>
      <c r="E232">
        <v>-9.6020000000000003</v>
      </c>
      <c r="F232">
        <v>-9.9</v>
      </c>
      <c r="G232">
        <v>-0.29799999999999999</v>
      </c>
      <c r="H232">
        <v>0</v>
      </c>
    </row>
    <row r="233" spans="1:11" x14ac:dyDescent="0.15">
      <c r="B233" t="s">
        <v>294</v>
      </c>
      <c r="C233" s="169">
        <v>8.4079999999999996E-11</v>
      </c>
      <c r="D233" s="169">
        <v>4.2360000000000003E-11</v>
      </c>
      <c r="E233">
        <v>-10.074999999999999</v>
      </c>
      <c r="F233">
        <v>-10.372999999999999</v>
      </c>
      <c r="G233">
        <v>-0.29799999999999999</v>
      </c>
      <c r="H233">
        <v>0</v>
      </c>
    </row>
    <row r="234" spans="1:11" x14ac:dyDescent="0.15">
      <c r="B234" t="s">
        <v>338</v>
      </c>
      <c r="C234" s="169">
        <v>4.7669999999999998E-13</v>
      </c>
      <c r="D234" s="169">
        <v>2.4019999999999998E-13</v>
      </c>
      <c r="E234">
        <v>-12.321999999999999</v>
      </c>
      <c r="F234">
        <v>-12.619</v>
      </c>
      <c r="G234">
        <v>-0.29799999999999999</v>
      </c>
      <c r="H234">
        <v>0</v>
      </c>
    </row>
    <row r="235" spans="1:11" x14ac:dyDescent="0.15">
      <c r="B235" t="s">
        <v>270</v>
      </c>
      <c r="C235" s="169">
        <v>5.0229999999999998E-14</v>
      </c>
      <c r="D235" s="169">
        <v>2.53E-14</v>
      </c>
      <c r="E235">
        <v>-13.298999999999999</v>
      </c>
      <c r="F235">
        <v>-13.597</v>
      </c>
      <c r="G235">
        <v>-0.29799999999999999</v>
      </c>
      <c r="H235">
        <v>0</v>
      </c>
    </row>
    <row r="236" spans="1:11" x14ac:dyDescent="0.15">
      <c r="B236" t="s">
        <v>298</v>
      </c>
      <c r="C236" s="169">
        <v>4.5490000000000004E-15</v>
      </c>
      <c r="D236" s="169">
        <v>2.2920000000000002E-15</v>
      </c>
      <c r="E236">
        <v>-14.342000000000001</v>
      </c>
      <c r="F236">
        <v>-14.64</v>
      </c>
      <c r="G236">
        <v>-0.29799999999999999</v>
      </c>
      <c r="H236">
        <v>0</v>
      </c>
    </row>
    <row r="237" spans="1:11" x14ac:dyDescent="0.15">
      <c r="B237" t="s">
        <v>302</v>
      </c>
      <c r="C237" s="169">
        <v>2.9129999999999999E-19</v>
      </c>
      <c r="D237" s="169">
        <v>1.4680000000000001E-19</v>
      </c>
      <c r="E237">
        <v>-18.536000000000001</v>
      </c>
      <c r="F237">
        <v>-18.832999999999998</v>
      </c>
      <c r="G237">
        <v>-0.29799999999999999</v>
      </c>
      <c r="H237">
        <v>0</v>
      </c>
    </row>
    <row r="238" spans="1:11" x14ac:dyDescent="0.15">
      <c r="B238" t="s">
        <v>304</v>
      </c>
      <c r="C238" s="169">
        <v>7.776E-24</v>
      </c>
      <c r="D238" s="169">
        <v>3.9170000000000001E-24</v>
      </c>
      <c r="E238">
        <v>-23.109000000000002</v>
      </c>
      <c r="F238">
        <v>-23.407</v>
      </c>
      <c r="G238">
        <v>-0.29799999999999999</v>
      </c>
      <c r="H238">
        <v>0</v>
      </c>
    </row>
    <row r="239" spans="1:11" x14ac:dyDescent="0.15">
      <c r="B239" t="s">
        <v>288</v>
      </c>
      <c r="C239" s="169">
        <v>3.1240000000000001E-28</v>
      </c>
      <c r="D239" s="169">
        <v>1.574E-28</v>
      </c>
      <c r="E239">
        <v>-27.504999999999999</v>
      </c>
      <c r="F239">
        <v>-27.803000000000001</v>
      </c>
      <c r="G239">
        <v>-0.29799999999999999</v>
      </c>
      <c r="H239">
        <v>0</v>
      </c>
    </row>
    <row r="240" spans="1:11" x14ac:dyDescent="0.15">
      <c r="B240" t="s">
        <v>306</v>
      </c>
      <c r="C240" s="169">
        <v>6.5639999999999995E-29</v>
      </c>
      <c r="D240" s="169">
        <v>3.3070000000000002E-29</v>
      </c>
      <c r="E240">
        <v>-28.183</v>
      </c>
      <c r="F240">
        <v>-28.481000000000002</v>
      </c>
      <c r="G240">
        <v>-0.29799999999999999</v>
      </c>
      <c r="H240">
        <v>0</v>
      </c>
    </row>
    <row r="241" spans="1:8" x14ac:dyDescent="0.15">
      <c r="B241" t="s">
        <v>310</v>
      </c>
      <c r="C241" s="169">
        <v>6.4000000000000004E-36</v>
      </c>
      <c r="D241" s="169">
        <v>5.392E-36</v>
      </c>
      <c r="E241">
        <v>-35.194000000000003</v>
      </c>
      <c r="F241">
        <v>-35.268000000000001</v>
      </c>
      <c r="G241">
        <v>-7.3999999999999996E-2</v>
      </c>
      <c r="H241">
        <v>0</v>
      </c>
    </row>
    <row r="242" spans="1:8" x14ac:dyDescent="0.15">
      <c r="B242" t="s">
        <v>311</v>
      </c>
      <c r="C242" s="169">
        <v>1.6649999999999999E-38</v>
      </c>
      <c r="D242" s="169">
        <v>8.3880000000000002E-39</v>
      </c>
      <c r="E242">
        <v>-37.779000000000003</v>
      </c>
      <c r="F242">
        <v>-38.076000000000001</v>
      </c>
      <c r="G242">
        <v>-0.29799999999999999</v>
      </c>
      <c r="H242">
        <v>0</v>
      </c>
    </row>
    <row r="243" spans="1:8" x14ac:dyDescent="0.15">
      <c r="B243" t="s">
        <v>289</v>
      </c>
      <c r="C243" s="169">
        <v>3.7110000000000001E-40</v>
      </c>
      <c r="D243" s="169">
        <v>1.8699999999999998E-40</v>
      </c>
      <c r="E243">
        <v>-39.43</v>
      </c>
      <c r="F243">
        <v>-39.728000000000002</v>
      </c>
      <c r="G243">
        <v>-0.29799999999999999</v>
      </c>
      <c r="H243">
        <v>0</v>
      </c>
    </row>
    <row r="244" spans="1:8" x14ac:dyDescent="0.15">
      <c r="A244" t="s">
        <v>469</v>
      </c>
      <c r="B244" s="169">
        <v>5.3549999999999995E-4</v>
      </c>
    </row>
    <row r="245" spans="1:8" x14ac:dyDescent="0.15">
      <c r="B245" t="s">
        <v>339</v>
      </c>
      <c r="C245" s="169">
        <v>5.3169999999999997E-4</v>
      </c>
      <c r="D245" s="169">
        <v>4.616E-4</v>
      </c>
      <c r="E245">
        <v>-3.274</v>
      </c>
      <c r="F245">
        <v>-3.3359999999999999</v>
      </c>
      <c r="G245">
        <v>-6.0999999999999999E-2</v>
      </c>
      <c r="H245">
        <v>0</v>
      </c>
    </row>
    <row r="246" spans="1:8" x14ac:dyDescent="0.15">
      <c r="B246" t="s">
        <v>267</v>
      </c>
      <c r="C246" s="169">
        <v>3.794E-6</v>
      </c>
      <c r="D246" s="169">
        <v>3.196E-6</v>
      </c>
      <c r="E246">
        <v>-5.4210000000000003</v>
      </c>
      <c r="F246">
        <v>-5.4950000000000001</v>
      </c>
      <c r="G246">
        <v>-7.3999999999999996E-2</v>
      </c>
      <c r="H246">
        <v>0</v>
      </c>
    </row>
    <row r="247" spans="1:8" x14ac:dyDescent="0.15">
      <c r="B247" t="s">
        <v>340</v>
      </c>
      <c r="C247" s="169">
        <v>2.1940000000000001E-11</v>
      </c>
      <c r="D247" s="169">
        <v>1.8489999999999999E-11</v>
      </c>
      <c r="E247">
        <v>-10.659000000000001</v>
      </c>
      <c r="F247">
        <v>-10.733000000000001</v>
      </c>
      <c r="G247">
        <v>-7.3999999999999996E-2</v>
      </c>
      <c r="H247">
        <v>0</v>
      </c>
    </row>
    <row r="248" spans="1:8" x14ac:dyDescent="0.15">
      <c r="B248" t="s">
        <v>341</v>
      </c>
      <c r="C248" s="169">
        <v>1.5159999999999999E-11</v>
      </c>
      <c r="D248" s="169">
        <v>1.277E-11</v>
      </c>
      <c r="E248">
        <v>-10.819000000000001</v>
      </c>
      <c r="F248">
        <v>-10.894</v>
      </c>
      <c r="G248">
        <v>-7.3999999999999996E-2</v>
      </c>
      <c r="H248">
        <v>0</v>
      </c>
    </row>
    <row r="249" spans="1:8" x14ac:dyDescent="0.15">
      <c r="B249" t="s">
        <v>296</v>
      </c>
      <c r="C249" s="169">
        <v>1.5E-11</v>
      </c>
      <c r="D249" s="169">
        <v>1.2629999999999999E-11</v>
      </c>
      <c r="E249">
        <v>-10.824</v>
      </c>
      <c r="F249">
        <v>-10.898</v>
      </c>
      <c r="G249">
        <v>-7.3999999999999996E-2</v>
      </c>
      <c r="H249">
        <v>0</v>
      </c>
    </row>
    <row r="250" spans="1:8" x14ac:dyDescent="0.15">
      <c r="B250" t="s">
        <v>321</v>
      </c>
      <c r="C250" s="169">
        <v>1.516E-12</v>
      </c>
      <c r="D250" s="169">
        <v>1.2769999999999999E-12</v>
      </c>
      <c r="E250">
        <v>-11.819000000000001</v>
      </c>
      <c r="F250">
        <v>-11.894</v>
      </c>
      <c r="G250">
        <v>-7.3999999999999996E-2</v>
      </c>
      <c r="H250">
        <v>0</v>
      </c>
    </row>
    <row r="251" spans="1:8" x14ac:dyDescent="0.15">
      <c r="B251" t="s">
        <v>297</v>
      </c>
      <c r="C251" s="169">
        <v>1.1859999999999999E-14</v>
      </c>
      <c r="D251" s="169">
        <v>1.1859999999999999E-14</v>
      </c>
      <c r="E251">
        <v>-13.926</v>
      </c>
      <c r="F251">
        <v>-13.926</v>
      </c>
      <c r="G251">
        <v>0</v>
      </c>
      <c r="H251">
        <v>0</v>
      </c>
    </row>
    <row r="252" spans="1:8" x14ac:dyDescent="0.15">
      <c r="B252" t="s">
        <v>342</v>
      </c>
      <c r="C252" s="169">
        <v>1.543E-15</v>
      </c>
      <c r="D252" s="169">
        <v>1.543E-15</v>
      </c>
      <c r="E252">
        <v>-14.811999999999999</v>
      </c>
      <c r="F252">
        <v>-14.811999999999999</v>
      </c>
      <c r="G252">
        <v>0</v>
      </c>
      <c r="H252">
        <v>0</v>
      </c>
    </row>
    <row r="253" spans="1:8" x14ac:dyDescent="0.15">
      <c r="B253" t="s">
        <v>323</v>
      </c>
      <c r="C253" s="169">
        <v>6.7989999999999996E-17</v>
      </c>
      <c r="D253" s="169">
        <v>6.7989999999999996E-17</v>
      </c>
      <c r="E253">
        <v>-16.167999999999999</v>
      </c>
      <c r="F253">
        <v>-16.167999999999999</v>
      </c>
      <c r="G253">
        <v>0</v>
      </c>
      <c r="H253">
        <v>0</v>
      </c>
    </row>
    <row r="254" spans="1:8" x14ac:dyDescent="0.15">
      <c r="A254" t="s">
        <v>667</v>
      </c>
      <c r="B254" s="169">
        <v>8.1449999999999995E-3</v>
      </c>
    </row>
    <row r="255" spans="1:8" x14ac:dyDescent="0.15">
      <c r="B255" t="s">
        <v>343</v>
      </c>
      <c r="C255" s="169">
        <v>8.0429999999999998E-3</v>
      </c>
      <c r="D255" s="169">
        <v>6.9820000000000004E-3</v>
      </c>
      <c r="E255">
        <v>-2.0950000000000002</v>
      </c>
      <c r="F255">
        <v>-2.1560000000000001</v>
      </c>
      <c r="G255">
        <v>-6.0999999999999999E-2</v>
      </c>
      <c r="H255">
        <v>0</v>
      </c>
    </row>
    <row r="256" spans="1:8" x14ac:dyDescent="0.15">
      <c r="B256" t="s">
        <v>344</v>
      </c>
      <c r="C256" s="169">
        <v>9.221E-5</v>
      </c>
      <c r="D256" s="169">
        <v>8.051E-5</v>
      </c>
      <c r="E256">
        <v>-4.0350000000000001</v>
      </c>
      <c r="F256">
        <v>-4.0940000000000003</v>
      </c>
      <c r="G256">
        <v>-5.8999999999999997E-2</v>
      </c>
      <c r="H256">
        <v>0</v>
      </c>
    </row>
    <row r="257" spans="1:11" x14ac:dyDescent="0.15">
      <c r="B257" t="s">
        <v>522</v>
      </c>
      <c r="C257" s="169">
        <v>8.6060000000000003E-6</v>
      </c>
      <c r="D257" s="169">
        <v>8.6060000000000003E-6</v>
      </c>
      <c r="E257">
        <v>-5.0650000000000004</v>
      </c>
      <c r="F257">
        <v>-5.0650000000000004</v>
      </c>
      <c r="G257">
        <v>0</v>
      </c>
      <c r="H257">
        <v>0</v>
      </c>
    </row>
    <row r="258" spans="1:11" x14ac:dyDescent="0.15">
      <c r="B258" t="s">
        <v>255</v>
      </c>
      <c r="C258" s="169">
        <v>1.624E-6</v>
      </c>
      <c r="D258" s="169">
        <v>1.418E-6</v>
      </c>
      <c r="E258">
        <v>-5.7889999999999997</v>
      </c>
      <c r="F258">
        <v>-5.8479999999999999</v>
      </c>
      <c r="G258">
        <v>-5.8999999999999997E-2</v>
      </c>
      <c r="H258">
        <v>0</v>
      </c>
    </row>
    <row r="259" spans="1:11" x14ac:dyDescent="0.15">
      <c r="A259" t="s">
        <v>838</v>
      </c>
      <c r="B259" s="169">
        <v>2.8970000000000001E-8</v>
      </c>
      <c r="J259" s="169">
        <v>2.8970000000000001E-8</v>
      </c>
    </row>
    <row r="260" spans="1:11" x14ac:dyDescent="0.15">
      <c r="B260" t="s">
        <v>345</v>
      </c>
      <c r="C260" s="169">
        <v>1.939E-8</v>
      </c>
      <c r="D260" s="169">
        <v>1.1010000000000001E-8</v>
      </c>
      <c r="E260">
        <v>-7.7119999999999997</v>
      </c>
      <c r="F260">
        <v>-7.9580000000000002</v>
      </c>
      <c r="G260">
        <v>-0.246</v>
      </c>
      <c r="H260">
        <v>0</v>
      </c>
      <c r="I260" t="s">
        <v>345</v>
      </c>
      <c r="J260" s="169">
        <v>1.939E-8</v>
      </c>
      <c r="K260" s="17">
        <f>J260/J$259*100</f>
        <v>66.931308249913698</v>
      </c>
    </row>
    <row r="261" spans="1:11" x14ac:dyDescent="0.15">
      <c r="B261" t="s">
        <v>104</v>
      </c>
      <c r="C261" s="169">
        <v>4.2590000000000003E-9</v>
      </c>
      <c r="D261" s="169">
        <v>4.2590000000000003E-9</v>
      </c>
      <c r="E261">
        <v>-8.3710000000000004</v>
      </c>
      <c r="F261">
        <v>-8.3710000000000004</v>
      </c>
      <c r="G261">
        <v>0</v>
      </c>
      <c r="H261">
        <v>0</v>
      </c>
      <c r="I261" t="s">
        <v>104</v>
      </c>
      <c r="J261" s="169">
        <v>4.2590000000000003E-9</v>
      </c>
      <c r="K261" s="17">
        <f>J261/J$259*100</f>
        <v>14.701415257162584</v>
      </c>
    </row>
    <row r="262" spans="1:11" x14ac:dyDescent="0.15">
      <c r="B262" t="s">
        <v>258</v>
      </c>
      <c r="C262" s="169">
        <v>2.9009999999999998E-9</v>
      </c>
      <c r="D262" s="169">
        <v>2.9009999999999998E-9</v>
      </c>
      <c r="E262">
        <v>-8.5370000000000008</v>
      </c>
      <c r="F262">
        <v>-8.5370000000000008</v>
      </c>
      <c r="G262">
        <v>0</v>
      </c>
      <c r="H262">
        <v>0</v>
      </c>
      <c r="I262" t="s">
        <v>258</v>
      </c>
      <c r="J262" s="169">
        <v>2.9009999999999998E-9</v>
      </c>
      <c r="K262" s="17">
        <f>J262/J$259*100</f>
        <v>10.013807386952019</v>
      </c>
    </row>
    <row r="263" spans="1:11" x14ac:dyDescent="0.15">
      <c r="B263" t="s">
        <v>260</v>
      </c>
      <c r="C263" s="169">
        <v>1.928E-9</v>
      </c>
      <c r="D263" s="169">
        <v>1.624E-9</v>
      </c>
      <c r="E263">
        <v>-8.7149999999999999</v>
      </c>
      <c r="F263">
        <v>-8.7889999999999997</v>
      </c>
      <c r="G263">
        <v>-7.3999999999999996E-2</v>
      </c>
      <c r="H263">
        <v>0</v>
      </c>
      <c r="I263" t="s">
        <v>260</v>
      </c>
      <c r="J263" s="169">
        <v>1.928E-9</v>
      </c>
      <c r="K263" s="17">
        <f>J263/J$259*100</f>
        <v>6.6551605108733174</v>
      </c>
    </row>
    <row r="264" spans="1:11" x14ac:dyDescent="0.15">
      <c r="B264" t="s">
        <v>337</v>
      </c>
      <c r="C264" s="169">
        <v>2.5000000000000002E-10</v>
      </c>
      <c r="D264" s="169">
        <v>1.259E-10</v>
      </c>
      <c r="E264">
        <v>-9.6020000000000003</v>
      </c>
      <c r="F264">
        <v>-9.9</v>
      </c>
      <c r="G264">
        <v>-0.29799999999999999</v>
      </c>
      <c r="H264">
        <v>0</v>
      </c>
    </row>
    <row r="265" spans="1:11" x14ac:dyDescent="0.15">
      <c r="B265" t="s">
        <v>275</v>
      </c>
      <c r="C265" s="169">
        <v>1.334E-10</v>
      </c>
      <c r="D265" s="169">
        <v>1.1239999999999999E-10</v>
      </c>
      <c r="E265">
        <v>-9.875</v>
      </c>
      <c r="F265">
        <v>-9.9489999999999998</v>
      </c>
      <c r="G265">
        <v>-7.3999999999999996E-2</v>
      </c>
      <c r="H265">
        <v>0</v>
      </c>
    </row>
    <row r="266" spans="1:11" x14ac:dyDescent="0.15">
      <c r="B266" t="s">
        <v>105</v>
      </c>
      <c r="C266" s="169">
        <v>6.8920000000000006E-11</v>
      </c>
      <c r="D266" s="169">
        <v>5.807E-11</v>
      </c>
      <c r="E266">
        <v>-10.162000000000001</v>
      </c>
      <c r="F266">
        <v>-10.236000000000001</v>
      </c>
      <c r="G266">
        <v>-7.3999999999999996E-2</v>
      </c>
      <c r="H266">
        <v>0</v>
      </c>
    </row>
    <row r="267" spans="1:11" x14ac:dyDescent="0.15">
      <c r="B267" t="s">
        <v>106</v>
      </c>
      <c r="C267" s="169">
        <v>1.7680000000000001E-11</v>
      </c>
      <c r="D267" s="169">
        <v>1.7680000000000001E-11</v>
      </c>
      <c r="E267">
        <v>-10.752000000000001</v>
      </c>
      <c r="F267">
        <v>-10.752000000000001</v>
      </c>
      <c r="G267">
        <v>0</v>
      </c>
      <c r="H267">
        <v>0</v>
      </c>
    </row>
    <row r="268" spans="1:11" x14ac:dyDescent="0.15">
      <c r="B268" t="s">
        <v>341</v>
      </c>
      <c r="C268" s="169">
        <v>1.5159999999999999E-11</v>
      </c>
      <c r="D268" s="169">
        <v>1.277E-11</v>
      </c>
      <c r="E268">
        <v>-10.819000000000001</v>
      </c>
      <c r="F268">
        <v>-10.894</v>
      </c>
      <c r="G268">
        <v>-7.3999999999999996E-2</v>
      </c>
      <c r="H268">
        <v>0</v>
      </c>
    </row>
    <row r="269" spans="1:11" x14ac:dyDescent="0.15">
      <c r="B269" t="s">
        <v>107</v>
      </c>
      <c r="C269" s="169">
        <v>6.9499999999999997E-13</v>
      </c>
      <c r="D269" s="169">
        <v>3.5009999999999999E-13</v>
      </c>
      <c r="E269">
        <v>-12.157999999999999</v>
      </c>
      <c r="F269">
        <v>-12.456</v>
      </c>
      <c r="G269">
        <v>-0.29799999999999999</v>
      </c>
      <c r="H269">
        <v>0</v>
      </c>
    </row>
    <row r="270" spans="1:11" x14ac:dyDescent="0.15">
      <c r="B270" t="s">
        <v>338</v>
      </c>
      <c r="C270" s="169">
        <v>4.7669999999999998E-13</v>
      </c>
      <c r="D270" s="169">
        <v>2.4019999999999998E-13</v>
      </c>
      <c r="E270">
        <v>-12.321999999999999</v>
      </c>
      <c r="F270">
        <v>-12.619</v>
      </c>
      <c r="G270">
        <v>-0.29799999999999999</v>
      </c>
      <c r="H270">
        <v>0</v>
      </c>
    </row>
    <row r="271" spans="1:11" x14ac:dyDescent="0.15">
      <c r="B271" t="s">
        <v>108</v>
      </c>
      <c r="C271" s="169">
        <v>2.6600000000000002E-14</v>
      </c>
      <c r="D271" s="169">
        <v>2.2409999999999999E-14</v>
      </c>
      <c r="E271">
        <v>-13.574999999999999</v>
      </c>
      <c r="F271">
        <v>-13.65</v>
      </c>
      <c r="G271">
        <v>-7.3999999999999996E-2</v>
      </c>
      <c r="H271">
        <v>0</v>
      </c>
    </row>
    <row r="272" spans="1:11" x14ac:dyDescent="0.15">
      <c r="B272" t="s">
        <v>279</v>
      </c>
      <c r="C272" s="169">
        <v>2.4589999999999999E-15</v>
      </c>
      <c r="D272" s="169">
        <v>2.4589999999999999E-15</v>
      </c>
      <c r="E272">
        <v>-14.609</v>
      </c>
      <c r="F272">
        <v>-14.609</v>
      </c>
      <c r="G272">
        <v>0</v>
      </c>
      <c r="H272">
        <v>0</v>
      </c>
    </row>
    <row r="273" spans="1:11" x14ac:dyDescent="0.15">
      <c r="A273" t="s">
        <v>471</v>
      </c>
      <c r="B273" s="169">
        <v>6.2500000000000001E-4</v>
      </c>
    </row>
    <row r="274" spans="1:11" x14ac:dyDescent="0.15">
      <c r="B274" t="s">
        <v>109</v>
      </c>
      <c r="C274" s="169">
        <v>3.1250000000000001E-4</v>
      </c>
      <c r="D274" s="169">
        <v>3.1409999999999999E-4</v>
      </c>
      <c r="E274">
        <v>-3.5049999999999999</v>
      </c>
      <c r="F274">
        <v>-3.5030000000000001</v>
      </c>
      <c r="G274">
        <v>2E-3</v>
      </c>
      <c r="H274">
        <v>0</v>
      </c>
    </row>
    <row r="275" spans="1:11" x14ac:dyDescent="0.15">
      <c r="A275" t="s">
        <v>472</v>
      </c>
      <c r="B275" s="169">
        <v>4.7990000000000003E-3</v>
      </c>
      <c r="J275" s="169">
        <v>4.7990000000000003E-3</v>
      </c>
    </row>
    <row r="276" spans="1:11" x14ac:dyDescent="0.15">
      <c r="B276" t="s">
        <v>110</v>
      </c>
      <c r="C276" s="169">
        <v>3.862E-3</v>
      </c>
      <c r="D276" s="169">
        <v>2.1940000000000002E-3</v>
      </c>
      <c r="E276">
        <v>-2.4129999999999998</v>
      </c>
      <c r="F276">
        <v>-2.6589999999999998</v>
      </c>
      <c r="G276">
        <v>-0.246</v>
      </c>
      <c r="H276">
        <v>0</v>
      </c>
      <c r="I276" t="s">
        <v>110</v>
      </c>
      <c r="J276" s="169">
        <v>3.862E-3</v>
      </c>
      <c r="K276" s="17">
        <f>J276/J$275*100</f>
        <v>80.475098978953937</v>
      </c>
    </row>
    <row r="277" spans="1:11" x14ac:dyDescent="0.15">
      <c r="B277" t="s">
        <v>266</v>
      </c>
      <c r="C277" s="169">
        <v>8.4250000000000004E-4</v>
      </c>
      <c r="D277" s="169">
        <v>8.4250000000000004E-4</v>
      </c>
      <c r="E277">
        <v>-3.0739999999999998</v>
      </c>
      <c r="F277">
        <v>-3.0739999999999998</v>
      </c>
      <c r="G277">
        <v>0</v>
      </c>
      <c r="H277">
        <v>0</v>
      </c>
      <c r="I277" t="s">
        <v>266</v>
      </c>
      <c r="J277" s="169">
        <v>8.4250000000000004E-4</v>
      </c>
      <c r="K277" s="17">
        <f t="shared" ref="K277" si="3">J277/J$275*100</f>
        <v>17.555740779329028</v>
      </c>
    </row>
    <row r="278" spans="1:11" x14ac:dyDescent="0.15">
      <c r="B278" t="s">
        <v>344</v>
      </c>
      <c r="C278" s="169">
        <v>9.221E-5</v>
      </c>
      <c r="D278" s="169">
        <v>8.051E-5</v>
      </c>
      <c r="E278">
        <v>-4.0350000000000001</v>
      </c>
      <c r="F278">
        <v>-4.0940000000000003</v>
      </c>
      <c r="G278">
        <v>-5.8999999999999997E-2</v>
      </c>
      <c r="H278">
        <v>0</v>
      </c>
      <c r="I278" t="s">
        <v>344</v>
      </c>
      <c r="J278" s="169">
        <v>9.221E-5</v>
      </c>
      <c r="K278" s="17">
        <f>J278/J$275*100</f>
        <v>1.9214419670764742</v>
      </c>
    </row>
    <row r="279" spans="1:11" x14ac:dyDescent="0.15">
      <c r="B279" t="s">
        <v>336</v>
      </c>
      <c r="C279" s="169">
        <v>1.9120000000000001E-6</v>
      </c>
      <c r="D279" s="169">
        <v>1.666E-6</v>
      </c>
      <c r="E279">
        <v>-5.7190000000000003</v>
      </c>
      <c r="F279">
        <v>-5.7779999999999996</v>
      </c>
      <c r="G279">
        <v>-0.06</v>
      </c>
      <c r="H279">
        <v>0</v>
      </c>
    </row>
    <row r="280" spans="1:11" x14ac:dyDescent="0.15">
      <c r="B280" t="s">
        <v>292</v>
      </c>
      <c r="C280" s="169">
        <v>6.6210000000000002E-9</v>
      </c>
      <c r="D280" s="169">
        <v>6.6210000000000002E-9</v>
      </c>
      <c r="E280">
        <v>-8.1790000000000003</v>
      </c>
      <c r="F280">
        <v>-8.1790000000000003</v>
      </c>
      <c r="G280">
        <v>0</v>
      </c>
      <c r="H280">
        <v>0</v>
      </c>
    </row>
    <row r="281" spans="1:11" x14ac:dyDescent="0.15">
      <c r="B281" t="s">
        <v>111</v>
      </c>
      <c r="C281" s="169">
        <v>6.0749999999999998E-9</v>
      </c>
      <c r="D281" s="169">
        <v>6.0749999999999998E-9</v>
      </c>
      <c r="E281">
        <v>-8.2159999999999993</v>
      </c>
      <c r="F281">
        <v>-8.2159999999999993</v>
      </c>
      <c r="G281">
        <v>0</v>
      </c>
      <c r="H281">
        <v>0</v>
      </c>
    </row>
    <row r="282" spans="1:11" x14ac:dyDescent="0.15">
      <c r="B282" t="s">
        <v>104</v>
      </c>
      <c r="C282" s="169">
        <v>4.2590000000000003E-9</v>
      </c>
      <c r="D282" s="169">
        <v>4.2590000000000003E-9</v>
      </c>
      <c r="E282">
        <v>-8.3710000000000004</v>
      </c>
      <c r="F282">
        <v>-8.3710000000000004</v>
      </c>
      <c r="G282">
        <v>0</v>
      </c>
      <c r="H282">
        <v>0</v>
      </c>
    </row>
    <row r="283" spans="1:11" x14ac:dyDescent="0.15">
      <c r="B283" t="s">
        <v>112</v>
      </c>
      <c r="C283" s="169">
        <v>1.225E-9</v>
      </c>
      <c r="D283" s="169">
        <v>1.064E-9</v>
      </c>
      <c r="E283">
        <v>-8.9120000000000008</v>
      </c>
      <c r="F283">
        <v>-8.9730000000000008</v>
      </c>
      <c r="G283">
        <v>-6.0999999999999999E-2</v>
      </c>
      <c r="H283">
        <v>0</v>
      </c>
    </row>
    <row r="284" spans="1:11" x14ac:dyDescent="0.15">
      <c r="B284" t="s">
        <v>319</v>
      </c>
      <c r="C284" s="169">
        <v>3.3449999999999998E-10</v>
      </c>
      <c r="D284" s="169">
        <v>3.3449999999999998E-10</v>
      </c>
      <c r="E284">
        <v>-9.4760000000000009</v>
      </c>
      <c r="F284">
        <v>-9.4760000000000009</v>
      </c>
      <c r="G284">
        <v>0</v>
      </c>
      <c r="H284">
        <v>0</v>
      </c>
    </row>
    <row r="285" spans="1:11" x14ac:dyDescent="0.15">
      <c r="B285" t="s">
        <v>113</v>
      </c>
      <c r="C285" s="169">
        <v>2.6300000000000002E-10</v>
      </c>
      <c r="D285" s="169">
        <v>1.3250000000000001E-10</v>
      </c>
      <c r="E285">
        <v>-9.58</v>
      </c>
      <c r="F285">
        <v>-9.8780000000000001</v>
      </c>
      <c r="G285">
        <v>-0.29799999999999999</v>
      </c>
      <c r="H285">
        <v>0</v>
      </c>
    </row>
    <row r="286" spans="1:11" x14ac:dyDescent="0.15">
      <c r="B286" t="s">
        <v>107</v>
      </c>
      <c r="C286" s="169">
        <v>6.9499999999999997E-13</v>
      </c>
      <c r="D286" s="169">
        <v>3.5009999999999999E-13</v>
      </c>
      <c r="E286">
        <v>-12.157999999999999</v>
      </c>
      <c r="F286">
        <v>-12.456</v>
      </c>
      <c r="G286">
        <v>-0.29799999999999999</v>
      </c>
      <c r="H286">
        <v>0</v>
      </c>
    </row>
    <row r="287" spans="1:11" x14ac:dyDescent="0.15">
      <c r="B287" t="s">
        <v>310</v>
      </c>
      <c r="C287" s="169">
        <v>6.4000000000000004E-36</v>
      </c>
      <c r="D287" s="169">
        <v>5.392E-36</v>
      </c>
      <c r="E287">
        <v>-35.194000000000003</v>
      </c>
      <c r="F287">
        <v>-35.268000000000001</v>
      </c>
      <c r="G287">
        <v>-7.3999999999999996E-2</v>
      </c>
      <c r="H287">
        <v>0</v>
      </c>
    </row>
    <row r="288" spans="1:11" x14ac:dyDescent="0.15">
      <c r="A288" t="s">
        <v>847</v>
      </c>
      <c r="B288" s="169">
        <v>3.976E-8</v>
      </c>
      <c r="J288" s="169">
        <v>3.976E-8</v>
      </c>
    </row>
    <row r="289" spans="2:11" x14ac:dyDescent="0.15">
      <c r="B289" t="s">
        <v>114</v>
      </c>
      <c r="C289" s="169">
        <v>2.5440000000000001E-8</v>
      </c>
      <c r="D289" s="169">
        <v>1.445E-8</v>
      </c>
      <c r="E289">
        <v>-7.5940000000000003</v>
      </c>
      <c r="F289">
        <v>-7.84</v>
      </c>
      <c r="G289">
        <v>-0.246</v>
      </c>
      <c r="H289">
        <v>0</v>
      </c>
      <c r="I289" t="s">
        <v>114</v>
      </c>
      <c r="J289" s="169">
        <v>2.5440000000000001E-8</v>
      </c>
      <c r="K289" s="17">
        <f>J289/J$288*100</f>
        <v>63.983903420523148</v>
      </c>
    </row>
    <row r="290" spans="2:11" x14ac:dyDescent="0.15">
      <c r="B290" t="s">
        <v>111</v>
      </c>
      <c r="C290" s="169">
        <v>6.0749999999999998E-9</v>
      </c>
      <c r="D290" s="169">
        <v>6.0749999999999998E-9</v>
      </c>
      <c r="E290">
        <v>-8.2159999999999993</v>
      </c>
      <c r="F290">
        <v>-8.2159999999999993</v>
      </c>
      <c r="G290">
        <v>0</v>
      </c>
      <c r="H290">
        <v>0</v>
      </c>
      <c r="I290" t="s">
        <v>111</v>
      </c>
      <c r="J290" s="169">
        <v>6.0749999999999998E-9</v>
      </c>
      <c r="K290" s="17">
        <f>J290/J$288*100</f>
        <v>15.279175050301811</v>
      </c>
    </row>
    <row r="291" spans="2:11" x14ac:dyDescent="0.15">
      <c r="B291" t="s">
        <v>257</v>
      </c>
      <c r="C291" s="169">
        <v>5.8720000000000004E-9</v>
      </c>
      <c r="D291" s="169">
        <v>5.8720000000000004E-9</v>
      </c>
      <c r="E291">
        <v>-8.2309999999999999</v>
      </c>
      <c r="F291">
        <v>-8.2309999999999999</v>
      </c>
      <c r="G291">
        <v>0</v>
      </c>
      <c r="H291">
        <v>0</v>
      </c>
      <c r="I291" t="s">
        <v>257</v>
      </c>
      <c r="J291" s="169">
        <v>5.8720000000000004E-9</v>
      </c>
      <c r="K291" s="17">
        <f>J291/J$288*100</f>
        <v>14.768611670020121</v>
      </c>
    </row>
    <row r="292" spans="2:11" x14ac:dyDescent="0.15">
      <c r="B292" t="s">
        <v>115</v>
      </c>
      <c r="C292" s="169">
        <v>6.5950000000000005E-10</v>
      </c>
      <c r="D292" s="169">
        <v>5.5560000000000003E-10</v>
      </c>
      <c r="E292">
        <v>-9.1809999999999992</v>
      </c>
      <c r="F292">
        <v>-9.2550000000000008</v>
      </c>
      <c r="G292">
        <v>-7.3999999999999996E-2</v>
      </c>
      <c r="H292">
        <v>0</v>
      </c>
    </row>
    <row r="293" spans="2:11" x14ac:dyDescent="0.15">
      <c r="B293" t="s">
        <v>263</v>
      </c>
      <c r="C293" s="169">
        <v>6.4900000000000003E-10</v>
      </c>
      <c r="D293" s="169">
        <v>5.4680000000000001E-10</v>
      </c>
      <c r="E293">
        <v>-9.1880000000000006</v>
      </c>
      <c r="F293">
        <v>-9.2620000000000005</v>
      </c>
      <c r="G293">
        <v>-7.3999999999999996E-2</v>
      </c>
      <c r="H293">
        <v>0</v>
      </c>
    </row>
    <row r="294" spans="2:11" x14ac:dyDescent="0.15">
      <c r="B294" t="s">
        <v>116</v>
      </c>
      <c r="C294" s="169">
        <v>3.6780000000000001E-10</v>
      </c>
      <c r="D294" s="169">
        <v>3.6780000000000001E-10</v>
      </c>
      <c r="E294">
        <v>-9.4339999999999993</v>
      </c>
      <c r="F294">
        <v>-9.4339999999999993</v>
      </c>
      <c r="G294">
        <v>0</v>
      </c>
      <c r="H294">
        <v>0</v>
      </c>
    </row>
    <row r="295" spans="2:11" x14ac:dyDescent="0.15">
      <c r="B295" t="s">
        <v>113</v>
      </c>
      <c r="C295" s="169">
        <v>2.6300000000000002E-10</v>
      </c>
      <c r="D295" s="169">
        <v>1.3250000000000001E-10</v>
      </c>
      <c r="E295">
        <v>-9.58</v>
      </c>
      <c r="F295">
        <v>-9.8780000000000001</v>
      </c>
      <c r="G295">
        <v>-0.29799999999999999</v>
      </c>
      <c r="H295">
        <v>0</v>
      </c>
    </row>
    <row r="296" spans="2:11" x14ac:dyDescent="0.15">
      <c r="B296" t="s">
        <v>273</v>
      </c>
      <c r="C296" s="169">
        <v>2.5070000000000002E-10</v>
      </c>
      <c r="D296" s="169">
        <v>2.5070000000000002E-10</v>
      </c>
      <c r="E296">
        <v>-9.6010000000000009</v>
      </c>
      <c r="F296">
        <v>-9.6010000000000009</v>
      </c>
      <c r="G296">
        <v>0</v>
      </c>
      <c r="H296">
        <v>0</v>
      </c>
    </row>
    <row r="297" spans="2:11" x14ac:dyDescent="0.15">
      <c r="B297" t="s">
        <v>274</v>
      </c>
      <c r="C297" s="169">
        <v>1.554E-10</v>
      </c>
      <c r="D297" s="169">
        <v>1.3460000000000001E-10</v>
      </c>
      <c r="E297">
        <v>-9.8089999999999993</v>
      </c>
      <c r="F297">
        <v>-9.8710000000000004</v>
      </c>
      <c r="G297">
        <v>-6.2E-2</v>
      </c>
      <c r="H297">
        <v>0</v>
      </c>
    </row>
    <row r="298" spans="2:11" x14ac:dyDescent="0.15">
      <c r="B298" t="s">
        <v>340</v>
      </c>
      <c r="C298" s="169">
        <v>2.1940000000000001E-11</v>
      </c>
      <c r="D298" s="169">
        <v>1.8489999999999999E-11</v>
      </c>
      <c r="E298">
        <v>-10.659000000000001</v>
      </c>
      <c r="F298">
        <v>-10.733000000000001</v>
      </c>
      <c r="G298">
        <v>-7.3999999999999996E-2</v>
      </c>
      <c r="H298">
        <v>0</v>
      </c>
    </row>
    <row r="299" spans="2:11" x14ac:dyDescent="0.15">
      <c r="B299" t="s">
        <v>117</v>
      </c>
      <c r="C299" s="169">
        <v>2.7719999999999999E-12</v>
      </c>
      <c r="D299" s="169">
        <v>2.3360000000000001E-12</v>
      </c>
      <c r="E299">
        <v>-11.557</v>
      </c>
      <c r="F299">
        <v>-11.632</v>
      </c>
      <c r="G299">
        <v>-7.3999999999999996E-2</v>
      </c>
      <c r="H299">
        <v>0</v>
      </c>
    </row>
    <row r="300" spans="2:11" x14ac:dyDescent="0.15">
      <c r="B300" t="s">
        <v>277</v>
      </c>
      <c r="C300" s="169">
        <v>4.5219999999999998E-13</v>
      </c>
      <c r="D300" s="169">
        <v>4.5219999999999998E-13</v>
      </c>
      <c r="E300">
        <v>-12.345000000000001</v>
      </c>
      <c r="F300">
        <v>-12.345000000000001</v>
      </c>
      <c r="G300">
        <v>0</v>
      </c>
      <c r="H300">
        <v>0</v>
      </c>
    </row>
    <row r="301" spans="2:11" x14ac:dyDescent="0.15">
      <c r="B301" t="s">
        <v>280</v>
      </c>
      <c r="C301" s="169">
        <v>1.6190000000000001E-15</v>
      </c>
      <c r="D301" s="169">
        <v>1.4019999999999999E-15</v>
      </c>
      <c r="E301">
        <v>-14.791</v>
      </c>
      <c r="F301">
        <v>-14.853</v>
      </c>
      <c r="G301">
        <v>-6.2E-2</v>
      </c>
      <c r="H301">
        <v>0</v>
      </c>
    </row>
    <row r="302" spans="2:11" x14ac:dyDescent="0.15">
      <c r="B302" t="s">
        <v>342</v>
      </c>
      <c r="C302" s="169">
        <v>1.543E-15</v>
      </c>
      <c r="D302" s="169">
        <v>1.543E-15</v>
      </c>
      <c r="E302">
        <v>-14.811999999999999</v>
      </c>
      <c r="F302">
        <v>-14.811999999999999</v>
      </c>
      <c r="G302">
        <v>0</v>
      </c>
      <c r="H302">
        <v>0</v>
      </c>
    </row>
    <row r="303" spans="2:11" x14ac:dyDescent="0.15">
      <c r="B303" t="s">
        <v>118</v>
      </c>
      <c r="C303" s="169">
        <v>2.3390000000000001E-16</v>
      </c>
      <c r="D303" s="169">
        <v>1.1780000000000001E-16</v>
      </c>
      <c r="E303">
        <v>-15.631</v>
      </c>
      <c r="F303">
        <v>-15.929</v>
      </c>
      <c r="G303">
        <v>-0.29799999999999999</v>
      </c>
      <c r="H303">
        <v>0</v>
      </c>
    </row>
    <row r="304" spans="2:11" x14ac:dyDescent="0.15">
      <c r="B304" t="s">
        <v>281</v>
      </c>
      <c r="C304" s="169">
        <v>4.4689999999999999E-18</v>
      </c>
      <c r="D304" s="169">
        <v>2.5750000000000002E-18</v>
      </c>
      <c r="E304">
        <v>-17.350000000000001</v>
      </c>
      <c r="F304">
        <v>-17.588999999999999</v>
      </c>
      <c r="G304">
        <v>-0.23899999999999999</v>
      </c>
      <c r="H304">
        <v>0</v>
      </c>
    </row>
    <row r="306" spans="1:10" x14ac:dyDescent="0.15">
      <c r="A306" t="e">
        <f>------------------------------Saturation</f>
        <v>#NAME?</v>
      </c>
      <c r="B306" t="s">
        <v>119</v>
      </c>
    </row>
    <row r="308" spans="1:10" x14ac:dyDescent="0.15">
      <c r="B308" t="s">
        <v>120</v>
      </c>
      <c r="C308" t="s">
        <v>121</v>
      </c>
      <c r="D308" t="s">
        <v>122</v>
      </c>
      <c r="E308" t="s">
        <v>123</v>
      </c>
      <c r="F308" t="s">
        <v>122</v>
      </c>
      <c r="G308" t="s">
        <v>124</v>
      </c>
      <c r="H308" t="s">
        <v>125</v>
      </c>
      <c r="I308">
        <v>1</v>
      </c>
      <c r="J308" t="s">
        <v>126</v>
      </c>
    </row>
    <row r="310" spans="1:10" x14ac:dyDescent="0.15">
      <c r="B310" t="s">
        <v>127</v>
      </c>
      <c r="C310">
        <v>-21.69</v>
      </c>
      <c r="D310">
        <v>-15.46</v>
      </c>
      <c r="E310">
        <v>6.23</v>
      </c>
      <c r="F310" t="s">
        <v>127</v>
      </c>
    </row>
    <row r="311" spans="1:10" x14ac:dyDescent="0.15">
      <c r="B311" t="s">
        <v>128</v>
      </c>
      <c r="C311">
        <v>-18.16</v>
      </c>
      <c r="D311">
        <v>-13.55</v>
      </c>
      <c r="E311">
        <v>4.6100000000000003</v>
      </c>
      <c r="F311" t="s">
        <v>128</v>
      </c>
    </row>
    <row r="312" spans="1:10" x14ac:dyDescent="0.15">
      <c r="B312" t="s">
        <v>129</v>
      </c>
      <c r="C312">
        <v>-25.52</v>
      </c>
      <c r="D312">
        <v>-13.55</v>
      </c>
      <c r="E312">
        <v>11.97</v>
      </c>
      <c r="F312" t="s">
        <v>129</v>
      </c>
    </row>
    <row r="313" spans="1:10" x14ac:dyDescent="0.15">
      <c r="B313" t="s">
        <v>130</v>
      </c>
      <c r="C313">
        <v>-30.39</v>
      </c>
      <c r="D313">
        <v>-12.47</v>
      </c>
      <c r="E313">
        <v>17.920000000000002</v>
      </c>
      <c r="F313" t="s">
        <v>130</v>
      </c>
    </row>
    <row r="314" spans="1:10" x14ac:dyDescent="0.15">
      <c r="B314" t="s">
        <v>131</v>
      </c>
      <c r="C314">
        <v>-29.94</v>
      </c>
      <c r="D314">
        <v>-9.6</v>
      </c>
      <c r="E314">
        <v>20.34</v>
      </c>
      <c r="F314" t="s">
        <v>131</v>
      </c>
    </row>
    <row r="315" spans="1:10" x14ac:dyDescent="0.15">
      <c r="B315" t="s">
        <v>376</v>
      </c>
      <c r="C315">
        <v>-1.08</v>
      </c>
      <c r="D315">
        <v>-5.37</v>
      </c>
      <c r="E315">
        <v>-4.29</v>
      </c>
      <c r="F315" t="s">
        <v>266</v>
      </c>
    </row>
    <row r="316" spans="1:10" x14ac:dyDescent="0.15">
      <c r="B316" t="s">
        <v>377</v>
      </c>
      <c r="C316">
        <v>-6.34</v>
      </c>
      <c r="D316">
        <v>2.4500000000000002</v>
      </c>
      <c r="E316">
        <v>8.7899999999999991</v>
      </c>
      <c r="F316" t="s">
        <v>378</v>
      </c>
    </row>
    <row r="317" spans="1:10" x14ac:dyDescent="0.15">
      <c r="B317" t="s">
        <v>379</v>
      </c>
      <c r="C317">
        <v>0.33</v>
      </c>
      <c r="D317">
        <v>-7.86</v>
      </c>
      <c r="E317">
        <v>-8.19</v>
      </c>
      <c r="F317" t="s">
        <v>520</v>
      </c>
    </row>
    <row r="318" spans="1:10" x14ac:dyDescent="0.15">
      <c r="B318" t="s">
        <v>380</v>
      </c>
      <c r="C318">
        <v>-4.53</v>
      </c>
      <c r="D318">
        <v>3.73</v>
      </c>
      <c r="E318">
        <v>8.26</v>
      </c>
      <c r="F318" t="s">
        <v>381</v>
      </c>
    </row>
    <row r="319" spans="1:10" x14ac:dyDescent="0.15">
      <c r="B319" t="s">
        <v>382</v>
      </c>
      <c r="C319">
        <v>-5.37</v>
      </c>
      <c r="D319">
        <v>-21.39</v>
      </c>
      <c r="E319">
        <v>-16.02</v>
      </c>
      <c r="F319" t="s">
        <v>383</v>
      </c>
    </row>
    <row r="320" spans="1:10" x14ac:dyDescent="0.15">
      <c r="B320" t="s">
        <v>384</v>
      </c>
      <c r="C320">
        <v>-8.74</v>
      </c>
      <c r="D320">
        <v>-10.5</v>
      </c>
      <c r="E320">
        <v>-1.76</v>
      </c>
      <c r="F320" t="s">
        <v>385</v>
      </c>
    </row>
    <row r="321" spans="2:6" x14ac:dyDescent="0.15">
      <c r="B321" t="s">
        <v>386</v>
      </c>
      <c r="C321">
        <v>-7.55</v>
      </c>
      <c r="D321">
        <v>9.56</v>
      </c>
      <c r="E321">
        <v>17.100000000000001</v>
      </c>
      <c r="F321" t="s">
        <v>387</v>
      </c>
    </row>
    <row r="322" spans="2:6" x14ac:dyDescent="0.15">
      <c r="B322" t="s">
        <v>388</v>
      </c>
      <c r="C322">
        <v>-5.13</v>
      </c>
      <c r="D322">
        <v>8.24</v>
      </c>
      <c r="E322">
        <v>13.37</v>
      </c>
      <c r="F322" t="s">
        <v>389</v>
      </c>
    </row>
    <row r="323" spans="2:6" x14ac:dyDescent="0.15">
      <c r="B323" t="s">
        <v>477</v>
      </c>
      <c r="C323">
        <v>0.54</v>
      </c>
      <c r="D323">
        <v>-7.86</v>
      </c>
      <c r="E323">
        <v>-8.41</v>
      </c>
      <c r="F323" t="s">
        <v>520</v>
      </c>
    </row>
    <row r="324" spans="2:6" x14ac:dyDescent="0.15">
      <c r="B324" t="s">
        <v>390</v>
      </c>
      <c r="C324">
        <v>-1.73</v>
      </c>
      <c r="D324">
        <v>-9.66</v>
      </c>
      <c r="E324">
        <v>-7.93</v>
      </c>
      <c r="F324" t="s">
        <v>390</v>
      </c>
    </row>
    <row r="325" spans="2:6" x14ac:dyDescent="0.15">
      <c r="B325" t="s">
        <v>391</v>
      </c>
      <c r="C325">
        <v>-154.71</v>
      </c>
      <c r="D325">
        <v>-198.14</v>
      </c>
      <c r="E325">
        <v>-43.43</v>
      </c>
      <c r="F325" t="s">
        <v>392</v>
      </c>
    </row>
    <row r="326" spans="2:6" x14ac:dyDescent="0.15">
      <c r="B326" t="s">
        <v>393</v>
      </c>
      <c r="C326">
        <v>-9.06</v>
      </c>
      <c r="D326">
        <v>-11.76</v>
      </c>
      <c r="E326">
        <v>-2.7</v>
      </c>
      <c r="F326" t="s">
        <v>394</v>
      </c>
    </row>
    <row r="327" spans="2:6" x14ac:dyDescent="0.15">
      <c r="B327" t="s">
        <v>295</v>
      </c>
      <c r="C327">
        <v>-4.66</v>
      </c>
      <c r="D327">
        <v>8.44</v>
      </c>
      <c r="E327">
        <v>13.09</v>
      </c>
      <c r="F327" t="s">
        <v>295</v>
      </c>
    </row>
    <row r="328" spans="2:6" x14ac:dyDescent="0.15">
      <c r="B328" t="s">
        <v>395</v>
      </c>
      <c r="C328">
        <v>-0.41</v>
      </c>
      <c r="D328">
        <v>-1.86</v>
      </c>
      <c r="E328">
        <v>-1.45</v>
      </c>
      <c r="F328" t="s">
        <v>395</v>
      </c>
    </row>
    <row r="329" spans="2:6" x14ac:dyDescent="0.15">
      <c r="B329" t="s">
        <v>396</v>
      </c>
      <c r="C329">
        <v>-3.17</v>
      </c>
      <c r="D329">
        <v>-21.35</v>
      </c>
      <c r="E329">
        <v>-18.18</v>
      </c>
      <c r="F329" t="s">
        <v>221</v>
      </c>
    </row>
    <row r="330" spans="2:6" x14ac:dyDescent="0.15">
      <c r="B330" t="s">
        <v>397</v>
      </c>
      <c r="C330">
        <v>14.21</v>
      </c>
      <c r="D330">
        <v>4.71</v>
      </c>
      <c r="E330">
        <v>-9.5</v>
      </c>
      <c r="F330" t="s">
        <v>397</v>
      </c>
    </row>
    <row r="331" spans="2:6" x14ac:dyDescent="0.15">
      <c r="B331" t="s">
        <v>398</v>
      </c>
      <c r="C331">
        <v>-21.53</v>
      </c>
      <c r="D331">
        <v>-12.52</v>
      </c>
      <c r="E331">
        <v>9.01</v>
      </c>
      <c r="F331" t="s">
        <v>398</v>
      </c>
    </row>
    <row r="332" spans="2:6" x14ac:dyDescent="0.15">
      <c r="B332" t="s">
        <v>399</v>
      </c>
      <c r="C332">
        <v>-14.99</v>
      </c>
      <c r="D332">
        <v>-12.53</v>
      </c>
      <c r="E332">
        <v>2.46</v>
      </c>
      <c r="F332" t="s">
        <v>399</v>
      </c>
    </row>
    <row r="333" spans="2:6" x14ac:dyDescent="0.15">
      <c r="B333" t="s">
        <v>259</v>
      </c>
      <c r="C333">
        <v>-3.05</v>
      </c>
      <c r="D333">
        <v>-12.91</v>
      </c>
      <c r="E333">
        <v>-9.86</v>
      </c>
      <c r="F333" t="s">
        <v>259</v>
      </c>
    </row>
    <row r="334" spans="2:6" x14ac:dyDescent="0.15">
      <c r="B334" t="s">
        <v>400</v>
      </c>
      <c r="C334">
        <v>-7.17</v>
      </c>
      <c r="D334">
        <v>-14.71</v>
      </c>
      <c r="E334">
        <v>-7.54</v>
      </c>
      <c r="F334" t="s">
        <v>400</v>
      </c>
    </row>
    <row r="335" spans="2:6" x14ac:dyDescent="0.15">
      <c r="B335" t="s">
        <v>401</v>
      </c>
      <c r="C335">
        <v>-6.14</v>
      </c>
      <c r="D335">
        <v>8.44</v>
      </c>
      <c r="E335">
        <v>14.57</v>
      </c>
      <c r="F335" t="s">
        <v>401</v>
      </c>
    </row>
    <row r="336" spans="2:6" x14ac:dyDescent="0.15">
      <c r="B336" t="s">
        <v>292</v>
      </c>
      <c r="C336">
        <v>-13.96</v>
      </c>
      <c r="D336">
        <v>-10.42</v>
      </c>
      <c r="E336">
        <v>3.54</v>
      </c>
      <c r="F336" t="s">
        <v>292</v>
      </c>
    </row>
    <row r="337" spans="2:6" x14ac:dyDescent="0.15">
      <c r="B337" t="s">
        <v>402</v>
      </c>
      <c r="C337">
        <v>-7.94</v>
      </c>
      <c r="D337">
        <v>-10.42</v>
      </c>
      <c r="E337">
        <v>-2.48</v>
      </c>
      <c r="F337" t="s">
        <v>402</v>
      </c>
    </row>
    <row r="338" spans="2:6" x14ac:dyDescent="0.15">
      <c r="B338" t="s">
        <v>317</v>
      </c>
      <c r="C338">
        <v>-2.09</v>
      </c>
      <c r="D338">
        <v>7.1</v>
      </c>
      <c r="E338">
        <v>9.1999999999999993</v>
      </c>
      <c r="F338" t="s">
        <v>317</v>
      </c>
    </row>
    <row r="339" spans="2:6" x14ac:dyDescent="0.15">
      <c r="B339" t="s">
        <v>403</v>
      </c>
      <c r="C339">
        <v>-7.15</v>
      </c>
      <c r="D339">
        <v>2.77</v>
      </c>
      <c r="E339">
        <v>9.92</v>
      </c>
      <c r="F339" t="s">
        <v>403</v>
      </c>
    </row>
    <row r="340" spans="2:6" x14ac:dyDescent="0.15">
      <c r="B340" t="s">
        <v>133</v>
      </c>
      <c r="C340">
        <v>-41.82</v>
      </c>
      <c r="D340">
        <v>-43.6</v>
      </c>
      <c r="E340">
        <v>-1.77</v>
      </c>
      <c r="F340" t="s">
        <v>133</v>
      </c>
    </row>
    <row r="341" spans="2:6" x14ac:dyDescent="0.15">
      <c r="B341" t="s">
        <v>256</v>
      </c>
      <c r="C341">
        <v>-2.75</v>
      </c>
      <c r="D341">
        <v>-14.25</v>
      </c>
      <c r="E341">
        <v>-11.5</v>
      </c>
      <c r="F341" t="s">
        <v>256</v>
      </c>
    </row>
    <row r="342" spans="2:6" x14ac:dyDescent="0.15">
      <c r="B342" t="s">
        <v>134</v>
      </c>
      <c r="C342">
        <v>-25.05</v>
      </c>
      <c r="D342">
        <v>-34.47</v>
      </c>
      <c r="E342">
        <v>-9.42</v>
      </c>
      <c r="F342" t="s">
        <v>836</v>
      </c>
    </row>
    <row r="343" spans="2:6" x14ac:dyDescent="0.15">
      <c r="B343" t="s">
        <v>135</v>
      </c>
      <c r="C343">
        <v>-2.86</v>
      </c>
      <c r="D343">
        <v>-16.04</v>
      </c>
      <c r="E343">
        <v>-13.19</v>
      </c>
      <c r="F343" t="s">
        <v>135</v>
      </c>
    </row>
    <row r="344" spans="2:6" x14ac:dyDescent="0.15">
      <c r="B344" t="s">
        <v>136</v>
      </c>
      <c r="C344">
        <v>-16.23</v>
      </c>
      <c r="D344">
        <v>-4.6500000000000004</v>
      </c>
      <c r="E344">
        <v>11.58</v>
      </c>
      <c r="F344" t="s">
        <v>136</v>
      </c>
    </row>
    <row r="345" spans="2:6" x14ac:dyDescent="0.15">
      <c r="B345" t="s">
        <v>137</v>
      </c>
      <c r="C345">
        <v>-24.48</v>
      </c>
      <c r="D345">
        <v>-24.74</v>
      </c>
      <c r="E345">
        <v>-0.26</v>
      </c>
      <c r="F345" t="s">
        <v>138</v>
      </c>
    </row>
    <row r="346" spans="2:6" x14ac:dyDescent="0.15">
      <c r="B346" t="s">
        <v>319</v>
      </c>
      <c r="C346">
        <v>-15.37</v>
      </c>
      <c r="D346">
        <v>-11.75</v>
      </c>
      <c r="E346">
        <v>3.62</v>
      </c>
      <c r="F346" t="s">
        <v>319</v>
      </c>
    </row>
    <row r="347" spans="2:6" x14ac:dyDescent="0.15">
      <c r="B347" t="s">
        <v>139</v>
      </c>
      <c r="C347">
        <v>-8.36</v>
      </c>
      <c r="D347">
        <v>-10.5</v>
      </c>
      <c r="E347">
        <v>-2.14</v>
      </c>
      <c r="F347" t="s">
        <v>140</v>
      </c>
    </row>
    <row r="348" spans="2:6" x14ac:dyDescent="0.15">
      <c r="B348" t="s">
        <v>141</v>
      </c>
      <c r="C348">
        <v>-0.75</v>
      </c>
      <c r="D348">
        <v>-5.37</v>
      </c>
      <c r="E348">
        <v>-4.62</v>
      </c>
      <c r="F348" t="s">
        <v>142</v>
      </c>
    </row>
    <row r="349" spans="2:6" x14ac:dyDescent="0.15">
      <c r="B349" t="s">
        <v>329</v>
      </c>
      <c r="C349">
        <v>-9.82</v>
      </c>
      <c r="D349">
        <v>-23.15</v>
      </c>
      <c r="E349">
        <v>-13.33</v>
      </c>
      <c r="F349" t="s">
        <v>329</v>
      </c>
    </row>
    <row r="350" spans="2:6" x14ac:dyDescent="0.15">
      <c r="B350" t="s">
        <v>143</v>
      </c>
      <c r="C350">
        <v>-6.1</v>
      </c>
      <c r="D350">
        <v>-4.54</v>
      </c>
      <c r="E350">
        <v>1.57</v>
      </c>
      <c r="F350" t="s">
        <v>144</v>
      </c>
    </row>
    <row r="351" spans="2:6" x14ac:dyDescent="0.15">
      <c r="B351" t="s">
        <v>145</v>
      </c>
      <c r="C351">
        <v>-9.4700000000000006</v>
      </c>
      <c r="D351">
        <v>9.56</v>
      </c>
      <c r="E351">
        <v>19.03</v>
      </c>
      <c r="F351" t="s">
        <v>146</v>
      </c>
    </row>
    <row r="352" spans="2:6" x14ac:dyDescent="0.15">
      <c r="B352" t="s">
        <v>147</v>
      </c>
      <c r="C352">
        <v>-21.01</v>
      </c>
      <c r="D352">
        <v>13.49</v>
      </c>
      <c r="E352">
        <v>34.5</v>
      </c>
      <c r="F352" t="s">
        <v>148</v>
      </c>
    </row>
    <row r="353" spans="2:6" x14ac:dyDescent="0.15">
      <c r="B353" t="s">
        <v>149</v>
      </c>
      <c r="C353">
        <v>-1.1299999999999999</v>
      </c>
      <c r="D353">
        <v>-7.14</v>
      </c>
      <c r="E353">
        <v>-6.01</v>
      </c>
      <c r="F353" t="s">
        <v>150</v>
      </c>
    </row>
    <row r="354" spans="2:6" x14ac:dyDescent="0.15">
      <c r="B354" t="s">
        <v>151</v>
      </c>
      <c r="C354">
        <v>-20.7</v>
      </c>
      <c r="D354">
        <v>-13.86</v>
      </c>
      <c r="E354">
        <v>6.85</v>
      </c>
      <c r="F354" t="s">
        <v>278</v>
      </c>
    </row>
    <row r="355" spans="2:6" x14ac:dyDescent="0.15">
      <c r="B355" t="s">
        <v>152</v>
      </c>
      <c r="C355">
        <v>-5.12</v>
      </c>
      <c r="D355">
        <v>-6.97</v>
      </c>
      <c r="E355">
        <v>-1.85</v>
      </c>
      <c r="F355" t="s">
        <v>153</v>
      </c>
    </row>
    <row r="356" spans="2:6" x14ac:dyDescent="0.15">
      <c r="B356" t="s">
        <v>154</v>
      </c>
      <c r="C356">
        <v>-15.15</v>
      </c>
      <c r="D356">
        <v>-23.15</v>
      </c>
      <c r="E356">
        <v>-8</v>
      </c>
      <c r="F356" t="s">
        <v>154</v>
      </c>
    </row>
    <row r="357" spans="2:6" x14ac:dyDescent="0.15">
      <c r="B357" t="s">
        <v>155</v>
      </c>
      <c r="C357">
        <v>-8.36</v>
      </c>
      <c r="D357">
        <v>-10.62</v>
      </c>
      <c r="E357">
        <v>-2.2599999999999998</v>
      </c>
      <c r="F357" t="s">
        <v>156</v>
      </c>
    </row>
    <row r="358" spans="2:6" x14ac:dyDescent="0.15">
      <c r="B358" t="s">
        <v>157</v>
      </c>
      <c r="C358">
        <v>-17.29</v>
      </c>
      <c r="D358">
        <v>-34.409999999999997</v>
      </c>
      <c r="E358">
        <v>-17.12</v>
      </c>
      <c r="F358" t="s">
        <v>157</v>
      </c>
    </row>
    <row r="359" spans="2:6" x14ac:dyDescent="0.15">
      <c r="B359" t="s">
        <v>158</v>
      </c>
      <c r="C359">
        <v>-12.84</v>
      </c>
      <c r="D359">
        <v>-11.26</v>
      </c>
      <c r="E359">
        <v>1.58</v>
      </c>
      <c r="F359" t="s">
        <v>158</v>
      </c>
    </row>
    <row r="360" spans="2:6" x14ac:dyDescent="0.15">
      <c r="B360" t="s">
        <v>159</v>
      </c>
      <c r="C360">
        <v>-12.49</v>
      </c>
      <c r="D360">
        <v>-11.26</v>
      </c>
      <c r="E360">
        <v>1.22</v>
      </c>
      <c r="F360" t="s">
        <v>159</v>
      </c>
    </row>
    <row r="361" spans="2:6" x14ac:dyDescent="0.15">
      <c r="B361" t="s">
        <v>160</v>
      </c>
      <c r="C361">
        <v>-15.72</v>
      </c>
      <c r="D361">
        <v>-22.85</v>
      </c>
      <c r="E361">
        <v>-7.13</v>
      </c>
      <c r="F361" t="s">
        <v>284</v>
      </c>
    </row>
    <row r="362" spans="2:6" x14ac:dyDescent="0.15">
      <c r="B362" t="s">
        <v>161</v>
      </c>
      <c r="C362">
        <v>-7.54</v>
      </c>
      <c r="D362">
        <v>-9.4600000000000009</v>
      </c>
      <c r="E362">
        <v>-1.92</v>
      </c>
      <c r="F362" t="s">
        <v>162</v>
      </c>
    </row>
    <row r="363" spans="2:6" x14ac:dyDescent="0.15">
      <c r="B363" t="s">
        <v>106</v>
      </c>
      <c r="C363">
        <v>-5.44</v>
      </c>
      <c r="D363">
        <v>8.24</v>
      </c>
      <c r="E363">
        <v>13.68</v>
      </c>
      <c r="F363" t="s">
        <v>106</v>
      </c>
    </row>
    <row r="364" spans="2:6" x14ac:dyDescent="0.15">
      <c r="B364" t="s">
        <v>163</v>
      </c>
      <c r="C364">
        <v>-17.89</v>
      </c>
      <c r="D364">
        <v>14.11</v>
      </c>
      <c r="E364">
        <v>32</v>
      </c>
      <c r="F364" t="s">
        <v>163</v>
      </c>
    </row>
    <row r="365" spans="2:6" x14ac:dyDescent="0.15">
      <c r="B365" t="s">
        <v>258</v>
      </c>
      <c r="C365">
        <v>-6.63</v>
      </c>
      <c r="D365">
        <v>-13.11</v>
      </c>
      <c r="E365">
        <v>-6.48</v>
      </c>
      <c r="F365" t="s">
        <v>258</v>
      </c>
    </row>
    <row r="366" spans="2:6" x14ac:dyDescent="0.15">
      <c r="B366" t="s">
        <v>164</v>
      </c>
      <c r="C366">
        <v>-3.75</v>
      </c>
      <c r="D366">
        <v>-14.91</v>
      </c>
      <c r="E366">
        <v>-11.15</v>
      </c>
      <c r="F366" t="s">
        <v>164</v>
      </c>
    </row>
    <row r="367" spans="2:6" x14ac:dyDescent="0.15">
      <c r="B367" t="s">
        <v>461</v>
      </c>
      <c r="C367">
        <v>0</v>
      </c>
      <c r="D367">
        <v>88.39</v>
      </c>
      <c r="E367">
        <v>88.39</v>
      </c>
      <c r="F367" t="s">
        <v>109</v>
      </c>
    </row>
    <row r="368" spans="2:6" x14ac:dyDescent="0.15">
      <c r="B368" t="s">
        <v>165</v>
      </c>
      <c r="C368">
        <v>-10.51</v>
      </c>
      <c r="D368">
        <v>13.49</v>
      </c>
      <c r="E368">
        <v>24</v>
      </c>
      <c r="F368" t="s">
        <v>166</v>
      </c>
    </row>
    <row r="369" spans="2:6" x14ac:dyDescent="0.15">
      <c r="B369" t="s">
        <v>167</v>
      </c>
      <c r="C369">
        <v>-8.5399999999999991</v>
      </c>
      <c r="D369">
        <v>-10.62</v>
      </c>
      <c r="E369">
        <v>-2.08</v>
      </c>
      <c r="F369" t="s">
        <v>168</v>
      </c>
    </row>
    <row r="370" spans="2:6" x14ac:dyDescent="0.15">
      <c r="B370" t="s">
        <v>169</v>
      </c>
      <c r="C370">
        <v>-3.14</v>
      </c>
      <c r="D370">
        <v>-12.99</v>
      </c>
      <c r="E370">
        <v>-9.85</v>
      </c>
      <c r="F370" t="s">
        <v>257</v>
      </c>
    </row>
    <row r="371" spans="2:6" x14ac:dyDescent="0.15">
      <c r="B371" t="s">
        <v>170</v>
      </c>
      <c r="C371">
        <v>-1.1399999999999999</v>
      </c>
      <c r="D371">
        <v>7.1</v>
      </c>
      <c r="E371">
        <v>8.25</v>
      </c>
      <c r="F371" t="s">
        <v>171</v>
      </c>
    </row>
    <row r="372" spans="2:6" x14ac:dyDescent="0.15">
      <c r="B372" t="s">
        <v>172</v>
      </c>
      <c r="C372">
        <v>-7.38</v>
      </c>
      <c r="D372">
        <v>-6.97</v>
      </c>
      <c r="E372">
        <v>0.41</v>
      </c>
      <c r="F372" t="s">
        <v>173</v>
      </c>
    </row>
    <row r="373" spans="2:6" x14ac:dyDescent="0.15">
      <c r="B373" t="s">
        <v>174</v>
      </c>
      <c r="C373">
        <v>-10.199999999999999</v>
      </c>
      <c r="D373">
        <v>-9.4600000000000009</v>
      </c>
      <c r="E373">
        <v>0.73</v>
      </c>
      <c r="F373" t="s">
        <v>175</v>
      </c>
    </row>
    <row r="374" spans="2:6" x14ac:dyDescent="0.15">
      <c r="B374" t="s">
        <v>176</v>
      </c>
      <c r="C374">
        <v>-3.81</v>
      </c>
      <c r="D374">
        <v>8.36</v>
      </c>
      <c r="E374">
        <v>12.17</v>
      </c>
      <c r="F374" t="s">
        <v>177</v>
      </c>
    </row>
    <row r="375" spans="2:6" x14ac:dyDescent="0.15">
      <c r="B375" t="s">
        <v>178</v>
      </c>
      <c r="C375">
        <v>-15.2</v>
      </c>
      <c r="D375">
        <v>-10.5</v>
      </c>
      <c r="E375">
        <v>4.7</v>
      </c>
      <c r="F375" t="s">
        <v>111</v>
      </c>
    </row>
    <row r="376" spans="2:6" x14ac:dyDescent="0.15">
      <c r="B376" t="s">
        <v>179</v>
      </c>
      <c r="C376">
        <v>-17.600000000000001</v>
      </c>
      <c r="D376">
        <v>-14.51</v>
      </c>
      <c r="E376">
        <v>3.09</v>
      </c>
      <c r="F376" t="s">
        <v>179</v>
      </c>
    </row>
    <row r="377" spans="2:6" x14ac:dyDescent="0.15">
      <c r="B377" t="s">
        <v>116</v>
      </c>
      <c r="C377">
        <v>-3.84</v>
      </c>
      <c r="D377">
        <v>8.36</v>
      </c>
      <c r="E377">
        <v>12.2</v>
      </c>
      <c r="F377" t="s">
        <v>116</v>
      </c>
    </row>
    <row r="378" spans="2:6" x14ac:dyDescent="0.15">
      <c r="B378" t="s">
        <v>180</v>
      </c>
      <c r="C378">
        <v>-4.8600000000000003</v>
      </c>
      <c r="D378">
        <v>8.36</v>
      </c>
      <c r="E378">
        <v>13.22</v>
      </c>
      <c r="F378" t="s">
        <v>116</v>
      </c>
    </row>
    <row r="379" spans="2:6" x14ac:dyDescent="0.15">
      <c r="B379" t="s">
        <v>181</v>
      </c>
      <c r="C379">
        <v>-4.17</v>
      </c>
      <c r="D379">
        <v>8.36</v>
      </c>
      <c r="E379">
        <v>12.53</v>
      </c>
      <c r="F379" t="s">
        <v>116</v>
      </c>
    </row>
    <row r="380" spans="2:6" x14ac:dyDescent="0.15">
      <c r="B380" t="s">
        <v>182</v>
      </c>
      <c r="C380">
        <v>-3.93</v>
      </c>
      <c r="D380">
        <v>8.36</v>
      </c>
      <c r="E380">
        <v>12.29</v>
      </c>
      <c r="F380" t="s">
        <v>116</v>
      </c>
    </row>
    <row r="381" spans="2:6" x14ac:dyDescent="0.15">
      <c r="B381" t="s">
        <v>183</v>
      </c>
      <c r="C381">
        <v>-3.37</v>
      </c>
      <c r="D381">
        <v>8.36</v>
      </c>
      <c r="E381">
        <v>11.73</v>
      </c>
      <c r="F381" t="s">
        <v>116</v>
      </c>
    </row>
    <row r="382" spans="2:6" x14ac:dyDescent="0.15">
      <c r="B382" t="s">
        <v>184</v>
      </c>
      <c r="C382">
        <v>-9.64</v>
      </c>
      <c r="D382">
        <v>-2.14</v>
      </c>
      <c r="E382">
        <v>7.5</v>
      </c>
      <c r="F382" t="s">
        <v>184</v>
      </c>
    </row>
    <row r="383" spans="2:6" x14ac:dyDescent="0.15">
      <c r="B383" t="s">
        <v>185</v>
      </c>
      <c r="C383">
        <v>-8.9499999999999993</v>
      </c>
      <c r="D383">
        <v>6.24</v>
      </c>
      <c r="E383">
        <v>15.19</v>
      </c>
      <c r="F383" t="s">
        <v>185</v>
      </c>
    </row>
    <row r="384" spans="2:6" x14ac:dyDescent="0.15">
      <c r="B384" t="s">
        <v>186</v>
      </c>
      <c r="C384">
        <v>-33.950000000000003</v>
      </c>
      <c r="D384">
        <v>-12.64</v>
      </c>
      <c r="E384">
        <v>21.31</v>
      </c>
      <c r="F384" t="s">
        <v>186</v>
      </c>
    </row>
    <row r="385" spans="1:6" x14ac:dyDescent="0.15">
      <c r="B385" t="s">
        <v>187</v>
      </c>
      <c r="C385">
        <v>-13.82</v>
      </c>
      <c r="D385">
        <v>14.58</v>
      </c>
      <c r="E385">
        <v>28.4</v>
      </c>
      <c r="F385" t="s">
        <v>187</v>
      </c>
    </row>
    <row r="386" spans="1:6" x14ac:dyDescent="0.15">
      <c r="B386" t="s">
        <v>188</v>
      </c>
      <c r="C386">
        <v>-17.66</v>
      </c>
      <c r="D386">
        <v>20.84</v>
      </c>
      <c r="E386">
        <v>38.5</v>
      </c>
      <c r="F386" t="s">
        <v>188</v>
      </c>
    </row>
    <row r="387" spans="1:6" x14ac:dyDescent="0.15">
      <c r="B387" t="s">
        <v>277</v>
      </c>
      <c r="C387">
        <v>-20.32</v>
      </c>
      <c r="D387">
        <v>-12.6</v>
      </c>
      <c r="E387">
        <v>7.72</v>
      </c>
      <c r="F387" t="s">
        <v>277</v>
      </c>
    </row>
    <row r="388" spans="1:6" x14ac:dyDescent="0.15">
      <c r="B388" t="s">
        <v>189</v>
      </c>
      <c r="C388">
        <v>-2.73</v>
      </c>
      <c r="D388">
        <v>-12.99</v>
      </c>
      <c r="E388">
        <v>-10.26</v>
      </c>
      <c r="F388" t="s">
        <v>189</v>
      </c>
    </row>
    <row r="389" spans="1:6" x14ac:dyDescent="0.15">
      <c r="B389" t="s">
        <v>190</v>
      </c>
      <c r="C389">
        <v>-63.05</v>
      </c>
      <c r="D389">
        <v>-35.840000000000003</v>
      </c>
      <c r="E389">
        <v>27.21</v>
      </c>
      <c r="F389" t="s">
        <v>847</v>
      </c>
    </row>
    <row r="390" spans="1:6" x14ac:dyDescent="0.15">
      <c r="B390" t="s">
        <v>191</v>
      </c>
      <c r="C390">
        <v>-4.76</v>
      </c>
      <c r="D390">
        <v>-14.79</v>
      </c>
      <c r="E390">
        <v>-10.029999999999999</v>
      </c>
      <c r="F390" t="s">
        <v>191</v>
      </c>
    </row>
    <row r="391" spans="1:6" x14ac:dyDescent="0.15">
      <c r="B391" t="s">
        <v>192</v>
      </c>
      <c r="C391">
        <v>-3.65</v>
      </c>
      <c r="D391">
        <v>8.36</v>
      </c>
      <c r="E391">
        <v>12.01</v>
      </c>
      <c r="F391" t="s">
        <v>177</v>
      </c>
    </row>
    <row r="392" spans="1:6" x14ac:dyDescent="0.15">
      <c r="B392" t="s">
        <v>193</v>
      </c>
      <c r="C392">
        <v>-10.27</v>
      </c>
      <c r="D392">
        <v>-10.5</v>
      </c>
      <c r="E392">
        <v>-0.23</v>
      </c>
      <c r="F392" t="s">
        <v>193</v>
      </c>
    </row>
    <row r="395" spans="1:6" x14ac:dyDescent="0.15">
      <c r="A395" t="s">
        <v>484</v>
      </c>
      <c r="B395" t="s">
        <v>482</v>
      </c>
      <c r="C395">
        <v>2</v>
      </c>
      <c r="D395" t="s">
        <v>457</v>
      </c>
      <c r="E395" t="s">
        <v>458</v>
      </c>
      <c r="F395" t="s">
        <v>476</v>
      </c>
    </row>
    <row r="397" spans="1:6" x14ac:dyDescent="0.15">
      <c r="A397" t="e">
        <f>-----------------------------Solution</f>
        <v>#NAME?</v>
      </c>
      <c r="B397" t="s">
        <v>204</v>
      </c>
    </row>
    <row r="399" spans="1:6" x14ac:dyDescent="0.15">
      <c r="B399" t="s">
        <v>205</v>
      </c>
      <c r="C399" t="s">
        <v>206</v>
      </c>
      <c r="D399" t="s">
        <v>207</v>
      </c>
    </row>
    <row r="401" spans="1:7" x14ac:dyDescent="0.15">
      <c r="B401" t="s">
        <v>466</v>
      </c>
      <c r="C401" s="169">
        <v>2E-3</v>
      </c>
      <c r="D401" s="169">
        <v>2E-3</v>
      </c>
    </row>
    <row r="402" spans="1:7" x14ac:dyDescent="0.15">
      <c r="B402" t="s">
        <v>664</v>
      </c>
      <c r="C402" s="169">
        <v>1.951E-3</v>
      </c>
      <c r="D402" s="169">
        <v>1.951E-3</v>
      </c>
      <c r="E402" t="s">
        <v>212</v>
      </c>
      <c r="F402" t="s">
        <v>213</v>
      </c>
      <c r="G402" t="s">
        <v>477</v>
      </c>
    </row>
    <row r="403" spans="1:7" x14ac:dyDescent="0.15">
      <c r="B403" t="s">
        <v>658</v>
      </c>
      <c r="C403" s="169">
        <v>4.7949999999999998E-3</v>
      </c>
      <c r="D403" s="169">
        <v>4.7949999999999998E-3</v>
      </c>
    </row>
    <row r="404" spans="1:7" x14ac:dyDescent="0.15">
      <c r="B404" t="s">
        <v>671</v>
      </c>
      <c r="C404" s="169">
        <v>4.5809999999999998E-8</v>
      </c>
      <c r="D404" s="169">
        <v>4.5809999999999998E-8</v>
      </c>
    </row>
    <row r="405" spans="1:7" x14ac:dyDescent="0.15">
      <c r="B405" t="s">
        <v>836</v>
      </c>
      <c r="C405" s="169">
        <v>3.934E-8</v>
      </c>
      <c r="D405" s="169">
        <v>3.934E-8</v>
      </c>
    </row>
    <row r="406" spans="1:7" x14ac:dyDescent="0.15">
      <c r="B406" t="s">
        <v>837</v>
      </c>
      <c r="C406" s="169">
        <v>1.98E-7</v>
      </c>
      <c r="D406" s="169">
        <v>1.98E-7</v>
      </c>
    </row>
    <row r="407" spans="1:7" x14ac:dyDescent="0.15">
      <c r="B407" t="s">
        <v>468</v>
      </c>
      <c r="C407" s="169">
        <v>9.9950000000000004E-5</v>
      </c>
      <c r="D407" s="169">
        <v>9.9950000000000004E-5</v>
      </c>
    </row>
    <row r="408" spans="1:7" x14ac:dyDescent="0.15">
      <c r="B408" t="s">
        <v>469</v>
      </c>
      <c r="C408" s="169">
        <v>5.3549999999999995E-4</v>
      </c>
      <c r="D408" s="169">
        <v>5.3549999999999995E-4</v>
      </c>
    </row>
    <row r="409" spans="1:7" x14ac:dyDescent="0.15">
      <c r="B409" t="s">
        <v>667</v>
      </c>
      <c r="C409" s="169">
        <v>1.2930000000000001E-2</v>
      </c>
      <c r="D409" s="169">
        <v>1.2930000000000001E-2</v>
      </c>
      <c r="E409" t="s">
        <v>208</v>
      </c>
      <c r="F409" t="s">
        <v>209</v>
      </c>
    </row>
    <row r="410" spans="1:7" x14ac:dyDescent="0.15">
      <c r="B410" t="s">
        <v>838</v>
      </c>
      <c r="C410" s="169">
        <v>2.8970000000000001E-8</v>
      </c>
      <c r="D410" s="169">
        <v>2.8970000000000001E-8</v>
      </c>
    </row>
    <row r="411" spans="1:7" x14ac:dyDescent="0.15">
      <c r="B411" t="s">
        <v>471</v>
      </c>
      <c r="C411" s="169">
        <v>6.2500000000000001E-4</v>
      </c>
      <c r="D411" s="169">
        <v>6.2500000000000001E-4</v>
      </c>
    </row>
    <row r="412" spans="1:7" x14ac:dyDescent="0.15">
      <c r="B412" t="s">
        <v>472</v>
      </c>
      <c r="C412" s="169">
        <v>4.7990000000000003E-3</v>
      </c>
      <c r="D412" s="169">
        <v>4.7990000000000003E-3</v>
      </c>
    </row>
    <row r="413" spans="1:7" x14ac:dyDescent="0.15">
      <c r="B413" t="s">
        <v>847</v>
      </c>
      <c r="C413" s="169">
        <v>3.976E-8</v>
      </c>
      <c r="D413" s="169">
        <v>3.976E-8</v>
      </c>
    </row>
    <row r="415" spans="1:7" x14ac:dyDescent="0.15">
      <c r="A415" t="e">
        <f>----------------------------Description</f>
        <v>#NAME?</v>
      </c>
      <c r="B415" t="s">
        <v>480</v>
      </c>
      <c r="C415" t="s">
        <v>210</v>
      </c>
    </row>
    <row r="417" spans="1:7" x14ac:dyDescent="0.15">
      <c r="B417" t="s">
        <v>698</v>
      </c>
      <c r="C417" t="s">
        <v>211</v>
      </c>
      <c r="D417">
        <v>8.1</v>
      </c>
    </row>
    <row r="418" spans="1:7" x14ac:dyDescent="0.15">
      <c r="B418" t="s">
        <v>460</v>
      </c>
      <c r="C418" t="s">
        <v>211</v>
      </c>
      <c r="D418">
        <v>13.999000000000001</v>
      </c>
      <c r="E418" t="s">
        <v>212</v>
      </c>
      <c r="F418" t="s">
        <v>213</v>
      </c>
      <c r="G418" t="s">
        <v>461</v>
      </c>
    </row>
    <row r="419" spans="1:7" x14ac:dyDescent="0.15">
      <c r="B419" t="s">
        <v>214</v>
      </c>
      <c r="C419" t="s">
        <v>480</v>
      </c>
      <c r="D419" t="s">
        <v>473</v>
      </c>
      <c r="E419" t="s">
        <v>211</v>
      </c>
      <c r="F419">
        <v>1</v>
      </c>
    </row>
    <row r="420" spans="1:7" x14ac:dyDescent="0.15">
      <c r="B420" t="s">
        <v>215</v>
      </c>
      <c r="C420" t="s">
        <v>216</v>
      </c>
      <c r="D420" t="s">
        <v>211</v>
      </c>
      <c r="E420" s="169">
        <v>2.162E-2</v>
      </c>
    </row>
    <row r="421" spans="1:7" x14ac:dyDescent="0.15">
      <c r="B421" t="s">
        <v>217</v>
      </c>
      <c r="C421" t="s">
        <v>480</v>
      </c>
      <c r="D421" t="s">
        <v>473</v>
      </c>
      <c r="E421" t="s">
        <v>218</v>
      </c>
      <c r="F421" t="s">
        <v>211</v>
      </c>
      <c r="G421" s="169">
        <v>1</v>
      </c>
    </row>
    <row r="422" spans="1:7" x14ac:dyDescent="0.15">
      <c r="B422" t="s">
        <v>1228</v>
      </c>
      <c r="C422" t="s">
        <v>219</v>
      </c>
      <c r="D422" t="s">
        <v>220</v>
      </c>
      <c r="E422" t="s">
        <v>211</v>
      </c>
      <c r="F422" s="169">
        <v>1.9980000000000002E-3</v>
      </c>
    </row>
    <row r="423" spans="1:7" x14ac:dyDescent="0.15">
      <c r="B423" t="s">
        <v>1228</v>
      </c>
      <c r="C423" t="s">
        <v>221</v>
      </c>
      <c r="D423" t="s">
        <v>220</v>
      </c>
      <c r="E423" t="s">
        <v>211</v>
      </c>
      <c r="F423" s="169">
        <v>1.9980000000000002E-3</v>
      </c>
    </row>
    <row r="424" spans="1:7" x14ac:dyDescent="0.15">
      <c r="B424" t="s">
        <v>222</v>
      </c>
      <c r="C424" t="s">
        <v>223</v>
      </c>
      <c r="D424" t="s">
        <v>224</v>
      </c>
      <c r="E424" t="s">
        <v>211</v>
      </c>
      <c r="F424">
        <v>10</v>
      </c>
    </row>
    <row r="425" spans="1:7" x14ac:dyDescent="0.15">
      <c r="B425" t="s">
        <v>225</v>
      </c>
      <c r="C425" t="s">
        <v>209</v>
      </c>
      <c r="D425" t="s">
        <v>226</v>
      </c>
      <c r="E425" t="s">
        <v>211</v>
      </c>
      <c r="F425" s="169">
        <v>2.1350000000000001E-17</v>
      </c>
    </row>
    <row r="426" spans="1:7" x14ac:dyDescent="0.15">
      <c r="B426" t="s">
        <v>227</v>
      </c>
      <c r="C426" t="s">
        <v>228</v>
      </c>
      <c r="D426" t="s">
        <v>229</v>
      </c>
      <c r="E426" t="s">
        <v>211</v>
      </c>
      <c r="F426">
        <v>0</v>
      </c>
    </row>
    <row r="427" spans="1:7" x14ac:dyDescent="0.15">
      <c r="B427" t="s">
        <v>497</v>
      </c>
      <c r="C427" t="s">
        <v>211</v>
      </c>
      <c r="D427">
        <v>13</v>
      </c>
    </row>
    <row r="428" spans="1:7" x14ac:dyDescent="0.15">
      <c r="B428" t="s">
        <v>1228</v>
      </c>
      <c r="C428" t="s">
        <v>498</v>
      </c>
      <c r="D428" t="s">
        <v>211</v>
      </c>
      <c r="E428" s="169">
        <v>111.01609999999999</v>
      </c>
    </row>
    <row r="429" spans="1:7" x14ac:dyDescent="0.15">
      <c r="B429" t="s">
        <v>1228</v>
      </c>
      <c r="C429" t="s">
        <v>499</v>
      </c>
      <c r="D429" t="s">
        <v>211</v>
      </c>
      <c r="E429" s="169">
        <v>55.53425</v>
      </c>
    </row>
    <row r="431" spans="1:7" x14ac:dyDescent="0.15">
      <c r="A431" t="e">
        <f>---------------------------------Redox</f>
        <v>#NAME?</v>
      </c>
      <c r="B431" t="s">
        <v>500</v>
      </c>
    </row>
    <row r="433" spans="1:8" x14ac:dyDescent="0.15">
      <c r="B433" t="s">
        <v>501</v>
      </c>
      <c r="C433" t="s">
        <v>502</v>
      </c>
      <c r="D433" t="s">
        <v>460</v>
      </c>
      <c r="E433" t="s">
        <v>503</v>
      </c>
      <c r="F433" t="s">
        <v>504</v>
      </c>
    </row>
    <row r="435" spans="1:8" x14ac:dyDescent="0.15">
      <c r="B435" t="s">
        <v>505</v>
      </c>
      <c r="C435">
        <v>5.7697000000000003</v>
      </c>
      <c r="D435">
        <v>0.3241</v>
      </c>
    </row>
    <row r="436" spans="1:8" x14ac:dyDescent="0.15">
      <c r="B436" t="s">
        <v>506</v>
      </c>
      <c r="C436">
        <v>13.639099999999999</v>
      </c>
      <c r="D436">
        <v>0.76619999999999999</v>
      </c>
    </row>
    <row r="438" spans="1:8" x14ac:dyDescent="0.15">
      <c r="A438" t="e">
        <f>----------------------------Distribution</f>
        <v>#NAME?</v>
      </c>
      <c r="B438" t="s">
        <v>480</v>
      </c>
      <c r="C438" t="s">
        <v>507</v>
      </c>
    </row>
    <row r="440" spans="1:8" x14ac:dyDescent="0.15">
      <c r="B440" t="s">
        <v>508</v>
      </c>
      <c r="C440" t="s">
        <v>508</v>
      </c>
      <c r="D440" t="s">
        <v>508</v>
      </c>
      <c r="E440" t="s">
        <v>509</v>
      </c>
      <c r="F440" t="s">
        <v>548</v>
      </c>
    </row>
    <row r="441" spans="1:8" x14ac:dyDescent="0.15">
      <c r="B441" t="s">
        <v>510</v>
      </c>
      <c r="C441" t="s">
        <v>206</v>
      </c>
      <c r="D441" t="s">
        <v>214</v>
      </c>
      <c r="E441" t="s">
        <v>206</v>
      </c>
      <c r="F441" t="s">
        <v>214</v>
      </c>
      <c r="G441" t="s">
        <v>511</v>
      </c>
      <c r="H441" t="s">
        <v>512</v>
      </c>
    </row>
    <row r="443" spans="1:8" x14ac:dyDescent="0.15">
      <c r="B443" t="s">
        <v>513</v>
      </c>
      <c r="C443" s="169">
        <v>4.4420000000000002E-7</v>
      </c>
      <c r="D443" s="169">
        <v>3.8449999999999998E-7</v>
      </c>
      <c r="E443">
        <v>-6.3520000000000003</v>
      </c>
      <c r="F443">
        <v>-6.415</v>
      </c>
      <c r="G443">
        <v>-6.3E-2</v>
      </c>
      <c r="H443">
        <v>0</v>
      </c>
    </row>
    <row r="444" spans="1:8" x14ac:dyDescent="0.15">
      <c r="B444" t="s">
        <v>514</v>
      </c>
      <c r="C444" s="169">
        <v>9.1329999999999998E-9</v>
      </c>
      <c r="D444" s="169">
        <v>7.9430000000000004E-9</v>
      </c>
      <c r="E444">
        <v>-8.0389999999999997</v>
      </c>
      <c r="F444">
        <v>-8.1</v>
      </c>
      <c r="G444">
        <v>-6.0999999999999999E-2</v>
      </c>
      <c r="H444">
        <v>0</v>
      </c>
    </row>
    <row r="445" spans="1:8" x14ac:dyDescent="0.15">
      <c r="B445" t="s">
        <v>515</v>
      </c>
      <c r="C445" s="169">
        <v>55.51</v>
      </c>
      <c r="D445" s="169">
        <v>0.99950000000000006</v>
      </c>
      <c r="E445">
        <v>1.744</v>
      </c>
      <c r="F445">
        <v>0</v>
      </c>
      <c r="G445">
        <v>0</v>
      </c>
      <c r="H445">
        <v>18.02</v>
      </c>
    </row>
    <row r="446" spans="1:8" x14ac:dyDescent="0.15">
      <c r="A446" t="s">
        <v>516</v>
      </c>
      <c r="B446" s="169">
        <v>1.9980000000000002E-3</v>
      </c>
    </row>
    <row r="447" spans="1:8" x14ac:dyDescent="0.15">
      <c r="B447" t="s">
        <v>517</v>
      </c>
      <c r="C447" s="169">
        <v>1.9059999999999999E-3</v>
      </c>
      <c r="D447" s="169">
        <v>1.6670000000000001E-3</v>
      </c>
      <c r="E447">
        <v>-2.72</v>
      </c>
      <c r="F447">
        <v>-2.778</v>
      </c>
      <c r="G447">
        <v>-5.8000000000000003E-2</v>
      </c>
      <c r="H447">
        <v>0</v>
      </c>
    </row>
    <row r="448" spans="1:8" x14ac:dyDescent="0.15">
      <c r="B448" t="s">
        <v>519</v>
      </c>
      <c r="C448" s="169">
        <v>3.6220000000000002E-5</v>
      </c>
      <c r="D448" s="169">
        <v>3.6220000000000002E-5</v>
      </c>
      <c r="E448">
        <v>-4.4409999999999998</v>
      </c>
      <c r="F448">
        <v>-4.4409999999999998</v>
      </c>
      <c r="G448">
        <v>0</v>
      </c>
      <c r="H448">
        <v>0</v>
      </c>
    </row>
    <row r="449" spans="1:8" x14ac:dyDescent="0.15">
      <c r="B449" t="s">
        <v>518</v>
      </c>
      <c r="C449" s="169">
        <v>1.995E-5</v>
      </c>
      <c r="D449" s="169">
        <v>1.7499999999999998E-5</v>
      </c>
      <c r="E449">
        <v>-4.7</v>
      </c>
      <c r="F449">
        <v>-4.7569999999999997</v>
      </c>
      <c r="G449">
        <v>-5.7000000000000002E-2</v>
      </c>
      <c r="H449">
        <v>0</v>
      </c>
    </row>
    <row r="450" spans="1:8" x14ac:dyDescent="0.15">
      <c r="B450" t="s">
        <v>522</v>
      </c>
      <c r="C450" s="169">
        <v>1.394E-5</v>
      </c>
      <c r="D450" s="169">
        <v>1.394E-5</v>
      </c>
      <c r="E450">
        <v>-4.8559999999999999</v>
      </c>
      <c r="F450">
        <v>-4.8559999999999999</v>
      </c>
      <c r="G450">
        <v>0</v>
      </c>
      <c r="H450">
        <v>0</v>
      </c>
    </row>
    <row r="451" spans="1:8" x14ac:dyDescent="0.15">
      <c r="B451" t="s">
        <v>521</v>
      </c>
      <c r="C451" s="169">
        <v>1.258E-5</v>
      </c>
      <c r="D451" s="169">
        <v>7.2010000000000002E-6</v>
      </c>
      <c r="E451">
        <v>-4.9000000000000004</v>
      </c>
      <c r="F451">
        <v>-5.1429999999999998</v>
      </c>
      <c r="G451">
        <v>-0.24199999999999999</v>
      </c>
      <c r="H451">
        <v>0</v>
      </c>
    </row>
    <row r="452" spans="1:8" x14ac:dyDescent="0.15">
      <c r="B452" t="s">
        <v>520</v>
      </c>
      <c r="C452" s="169">
        <v>7.0110000000000003E-6</v>
      </c>
      <c r="D452" s="169">
        <v>7.0110000000000003E-6</v>
      </c>
      <c r="E452">
        <v>-5.1539999999999999</v>
      </c>
      <c r="F452">
        <v>-5.1539999999999999</v>
      </c>
      <c r="G452">
        <v>0</v>
      </c>
      <c r="H452">
        <v>0</v>
      </c>
    </row>
    <row r="453" spans="1:8" x14ac:dyDescent="0.15">
      <c r="B453" t="s">
        <v>255</v>
      </c>
      <c r="C453" s="169">
        <v>2.6259999999999999E-6</v>
      </c>
      <c r="D453" s="169">
        <v>2.2970000000000002E-6</v>
      </c>
      <c r="E453">
        <v>-5.5810000000000004</v>
      </c>
      <c r="F453">
        <v>-5.6390000000000002</v>
      </c>
      <c r="G453">
        <v>-5.8000000000000003E-2</v>
      </c>
      <c r="H453">
        <v>0</v>
      </c>
    </row>
    <row r="454" spans="1:8" x14ac:dyDescent="0.15">
      <c r="B454" t="s">
        <v>256</v>
      </c>
      <c r="C454" s="169">
        <v>3.3390000000000003E-8</v>
      </c>
      <c r="D454" s="169">
        <v>3.3390000000000003E-8</v>
      </c>
      <c r="E454">
        <v>-7.476</v>
      </c>
      <c r="F454">
        <v>-7.476</v>
      </c>
      <c r="G454">
        <v>0</v>
      </c>
      <c r="H454">
        <v>0</v>
      </c>
    </row>
    <row r="455" spans="1:8" x14ac:dyDescent="0.15">
      <c r="B455" t="s">
        <v>257</v>
      </c>
      <c r="C455" s="169">
        <v>5.8980000000000001E-9</v>
      </c>
      <c r="D455" s="169">
        <v>5.8980000000000001E-9</v>
      </c>
      <c r="E455">
        <v>-8.2289999999999992</v>
      </c>
      <c r="F455">
        <v>-8.2289999999999992</v>
      </c>
      <c r="G455">
        <v>0</v>
      </c>
      <c r="H455">
        <v>0</v>
      </c>
    </row>
    <row r="456" spans="1:8" x14ac:dyDescent="0.15">
      <c r="B456" t="s">
        <v>258</v>
      </c>
      <c r="C456" s="169">
        <v>2.9210000000000001E-9</v>
      </c>
      <c r="D456" s="169">
        <v>2.9210000000000001E-9</v>
      </c>
      <c r="E456">
        <v>-8.5340000000000007</v>
      </c>
      <c r="F456">
        <v>-8.5340000000000007</v>
      </c>
      <c r="G456">
        <v>0</v>
      </c>
      <c r="H456">
        <v>0</v>
      </c>
    </row>
    <row r="457" spans="1:8" x14ac:dyDescent="0.15">
      <c r="B457" t="s">
        <v>259</v>
      </c>
      <c r="C457" s="169">
        <v>2.086E-9</v>
      </c>
      <c r="D457" s="169">
        <v>2.086E-9</v>
      </c>
      <c r="E457">
        <v>-8.6809999999999992</v>
      </c>
      <c r="F457">
        <v>-8.6809999999999992</v>
      </c>
      <c r="G457">
        <v>0</v>
      </c>
      <c r="H457">
        <v>0</v>
      </c>
    </row>
    <row r="458" spans="1:8" x14ac:dyDescent="0.15">
      <c r="B458" t="s">
        <v>260</v>
      </c>
      <c r="C458" s="169">
        <v>1.9359999999999999E-9</v>
      </c>
      <c r="D458" s="169">
        <v>1.635E-9</v>
      </c>
      <c r="E458">
        <v>-8.7129999999999992</v>
      </c>
      <c r="F458">
        <v>-8.7859999999999996</v>
      </c>
      <c r="G458">
        <v>-7.2999999999999995E-2</v>
      </c>
      <c r="H458">
        <v>0</v>
      </c>
    </row>
    <row r="459" spans="1:8" x14ac:dyDescent="0.15">
      <c r="B459" t="s">
        <v>261</v>
      </c>
      <c r="C459" s="169">
        <v>1.9249999999999999E-9</v>
      </c>
      <c r="D459" s="169">
        <v>1.626E-9</v>
      </c>
      <c r="E459">
        <v>-8.7159999999999993</v>
      </c>
      <c r="F459">
        <v>-8.7889999999999997</v>
      </c>
      <c r="G459">
        <v>-7.2999999999999995E-2</v>
      </c>
      <c r="H459">
        <v>0</v>
      </c>
    </row>
    <row r="460" spans="1:8" x14ac:dyDescent="0.15">
      <c r="B460" t="s">
        <v>262</v>
      </c>
      <c r="C460" s="169">
        <v>1.27E-9</v>
      </c>
      <c r="D460" s="169">
        <v>6.472E-10</v>
      </c>
      <c r="E460">
        <v>-8.8960000000000008</v>
      </c>
      <c r="F460">
        <v>-9.1890000000000001</v>
      </c>
      <c r="G460">
        <v>-0.29299999999999998</v>
      </c>
      <c r="H460">
        <v>0</v>
      </c>
    </row>
    <row r="461" spans="1:8" x14ac:dyDescent="0.15">
      <c r="B461" t="s">
        <v>263</v>
      </c>
      <c r="C461" s="169">
        <v>6.5009999999999996E-10</v>
      </c>
      <c r="D461" s="169">
        <v>5.4920000000000003E-10</v>
      </c>
      <c r="E461">
        <v>-9.1869999999999994</v>
      </c>
      <c r="F461">
        <v>-9.26</v>
      </c>
      <c r="G461">
        <v>-7.2999999999999995E-2</v>
      </c>
      <c r="H461">
        <v>0</v>
      </c>
    </row>
    <row r="462" spans="1:8" x14ac:dyDescent="0.15">
      <c r="B462" t="s">
        <v>264</v>
      </c>
      <c r="C462" s="169">
        <v>7.1749999999999998E-11</v>
      </c>
      <c r="D462" s="169">
        <v>6.0620000000000006E-11</v>
      </c>
      <c r="E462">
        <v>-10.144</v>
      </c>
      <c r="F462">
        <v>-10.217000000000001</v>
      </c>
      <c r="G462">
        <v>-7.2999999999999995E-2</v>
      </c>
      <c r="H462">
        <v>0</v>
      </c>
    </row>
    <row r="463" spans="1:8" x14ac:dyDescent="0.15">
      <c r="A463" t="s">
        <v>664</v>
      </c>
      <c r="B463" s="169">
        <v>1.951E-3</v>
      </c>
    </row>
    <row r="464" spans="1:8" x14ac:dyDescent="0.15">
      <c r="B464" t="s">
        <v>265</v>
      </c>
      <c r="C464" s="169">
        <v>1.511E-3</v>
      </c>
      <c r="D464" s="169">
        <v>8.6470000000000004E-4</v>
      </c>
      <c r="E464">
        <v>-2.8210000000000002</v>
      </c>
      <c r="F464">
        <v>-3.0630000000000002</v>
      </c>
      <c r="G464">
        <v>-0.24199999999999999</v>
      </c>
      <c r="H464">
        <v>0</v>
      </c>
    </row>
    <row r="465" spans="1:8" x14ac:dyDescent="0.15">
      <c r="B465" t="s">
        <v>266</v>
      </c>
      <c r="C465" s="169">
        <v>4.1140000000000003E-4</v>
      </c>
      <c r="D465" s="169">
        <v>4.1140000000000003E-4</v>
      </c>
      <c r="E465">
        <v>-3.3860000000000001</v>
      </c>
      <c r="F465">
        <v>-3.3860000000000001</v>
      </c>
      <c r="G465">
        <v>0</v>
      </c>
      <c r="H465">
        <v>0</v>
      </c>
    </row>
    <row r="466" spans="1:8" x14ac:dyDescent="0.15">
      <c r="B466" t="s">
        <v>518</v>
      </c>
      <c r="C466" s="169">
        <v>1.995E-5</v>
      </c>
      <c r="D466" s="169">
        <v>1.7499999999999998E-5</v>
      </c>
      <c r="E466">
        <v>-4.7</v>
      </c>
      <c r="F466">
        <v>-4.7569999999999997</v>
      </c>
      <c r="G466">
        <v>-5.7000000000000002E-2</v>
      </c>
      <c r="H466">
        <v>0</v>
      </c>
    </row>
    <row r="467" spans="1:8" x14ac:dyDescent="0.15">
      <c r="B467" t="s">
        <v>520</v>
      </c>
      <c r="C467" s="169">
        <v>7.0110000000000003E-6</v>
      </c>
      <c r="D467" s="169">
        <v>7.0110000000000003E-6</v>
      </c>
      <c r="E467">
        <v>-5.1539999999999999</v>
      </c>
      <c r="F467">
        <v>-5.1539999999999999</v>
      </c>
      <c r="G467">
        <v>0</v>
      </c>
      <c r="H467">
        <v>0</v>
      </c>
    </row>
    <row r="468" spans="1:8" x14ac:dyDescent="0.15">
      <c r="B468" t="s">
        <v>267</v>
      </c>
      <c r="C468" s="169">
        <v>1.686E-6</v>
      </c>
      <c r="D468" s="169">
        <v>1.4249999999999999E-6</v>
      </c>
      <c r="E468">
        <v>-5.7729999999999997</v>
      </c>
      <c r="F468">
        <v>-5.8460000000000001</v>
      </c>
      <c r="G468">
        <v>-7.2999999999999995E-2</v>
      </c>
      <c r="H468">
        <v>0</v>
      </c>
    </row>
    <row r="469" spans="1:8" x14ac:dyDescent="0.15">
      <c r="B469" t="s">
        <v>268</v>
      </c>
      <c r="C469" s="169">
        <v>1.0870000000000001E-8</v>
      </c>
      <c r="D469" s="169">
        <v>5.5370000000000002E-9</v>
      </c>
      <c r="E469">
        <v>-7.9640000000000004</v>
      </c>
      <c r="F469">
        <v>-8.2569999999999997</v>
      </c>
      <c r="G469">
        <v>-0.29299999999999998</v>
      </c>
      <c r="H469">
        <v>0</v>
      </c>
    </row>
    <row r="470" spans="1:8" x14ac:dyDescent="0.15">
      <c r="B470" t="s">
        <v>269</v>
      </c>
      <c r="C470" s="169">
        <v>6.3320000000000001E-9</v>
      </c>
      <c r="D470" s="169">
        <v>5.5549999999999999E-9</v>
      </c>
      <c r="E470">
        <v>-8.1980000000000004</v>
      </c>
      <c r="F470">
        <v>-8.2550000000000008</v>
      </c>
      <c r="G470">
        <v>-5.7000000000000002E-2</v>
      </c>
      <c r="H470">
        <v>0</v>
      </c>
    </row>
    <row r="471" spans="1:8" x14ac:dyDescent="0.15">
      <c r="B471" t="s">
        <v>270</v>
      </c>
      <c r="C471" s="169">
        <v>2.2009999999999999E-14</v>
      </c>
      <c r="D471" s="169">
        <v>1.121E-14</v>
      </c>
      <c r="E471">
        <v>-13.657</v>
      </c>
      <c r="F471">
        <v>-13.95</v>
      </c>
      <c r="G471">
        <v>-0.29299999999999998</v>
      </c>
      <c r="H471">
        <v>0</v>
      </c>
    </row>
    <row r="472" spans="1:8" x14ac:dyDescent="0.15">
      <c r="A472" t="s">
        <v>658</v>
      </c>
      <c r="B472" s="169">
        <v>4.7949999999999998E-3</v>
      </c>
    </row>
    <row r="473" spans="1:8" x14ac:dyDescent="0.15">
      <c r="B473" t="s">
        <v>271</v>
      </c>
      <c r="C473" s="169">
        <v>4.7949999999999998E-3</v>
      </c>
      <c r="D473" s="169">
        <v>4.1710000000000002E-3</v>
      </c>
      <c r="E473">
        <v>-2.319</v>
      </c>
      <c r="F473">
        <v>-2.38</v>
      </c>
      <c r="G473">
        <v>-6.0999999999999999E-2</v>
      </c>
      <c r="H473">
        <v>0</v>
      </c>
    </row>
    <row r="474" spans="1:8" x14ac:dyDescent="0.15">
      <c r="B474" t="s">
        <v>272</v>
      </c>
      <c r="C474" s="169">
        <v>2.8039999999999998E-10</v>
      </c>
      <c r="D474" s="169">
        <v>2.3689999999999998E-10</v>
      </c>
      <c r="E474">
        <v>-9.5519999999999996</v>
      </c>
      <c r="F474">
        <v>-9.625</v>
      </c>
      <c r="G474">
        <v>-7.2999999999999995E-2</v>
      </c>
      <c r="H474">
        <v>0</v>
      </c>
    </row>
    <row r="475" spans="1:8" x14ac:dyDescent="0.15">
      <c r="B475" t="s">
        <v>273</v>
      </c>
      <c r="C475" s="169">
        <v>2.4739999999999999E-10</v>
      </c>
      <c r="D475" s="169">
        <v>2.4739999999999999E-10</v>
      </c>
      <c r="E475">
        <v>-9.6069999999999993</v>
      </c>
      <c r="F475">
        <v>-9.6069999999999993</v>
      </c>
      <c r="G475">
        <v>0</v>
      </c>
      <c r="H475">
        <v>0</v>
      </c>
    </row>
    <row r="476" spans="1:8" x14ac:dyDescent="0.15">
      <c r="B476" t="s">
        <v>274</v>
      </c>
      <c r="C476" s="169">
        <v>1.5309999999999999E-10</v>
      </c>
      <c r="D476" s="169">
        <v>1.329E-10</v>
      </c>
      <c r="E476">
        <v>-9.8149999999999995</v>
      </c>
      <c r="F476">
        <v>-9.8770000000000007</v>
      </c>
      <c r="G476">
        <v>-6.0999999999999999E-2</v>
      </c>
      <c r="H476">
        <v>0</v>
      </c>
    </row>
    <row r="477" spans="1:8" x14ac:dyDescent="0.15">
      <c r="B477" t="s">
        <v>275</v>
      </c>
      <c r="C477" s="169">
        <v>1.3159999999999999E-10</v>
      </c>
      <c r="D477" s="169">
        <v>1.112E-10</v>
      </c>
      <c r="E477">
        <v>-9.8810000000000002</v>
      </c>
      <c r="F477">
        <v>-9.9540000000000006</v>
      </c>
      <c r="G477">
        <v>-7.2999999999999995E-2</v>
      </c>
      <c r="H477">
        <v>0</v>
      </c>
    </row>
    <row r="478" spans="1:8" x14ac:dyDescent="0.15">
      <c r="B478" t="s">
        <v>276</v>
      </c>
      <c r="C478" s="169">
        <v>5.0209999999999997E-12</v>
      </c>
      <c r="D478" s="169">
        <v>4.3590000000000003E-12</v>
      </c>
      <c r="E478">
        <v>-11.298999999999999</v>
      </c>
      <c r="F478">
        <v>-11.361000000000001</v>
      </c>
      <c r="G478">
        <v>-6.0999999999999999E-2</v>
      </c>
      <c r="H478">
        <v>0</v>
      </c>
    </row>
    <row r="479" spans="1:8" x14ac:dyDescent="0.15">
      <c r="B479" t="s">
        <v>277</v>
      </c>
      <c r="C479" s="169">
        <v>4.4709999999999998E-13</v>
      </c>
      <c r="D479" s="169">
        <v>4.4709999999999998E-13</v>
      </c>
      <c r="E479">
        <v>-12.35</v>
      </c>
      <c r="F479">
        <v>-12.35</v>
      </c>
      <c r="G479">
        <v>0</v>
      </c>
      <c r="H479">
        <v>0</v>
      </c>
    </row>
    <row r="480" spans="1:8" x14ac:dyDescent="0.15">
      <c r="B480" t="s">
        <v>278</v>
      </c>
      <c r="C480" s="169">
        <v>2.9279999999999999E-15</v>
      </c>
      <c r="D480" s="169">
        <v>2.9279999999999999E-15</v>
      </c>
      <c r="E480">
        <v>-14.532999999999999</v>
      </c>
      <c r="F480">
        <v>-14.532999999999999</v>
      </c>
      <c r="G480">
        <v>0</v>
      </c>
      <c r="H480">
        <v>0</v>
      </c>
    </row>
    <row r="481" spans="1:8" x14ac:dyDescent="0.15">
      <c r="B481" t="s">
        <v>279</v>
      </c>
      <c r="C481" s="169">
        <v>2.4360000000000001E-15</v>
      </c>
      <c r="D481" s="169">
        <v>2.4360000000000001E-15</v>
      </c>
      <c r="E481">
        <v>-14.613</v>
      </c>
      <c r="F481">
        <v>-14.613</v>
      </c>
      <c r="G481">
        <v>0</v>
      </c>
      <c r="H481">
        <v>0</v>
      </c>
    </row>
    <row r="482" spans="1:8" x14ac:dyDescent="0.15">
      <c r="B482" t="s">
        <v>280</v>
      </c>
      <c r="C482" s="169">
        <v>1.6E-15</v>
      </c>
      <c r="D482" s="169">
        <v>1.3890000000000001E-15</v>
      </c>
      <c r="E482">
        <v>-14.795999999999999</v>
      </c>
      <c r="F482">
        <v>-14.856999999999999</v>
      </c>
      <c r="G482">
        <v>-6.0999999999999999E-2</v>
      </c>
      <c r="H482">
        <v>0</v>
      </c>
    </row>
    <row r="483" spans="1:8" x14ac:dyDescent="0.15">
      <c r="B483" t="s">
        <v>281</v>
      </c>
      <c r="C483" s="169">
        <v>4.4030000000000004E-18</v>
      </c>
      <c r="D483" s="169">
        <v>2.5560000000000001E-18</v>
      </c>
      <c r="E483">
        <v>-17.356000000000002</v>
      </c>
      <c r="F483">
        <v>-17.591999999999999</v>
      </c>
      <c r="G483">
        <v>-0.23599999999999999</v>
      </c>
      <c r="H483">
        <v>0</v>
      </c>
    </row>
    <row r="484" spans="1:8" x14ac:dyDescent="0.15">
      <c r="B484" t="s">
        <v>282</v>
      </c>
      <c r="C484" s="169">
        <v>9.9229999999999998E-20</v>
      </c>
      <c r="D484" s="169">
        <v>8.6140000000000002E-20</v>
      </c>
      <c r="E484">
        <v>-19.003</v>
      </c>
      <c r="F484">
        <v>-19.065000000000001</v>
      </c>
      <c r="G484">
        <v>-6.0999999999999999E-2</v>
      </c>
      <c r="H484">
        <v>0</v>
      </c>
    </row>
    <row r="485" spans="1:8" x14ac:dyDescent="0.15">
      <c r="B485" t="s">
        <v>283</v>
      </c>
      <c r="C485" s="169">
        <v>1.826E-20</v>
      </c>
      <c r="D485" s="169">
        <v>1.585E-20</v>
      </c>
      <c r="E485">
        <v>-19.738</v>
      </c>
      <c r="F485">
        <v>-19.8</v>
      </c>
      <c r="G485">
        <v>-6.0999999999999999E-2</v>
      </c>
      <c r="H485">
        <v>0</v>
      </c>
    </row>
    <row r="486" spans="1:8" x14ac:dyDescent="0.15">
      <c r="B486" t="s">
        <v>284</v>
      </c>
      <c r="C486" s="169">
        <v>1.7520000000000001E-20</v>
      </c>
      <c r="D486" s="169">
        <v>1.7520000000000001E-20</v>
      </c>
      <c r="E486">
        <v>-19.756</v>
      </c>
      <c r="F486">
        <v>-19.756</v>
      </c>
      <c r="G486">
        <v>0</v>
      </c>
      <c r="H486">
        <v>0</v>
      </c>
    </row>
    <row r="487" spans="1:8" x14ac:dyDescent="0.15">
      <c r="B487" t="s">
        <v>285</v>
      </c>
      <c r="C487" s="169">
        <v>2.2909999999999999E-23</v>
      </c>
      <c r="D487" s="169">
        <v>1.3300000000000001E-23</v>
      </c>
      <c r="E487">
        <v>-22.64</v>
      </c>
      <c r="F487">
        <v>-22.876000000000001</v>
      </c>
      <c r="G487">
        <v>-0.23599999999999999</v>
      </c>
      <c r="H487">
        <v>0</v>
      </c>
    </row>
    <row r="488" spans="1:8" x14ac:dyDescent="0.15">
      <c r="B488" t="s">
        <v>286</v>
      </c>
      <c r="C488" s="169">
        <v>5.2620000000000002E-24</v>
      </c>
      <c r="D488" s="169">
        <v>3.0540000000000002E-24</v>
      </c>
      <c r="E488">
        <v>-23.279</v>
      </c>
      <c r="F488">
        <v>-23.515000000000001</v>
      </c>
      <c r="G488">
        <v>-0.23599999999999999</v>
      </c>
      <c r="H488">
        <v>0</v>
      </c>
    </row>
    <row r="489" spans="1:8" x14ac:dyDescent="0.15">
      <c r="B489" t="s">
        <v>287</v>
      </c>
      <c r="C489" s="169">
        <v>8.0490000000000003E-27</v>
      </c>
      <c r="D489" s="169">
        <v>4.1009999999999998E-27</v>
      </c>
      <c r="E489">
        <v>-26.094000000000001</v>
      </c>
      <c r="F489">
        <v>-26.387</v>
      </c>
      <c r="G489">
        <v>-0.29299999999999998</v>
      </c>
      <c r="H489">
        <v>0</v>
      </c>
    </row>
    <row r="490" spans="1:8" x14ac:dyDescent="0.15">
      <c r="B490" t="s">
        <v>288</v>
      </c>
      <c r="C490" s="169">
        <v>3.0719999999999998E-28</v>
      </c>
      <c r="D490" s="169">
        <v>1.565E-28</v>
      </c>
      <c r="E490">
        <v>-27.513000000000002</v>
      </c>
      <c r="F490">
        <v>-27.805</v>
      </c>
      <c r="G490">
        <v>-0.29299999999999998</v>
      </c>
      <c r="H490">
        <v>0</v>
      </c>
    </row>
    <row r="491" spans="1:8" x14ac:dyDescent="0.15">
      <c r="B491" t="s">
        <v>289</v>
      </c>
      <c r="C491" s="169">
        <v>3.65E-40</v>
      </c>
      <c r="D491" s="169">
        <v>1.8599999999999999E-40</v>
      </c>
      <c r="E491">
        <v>-39.438000000000002</v>
      </c>
      <c r="F491">
        <v>-39.731000000000002</v>
      </c>
      <c r="G491">
        <v>-0.29299999999999998</v>
      </c>
      <c r="H491">
        <v>0</v>
      </c>
    </row>
    <row r="492" spans="1:8" x14ac:dyDescent="0.15">
      <c r="A492" t="s">
        <v>290</v>
      </c>
      <c r="B492" s="169">
        <v>4.5809999999999998E-8</v>
      </c>
    </row>
    <row r="493" spans="1:8" x14ac:dyDescent="0.15">
      <c r="B493" t="s">
        <v>291</v>
      </c>
      <c r="C493" s="169">
        <v>3.3629999999999997E-8</v>
      </c>
      <c r="D493" s="169">
        <v>1.714E-8</v>
      </c>
      <c r="E493">
        <v>-7.4729999999999999</v>
      </c>
      <c r="F493">
        <v>-7.766</v>
      </c>
      <c r="G493">
        <v>-0.29299999999999998</v>
      </c>
      <c r="H493">
        <v>0</v>
      </c>
    </row>
    <row r="494" spans="1:8" x14ac:dyDescent="0.15">
      <c r="B494" t="s">
        <v>292</v>
      </c>
      <c r="C494" s="169">
        <v>7.2399999999999998E-9</v>
      </c>
      <c r="D494" s="169">
        <v>7.2399999999999998E-9</v>
      </c>
      <c r="E494">
        <v>-8.14</v>
      </c>
      <c r="F494">
        <v>-8.14</v>
      </c>
      <c r="G494">
        <v>0</v>
      </c>
      <c r="H494">
        <v>0</v>
      </c>
    </row>
    <row r="495" spans="1:8" x14ac:dyDescent="0.15">
      <c r="B495" t="s">
        <v>259</v>
      </c>
      <c r="C495" s="169">
        <v>2.086E-9</v>
      </c>
      <c r="D495" s="169">
        <v>2.086E-9</v>
      </c>
      <c r="E495">
        <v>-8.6809999999999992</v>
      </c>
      <c r="F495">
        <v>-8.6809999999999992</v>
      </c>
      <c r="G495">
        <v>0</v>
      </c>
      <c r="H495">
        <v>0</v>
      </c>
    </row>
    <row r="496" spans="1:8" x14ac:dyDescent="0.15">
      <c r="B496" t="s">
        <v>261</v>
      </c>
      <c r="C496" s="169">
        <v>1.9249999999999999E-9</v>
      </c>
      <c r="D496" s="169">
        <v>1.626E-9</v>
      </c>
      <c r="E496">
        <v>-8.7159999999999993</v>
      </c>
      <c r="F496">
        <v>-8.7889999999999997</v>
      </c>
      <c r="G496">
        <v>-7.2999999999999995E-2</v>
      </c>
      <c r="H496">
        <v>0</v>
      </c>
    </row>
    <row r="497" spans="1:8" x14ac:dyDescent="0.15">
      <c r="B497" t="s">
        <v>293</v>
      </c>
      <c r="C497" s="169">
        <v>5.127E-10</v>
      </c>
      <c r="D497" s="169">
        <v>4.3320000000000001E-10</v>
      </c>
      <c r="E497">
        <v>-9.2899999999999991</v>
      </c>
      <c r="F497">
        <v>-9.3629999999999995</v>
      </c>
      <c r="G497">
        <v>-7.2999999999999995E-2</v>
      </c>
      <c r="H497">
        <v>0</v>
      </c>
    </row>
    <row r="498" spans="1:8" x14ac:dyDescent="0.15">
      <c r="B498" t="s">
        <v>272</v>
      </c>
      <c r="C498" s="169">
        <v>2.8039999999999998E-10</v>
      </c>
      <c r="D498" s="169">
        <v>2.3689999999999998E-10</v>
      </c>
      <c r="E498">
        <v>-9.5519999999999996</v>
      </c>
      <c r="F498">
        <v>-9.625</v>
      </c>
      <c r="G498">
        <v>-7.2999999999999995E-2</v>
      </c>
      <c r="H498">
        <v>0</v>
      </c>
    </row>
    <row r="499" spans="1:8" x14ac:dyDescent="0.15">
      <c r="B499" t="s">
        <v>294</v>
      </c>
      <c r="C499" s="169">
        <v>8.2499999999999999E-11</v>
      </c>
      <c r="D499" s="169">
        <v>4.2030000000000002E-11</v>
      </c>
      <c r="E499">
        <v>-10.084</v>
      </c>
      <c r="F499">
        <v>-10.375999999999999</v>
      </c>
      <c r="G499">
        <v>-0.29299999999999998</v>
      </c>
      <c r="H499">
        <v>0</v>
      </c>
    </row>
    <row r="500" spans="1:8" x14ac:dyDescent="0.15">
      <c r="B500" t="s">
        <v>295</v>
      </c>
      <c r="C500" s="169">
        <v>4.3599999999999997E-11</v>
      </c>
      <c r="D500" s="169">
        <v>4.3599999999999997E-11</v>
      </c>
      <c r="E500">
        <v>-10.361000000000001</v>
      </c>
      <c r="F500">
        <v>-10.361000000000001</v>
      </c>
      <c r="G500">
        <v>0</v>
      </c>
      <c r="H500">
        <v>0</v>
      </c>
    </row>
    <row r="501" spans="1:8" x14ac:dyDescent="0.15">
      <c r="B501" t="s">
        <v>296</v>
      </c>
      <c r="C501" s="169">
        <v>1.4919999999999999E-11</v>
      </c>
      <c r="D501" s="169">
        <v>1.2610000000000001E-11</v>
      </c>
      <c r="E501">
        <v>-10.826000000000001</v>
      </c>
      <c r="F501">
        <v>-10.898999999999999</v>
      </c>
      <c r="G501">
        <v>-7.2999999999999995E-2</v>
      </c>
      <c r="H501">
        <v>0</v>
      </c>
    </row>
    <row r="502" spans="1:8" x14ac:dyDescent="0.15">
      <c r="B502" t="s">
        <v>297</v>
      </c>
      <c r="C502" s="169">
        <v>1.191E-14</v>
      </c>
      <c r="D502" s="169">
        <v>1.191E-14</v>
      </c>
      <c r="E502">
        <v>-13.923999999999999</v>
      </c>
      <c r="F502">
        <v>-13.923999999999999</v>
      </c>
      <c r="G502">
        <v>0</v>
      </c>
      <c r="H502">
        <v>0</v>
      </c>
    </row>
    <row r="503" spans="1:8" x14ac:dyDescent="0.15">
      <c r="B503" t="s">
        <v>298</v>
      </c>
      <c r="C503" s="169">
        <v>4.4630000000000001E-15</v>
      </c>
      <c r="D503" s="169">
        <v>2.2739999999999999E-15</v>
      </c>
      <c r="E503">
        <v>-14.35</v>
      </c>
      <c r="F503">
        <v>-14.643000000000001</v>
      </c>
      <c r="G503">
        <v>-0.29299999999999998</v>
      </c>
      <c r="H503">
        <v>0</v>
      </c>
    </row>
    <row r="504" spans="1:8" x14ac:dyDescent="0.15">
      <c r="B504" t="s">
        <v>299</v>
      </c>
      <c r="C504" s="169">
        <v>1.3049999999999999E-15</v>
      </c>
      <c r="D504" s="169">
        <v>1.102E-15</v>
      </c>
      <c r="E504">
        <v>-14.884</v>
      </c>
      <c r="F504">
        <v>-14.958</v>
      </c>
      <c r="G504">
        <v>-7.2999999999999995E-2</v>
      </c>
      <c r="H504">
        <v>0</v>
      </c>
    </row>
    <row r="505" spans="1:8" x14ac:dyDescent="0.15">
      <c r="B505" t="s">
        <v>300</v>
      </c>
      <c r="C505" s="169">
        <v>1.6960000000000001E-18</v>
      </c>
      <c r="D505" s="169">
        <v>3.7200000000000002E-19</v>
      </c>
      <c r="E505">
        <v>-17.771000000000001</v>
      </c>
      <c r="F505">
        <v>-18.428999999999998</v>
      </c>
      <c r="G505">
        <v>-0.65900000000000003</v>
      </c>
      <c r="H505">
        <v>0</v>
      </c>
    </row>
    <row r="506" spans="1:8" x14ac:dyDescent="0.15">
      <c r="B506" t="s">
        <v>301</v>
      </c>
      <c r="C506" s="169">
        <v>1.253E-18</v>
      </c>
      <c r="D506" s="169">
        <v>1.0589999999999999E-18</v>
      </c>
      <c r="E506">
        <v>-17.902000000000001</v>
      </c>
      <c r="F506">
        <v>-17.975000000000001</v>
      </c>
      <c r="G506">
        <v>-7.2999999999999995E-2</v>
      </c>
      <c r="H506">
        <v>0</v>
      </c>
    </row>
    <row r="507" spans="1:8" x14ac:dyDescent="0.15">
      <c r="B507" t="s">
        <v>302</v>
      </c>
      <c r="C507" s="169">
        <v>2.858E-19</v>
      </c>
      <c r="D507" s="169">
        <v>1.4559999999999999E-19</v>
      </c>
      <c r="E507">
        <v>-18.544</v>
      </c>
      <c r="F507">
        <v>-18.837</v>
      </c>
      <c r="G507">
        <v>-0.29299999999999998</v>
      </c>
      <c r="H507">
        <v>0</v>
      </c>
    </row>
    <row r="508" spans="1:8" x14ac:dyDescent="0.15">
      <c r="B508" t="s">
        <v>303</v>
      </c>
      <c r="C508" s="169">
        <v>4.3440000000000003E-22</v>
      </c>
      <c r="D508" s="169">
        <v>2.214E-22</v>
      </c>
      <c r="E508">
        <v>-21.361999999999998</v>
      </c>
      <c r="F508">
        <v>-21.655000000000001</v>
      </c>
      <c r="G508">
        <v>-0.29299999999999998</v>
      </c>
      <c r="H508">
        <v>0</v>
      </c>
    </row>
    <row r="509" spans="1:8" x14ac:dyDescent="0.15">
      <c r="B509" t="s">
        <v>304</v>
      </c>
      <c r="C509" s="169">
        <v>7.6310000000000003E-24</v>
      </c>
      <c r="D509" s="169">
        <v>3.888E-24</v>
      </c>
      <c r="E509">
        <v>-23.117000000000001</v>
      </c>
      <c r="F509">
        <v>-23.41</v>
      </c>
      <c r="G509">
        <v>-0.29299999999999998</v>
      </c>
      <c r="H509">
        <v>0</v>
      </c>
    </row>
    <row r="510" spans="1:8" x14ac:dyDescent="0.15">
      <c r="B510" t="s">
        <v>305</v>
      </c>
      <c r="C510" s="169">
        <v>1.043E-28</v>
      </c>
      <c r="D510" s="169">
        <v>7.0269999999999999E-30</v>
      </c>
      <c r="E510">
        <v>-27.981999999999999</v>
      </c>
      <c r="F510">
        <v>-29.152999999999999</v>
      </c>
      <c r="G510">
        <v>-1.171</v>
      </c>
      <c r="H510">
        <v>0</v>
      </c>
    </row>
    <row r="511" spans="1:8" x14ac:dyDescent="0.15">
      <c r="B511" t="s">
        <v>306</v>
      </c>
      <c r="C511" s="169">
        <v>6.4429999999999998E-29</v>
      </c>
      <c r="D511" s="169">
        <v>3.2830000000000001E-29</v>
      </c>
      <c r="E511">
        <v>-28.190999999999999</v>
      </c>
      <c r="F511">
        <v>-28.484000000000002</v>
      </c>
      <c r="G511">
        <v>-0.29299999999999998</v>
      </c>
      <c r="H511">
        <v>0</v>
      </c>
    </row>
    <row r="512" spans="1:8" x14ac:dyDescent="0.15">
      <c r="A512" t="s">
        <v>307</v>
      </c>
      <c r="B512" s="169">
        <v>8.5960000000000006E-20</v>
      </c>
    </row>
    <row r="513" spans="1:8" x14ac:dyDescent="0.15">
      <c r="B513" t="s">
        <v>308</v>
      </c>
      <c r="C513" s="169">
        <v>8.5960000000000006E-20</v>
      </c>
      <c r="D513" s="169">
        <v>4.3799999999999998E-20</v>
      </c>
      <c r="E513">
        <v>-19.065999999999999</v>
      </c>
      <c r="F513">
        <v>-19.359000000000002</v>
      </c>
      <c r="G513">
        <v>-0.29299999999999998</v>
      </c>
      <c r="H513">
        <v>0</v>
      </c>
    </row>
    <row r="514" spans="1:8" x14ac:dyDescent="0.15">
      <c r="B514" t="s">
        <v>309</v>
      </c>
      <c r="C514" s="169">
        <v>2.3880000000000001E-26</v>
      </c>
      <c r="D514" s="169">
        <v>6.8030000000000005E-27</v>
      </c>
      <c r="E514">
        <v>-25.622</v>
      </c>
      <c r="F514">
        <v>-26.167000000000002</v>
      </c>
      <c r="G514">
        <v>-0.54500000000000004</v>
      </c>
      <c r="H514">
        <v>0</v>
      </c>
    </row>
    <row r="515" spans="1:8" x14ac:dyDescent="0.15">
      <c r="B515" t="s">
        <v>287</v>
      </c>
      <c r="C515" s="169">
        <v>8.0490000000000003E-27</v>
      </c>
      <c r="D515" s="169">
        <v>4.1009999999999998E-27</v>
      </c>
      <c r="E515">
        <v>-26.094000000000001</v>
      </c>
      <c r="F515">
        <v>-26.387</v>
      </c>
      <c r="G515">
        <v>-0.29299999999999998</v>
      </c>
      <c r="H515">
        <v>0</v>
      </c>
    </row>
    <row r="516" spans="1:8" x14ac:dyDescent="0.15">
      <c r="B516" t="s">
        <v>288</v>
      </c>
      <c r="C516" s="169">
        <v>3.0719999999999998E-28</v>
      </c>
      <c r="D516" s="169">
        <v>1.565E-28</v>
      </c>
      <c r="E516">
        <v>-27.513000000000002</v>
      </c>
      <c r="F516">
        <v>-27.805</v>
      </c>
      <c r="G516">
        <v>-0.29299999999999998</v>
      </c>
      <c r="H516">
        <v>0</v>
      </c>
    </row>
    <row r="517" spans="1:8" x14ac:dyDescent="0.15">
      <c r="B517" t="s">
        <v>310</v>
      </c>
      <c r="C517" s="169">
        <v>6.9819999999999994E-36</v>
      </c>
      <c r="D517" s="169">
        <v>5.8989999999999998E-36</v>
      </c>
      <c r="E517">
        <v>-35.155999999999999</v>
      </c>
      <c r="F517">
        <v>-35.228999999999999</v>
      </c>
      <c r="G517">
        <v>-7.2999999999999995E-2</v>
      </c>
      <c r="H517">
        <v>0</v>
      </c>
    </row>
    <row r="518" spans="1:8" x14ac:dyDescent="0.15">
      <c r="B518" t="s">
        <v>311</v>
      </c>
      <c r="C518" s="169">
        <v>1.634E-38</v>
      </c>
      <c r="D518" s="169">
        <v>8.3269999999999997E-39</v>
      </c>
      <c r="E518">
        <v>-37.786999999999999</v>
      </c>
      <c r="F518">
        <v>-38.08</v>
      </c>
      <c r="G518">
        <v>-0.29299999999999998</v>
      </c>
      <c r="H518">
        <v>0</v>
      </c>
    </row>
    <row r="519" spans="1:8" x14ac:dyDescent="0.15">
      <c r="B519" t="s">
        <v>289</v>
      </c>
      <c r="C519" s="169">
        <v>3.65E-40</v>
      </c>
      <c r="D519" s="169">
        <v>1.8599999999999999E-40</v>
      </c>
      <c r="E519">
        <v>-39.438000000000002</v>
      </c>
      <c r="F519">
        <v>-39.731000000000002</v>
      </c>
      <c r="G519">
        <v>-0.29299999999999998</v>
      </c>
      <c r="H519">
        <v>0</v>
      </c>
    </row>
    <row r="520" spans="1:8" x14ac:dyDescent="0.15">
      <c r="A520" t="s">
        <v>312</v>
      </c>
      <c r="B520" s="169">
        <v>3.9760000000000001E-20</v>
      </c>
    </row>
    <row r="521" spans="1:8" x14ac:dyDescent="0.15">
      <c r="B521" t="s">
        <v>283</v>
      </c>
      <c r="C521" s="169">
        <v>1.826E-20</v>
      </c>
      <c r="D521" s="169">
        <v>1.585E-20</v>
      </c>
      <c r="E521">
        <v>-19.738</v>
      </c>
      <c r="F521">
        <v>-19.8</v>
      </c>
      <c r="G521">
        <v>-6.0999999999999999E-2</v>
      </c>
      <c r="H521">
        <v>0</v>
      </c>
    </row>
    <row r="522" spans="1:8" x14ac:dyDescent="0.15">
      <c r="B522" t="s">
        <v>284</v>
      </c>
      <c r="C522" s="169">
        <v>1.7520000000000001E-20</v>
      </c>
      <c r="D522" s="169">
        <v>1.7520000000000001E-20</v>
      </c>
      <c r="E522">
        <v>-19.756</v>
      </c>
      <c r="F522">
        <v>-19.756</v>
      </c>
      <c r="G522">
        <v>0</v>
      </c>
      <c r="H522">
        <v>0</v>
      </c>
    </row>
    <row r="523" spans="1:8" x14ac:dyDescent="0.15">
      <c r="B523" t="s">
        <v>313</v>
      </c>
      <c r="C523" s="169">
        <v>3.9500000000000002E-21</v>
      </c>
      <c r="D523" s="169">
        <v>3.3370000000000002E-21</v>
      </c>
      <c r="E523">
        <v>-20.402999999999999</v>
      </c>
      <c r="F523">
        <v>-20.477</v>
      </c>
      <c r="G523">
        <v>-7.2999999999999995E-2</v>
      </c>
      <c r="H523">
        <v>0</v>
      </c>
    </row>
    <row r="524" spans="1:8" x14ac:dyDescent="0.15">
      <c r="B524" t="s">
        <v>285</v>
      </c>
      <c r="C524" s="169">
        <v>2.2909999999999999E-23</v>
      </c>
      <c r="D524" s="169">
        <v>1.3300000000000001E-23</v>
      </c>
      <c r="E524">
        <v>-22.64</v>
      </c>
      <c r="F524">
        <v>-22.876000000000001</v>
      </c>
      <c r="G524">
        <v>-0.23599999999999999</v>
      </c>
      <c r="H524">
        <v>0</v>
      </c>
    </row>
    <row r="525" spans="1:8" x14ac:dyDescent="0.15">
      <c r="A525" t="s">
        <v>314</v>
      </c>
      <c r="B525" s="169">
        <v>3.934E-8</v>
      </c>
    </row>
    <row r="526" spans="1:8" x14ac:dyDescent="0.15">
      <c r="B526" t="s">
        <v>256</v>
      </c>
      <c r="C526" s="169">
        <v>3.3390000000000003E-8</v>
      </c>
      <c r="D526" s="169">
        <v>3.3390000000000003E-8</v>
      </c>
      <c r="E526">
        <v>-7.476</v>
      </c>
      <c r="F526">
        <v>-7.476</v>
      </c>
      <c r="G526">
        <v>0</v>
      </c>
      <c r="H526">
        <v>0</v>
      </c>
    </row>
    <row r="527" spans="1:8" x14ac:dyDescent="0.15">
      <c r="B527" t="s">
        <v>315</v>
      </c>
      <c r="C527" s="169">
        <v>1.6910000000000001E-9</v>
      </c>
      <c r="D527" s="169">
        <v>1.4680000000000001E-9</v>
      </c>
      <c r="E527">
        <v>-8.7720000000000002</v>
      </c>
      <c r="F527">
        <v>-8.8330000000000002</v>
      </c>
      <c r="G527">
        <v>-6.0999999999999999E-2</v>
      </c>
      <c r="H527">
        <v>0</v>
      </c>
    </row>
    <row r="528" spans="1:8" x14ac:dyDescent="0.15">
      <c r="B528" t="s">
        <v>316</v>
      </c>
      <c r="C528" s="169">
        <v>1.376E-9</v>
      </c>
      <c r="D528" s="169">
        <v>7.8739999999999999E-10</v>
      </c>
      <c r="E528">
        <v>-8.8610000000000007</v>
      </c>
      <c r="F528">
        <v>-9.1039999999999992</v>
      </c>
      <c r="G528">
        <v>-0.24199999999999999</v>
      </c>
      <c r="H528">
        <v>0</v>
      </c>
    </row>
    <row r="529" spans="1:8" x14ac:dyDescent="0.15">
      <c r="B529" t="s">
        <v>262</v>
      </c>
      <c r="C529" s="169">
        <v>1.27E-9</v>
      </c>
      <c r="D529" s="169">
        <v>6.472E-10</v>
      </c>
      <c r="E529">
        <v>-8.8960000000000008</v>
      </c>
      <c r="F529">
        <v>-9.1890000000000001</v>
      </c>
      <c r="G529">
        <v>-0.29299999999999998</v>
      </c>
      <c r="H529">
        <v>0</v>
      </c>
    </row>
    <row r="530" spans="1:8" x14ac:dyDescent="0.15">
      <c r="B530" t="s">
        <v>317</v>
      </c>
      <c r="C530" s="169">
        <v>7.9770000000000005E-10</v>
      </c>
      <c r="D530" s="169">
        <v>7.9770000000000005E-10</v>
      </c>
      <c r="E530">
        <v>-9.0980000000000008</v>
      </c>
      <c r="F530">
        <v>-9.0980000000000008</v>
      </c>
      <c r="G530">
        <v>0</v>
      </c>
      <c r="H530">
        <v>0</v>
      </c>
    </row>
    <row r="531" spans="1:8" x14ac:dyDescent="0.15">
      <c r="B531" t="s">
        <v>318</v>
      </c>
      <c r="C531" s="169">
        <v>3.7470000000000001E-10</v>
      </c>
      <c r="D531" s="169">
        <v>1.9090000000000001E-10</v>
      </c>
      <c r="E531">
        <v>-9.4260000000000002</v>
      </c>
      <c r="F531">
        <v>-9.7189999999999994</v>
      </c>
      <c r="G531">
        <v>-0.29299999999999998</v>
      </c>
      <c r="H531">
        <v>0</v>
      </c>
    </row>
    <row r="532" spans="1:8" x14ac:dyDescent="0.15">
      <c r="B532" t="s">
        <v>319</v>
      </c>
      <c r="C532" s="169">
        <v>3.6210000000000002E-10</v>
      </c>
      <c r="D532" s="169">
        <v>3.6210000000000002E-10</v>
      </c>
      <c r="E532">
        <v>-9.4410000000000007</v>
      </c>
      <c r="F532">
        <v>-9.4410000000000007</v>
      </c>
      <c r="G532">
        <v>0</v>
      </c>
      <c r="H532">
        <v>0</v>
      </c>
    </row>
    <row r="533" spans="1:8" x14ac:dyDescent="0.15">
      <c r="B533" t="s">
        <v>264</v>
      </c>
      <c r="C533" s="169">
        <v>7.1749999999999998E-11</v>
      </c>
      <c r="D533" s="169">
        <v>6.0620000000000006E-11</v>
      </c>
      <c r="E533">
        <v>-10.144</v>
      </c>
      <c r="F533">
        <v>-10.217000000000001</v>
      </c>
      <c r="G533">
        <v>-7.2999999999999995E-2</v>
      </c>
      <c r="H533">
        <v>0</v>
      </c>
    </row>
    <row r="534" spans="1:8" x14ac:dyDescent="0.15">
      <c r="B534" t="s">
        <v>276</v>
      </c>
      <c r="C534" s="169">
        <v>5.0209999999999997E-12</v>
      </c>
      <c r="D534" s="169">
        <v>4.3590000000000003E-12</v>
      </c>
      <c r="E534">
        <v>-11.298999999999999</v>
      </c>
      <c r="F534">
        <v>-11.361000000000001</v>
      </c>
      <c r="G534">
        <v>-6.0999999999999999E-2</v>
      </c>
      <c r="H534">
        <v>0</v>
      </c>
    </row>
    <row r="535" spans="1:8" x14ac:dyDescent="0.15">
      <c r="B535" t="s">
        <v>320</v>
      </c>
      <c r="C535" s="169">
        <v>2.4539999999999998E-12</v>
      </c>
      <c r="D535" s="169">
        <v>2.0730000000000002E-12</v>
      </c>
      <c r="E535">
        <v>-11.61</v>
      </c>
      <c r="F535">
        <v>-11.683</v>
      </c>
      <c r="G535">
        <v>-7.2999999999999995E-2</v>
      </c>
      <c r="H535">
        <v>0</v>
      </c>
    </row>
    <row r="536" spans="1:8" x14ac:dyDescent="0.15">
      <c r="B536" t="s">
        <v>321</v>
      </c>
      <c r="C536" s="169">
        <v>1.4940000000000001E-12</v>
      </c>
      <c r="D536" s="169">
        <v>1.2620000000000001E-12</v>
      </c>
      <c r="E536">
        <v>-11.826000000000001</v>
      </c>
      <c r="F536">
        <v>-11.898999999999999</v>
      </c>
      <c r="G536">
        <v>-7.2999999999999995E-2</v>
      </c>
      <c r="H536">
        <v>0</v>
      </c>
    </row>
    <row r="537" spans="1:8" x14ac:dyDescent="0.15">
      <c r="B537" t="s">
        <v>322</v>
      </c>
      <c r="C537" s="169">
        <v>9.545E-14</v>
      </c>
      <c r="D537" s="169">
        <v>4.8629999999999997E-14</v>
      </c>
      <c r="E537">
        <v>-13.02</v>
      </c>
      <c r="F537">
        <v>-13.313000000000001</v>
      </c>
      <c r="G537">
        <v>-0.29299999999999998</v>
      </c>
      <c r="H537">
        <v>0</v>
      </c>
    </row>
    <row r="538" spans="1:8" x14ac:dyDescent="0.15">
      <c r="B538" t="s">
        <v>278</v>
      </c>
      <c r="C538" s="169">
        <v>2.9279999999999999E-15</v>
      </c>
      <c r="D538" s="169">
        <v>2.9279999999999999E-15</v>
      </c>
      <c r="E538">
        <v>-14.532999999999999</v>
      </c>
      <c r="F538">
        <v>-14.532999999999999</v>
      </c>
      <c r="G538">
        <v>0</v>
      </c>
      <c r="H538">
        <v>0</v>
      </c>
    </row>
    <row r="539" spans="1:8" x14ac:dyDescent="0.15">
      <c r="B539" t="s">
        <v>323</v>
      </c>
      <c r="C539" s="169">
        <v>6.7569999999999994E-17</v>
      </c>
      <c r="D539" s="169">
        <v>6.7569999999999994E-17</v>
      </c>
      <c r="E539">
        <v>-16.170000000000002</v>
      </c>
      <c r="F539">
        <v>-16.170000000000002</v>
      </c>
      <c r="G539">
        <v>0</v>
      </c>
      <c r="H539">
        <v>0</v>
      </c>
    </row>
    <row r="540" spans="1:8" x14ac:dyDescent="0.15">
      <c r="B540" t="s">
        <v>324</v>
      </c>
      <c r="C540" s="169">
        <v>4.0569999999999999E-17</v>
      </c>
      <c r="D540" s="169">
        <v>2.0669999999999999E-17</v>
      </c>
      <c r="E540">
        <v>-16.391999999999999</v>
      </c>
      <c r="F540">
        <v>-16.684999999999999</v>
      </c>
      <c r="G540">
        <v>-0.29299999999999998</v>
      </c>
      <c r="H540">
        <v>0</v>
      </c>
    </row>
    <row r="541" spans="1:8" x14ac:dyDescent="0.15">
      <c r="B541" t="s">
        <v>282</v>
      </c>
      <c r="C541" s="169">
        <v>9.9229999999999998E-20</v>
      </c>
      <c r="D541" s="169">
        <v>8.6140000000000002E-20</v>
      </c>
      <c r="E541">
        <v>-19.003</v>
      </c>
      <c r="F541">
        <v>-19.065000000000001</v>
      </c>
      <c r="G541">
        <v>-6.0999999999999999E-2</v>
      </c>
      <c r="H541">
        <v>0</v>
      </c>
    </row>
    <row r="542" spans="1:8" x14ac:dyDescent="0.15">
      <c r="B542" t="s">
        <v>286</v>
      </c>
      <c r="C542" s="169">
        <v>5.2620000000000002E-24</v>
      </c>
      <c r="D542" s="169">
        <v>3.0540000000000002E-24</v>
      </c>
      <c r="E542">
        <v>-23.279</v>
      </c>
      <c r="F542">
        <v>-23.515000000000001</v>
      </c>
      <c r="G542">
        <v>-0.23599999999999999</v>
      </c>
      <c r="H542">
        <v>0</v>
      </c>
    </row>
    <row r="543" spans="1:8" x14ac:dyDescent="0.15">
      <c r="A543" t="s">
        <v>325</v>
      </c>
      <c r="B543" s="169">
        <v>0</v>
      </c>
    </row>
    <row r="544" spans="1:8" x14ac:dyDescent="0.15">
      <c r="B544" t="s">
        <v>326</v>
      </c>
      <c r="C544" s="169">
        <v>0</v>
      </c>
      <c r="D544" s="169">
        <v>0</v>
      </c>
      <c r="E544">
        <v>-47.280999999999999</v>
      </c>
      <c r="F544">
        <v>-47.279000000000003</v>
      </c>
      <c r="G544">
        <v>2E-3</v>
      </c>
      <c r="H544">
        <v>0</v>
      </c>
    </row>
    <row r="545" spans="1:8" x14ac:dyDescent="0.15">
      <c r="A545" t="s">
        <v>837</v>
      </c>
      <c r="B545" s="169">
        <v>1.98E-7</v>
      </c>
    </row>
    <row r="546" spans="1:8" x14ac:dyDescent="0.15">
      <c r="B546" t="s">
        <v>327</v>
      </c>
      <c r="C546" s="169">
        <v>1.98E-7</v>
      </c>
      <c r="D546" s="169">
        <v>1.133E-7</v>
      </c>
      <c r="E546">
        <v>-6.7030000000000003</v>
      </c>
      <c r="F546">
        <v>-6.9459999999999997</v>
      </c>
      <c r="G546">
        <v>-0.24199999999999999</v>
      </c>
      <c r="H546">
        <v>0</v>
      </c>
    </row>
    <row r="547" spans="1:8" x14ac:dyDescent="0.15">
      <c r="B547" t="s">
        <v>328</v>
      </c>
      <c r="C547" s="169">
        <v>1.3830000000000001E-11</v>
      </c>
      <c r="D547" s="169">
        <v>1.168E-11</v>
      </c>
      <c r="E547">
        <v>-10.859</v>
      </c>
      <c r="F547">
        <v>-10.932</v>
      </c>
      <c r="G547">
        <v>-7.2999999999999995E-2</v>
      </c>
      <c r="H547">
        <v>0</v>
      </c>
    </row>
    <row r="548" spans="1:8" x14ac:dyDescent="0.15">
      <c r="B548" t="s">
        <v>329</v>
      </c>
      <c r="C548" s="169">
        <v>1.8170000000000001E-15</v>
      </c>
      <c r="D548" s="169">
        <v>1.8170000000000001E-15</v>
      </c>
      <c r="E548">
        <v>-14.741</v>
      </c>
      <c r="F548">
        <v>-14.741</v>
      </c>
      <c r="G548">
        <v>0</v>
      </c>
      <c r="H548">
        <v>0</v>
      </c>
    </row>
    <row r="549" spans="1:8" x14ac:dyDescent="0.15">
      <c r="B549" t="s">
        <v>330</v>
      </c>
      <c r="C549" s="169">
        <v>0</v>
      </c>
      <c r="D549" s="169">
        <v>0</v>
      </c>
      <c r="E549">
        <v>-55.677</v>
      </c>
      <c r="F549">
        <v>-58.313000000000002</v>
      </c>
      <c r="G549">
        <v>-2.6360000000000001</v>
      </c>
      <c r="H549">
        <v>0</v>
      </c>
    </row>
    <row r="550" spans="1:8" x14ac:dyDescent="0.15">
      <c r="B550" t="s">
        <v>331</v>
      </c>
      <c r="C550" s="169">
        <v>0</v>
      </c>
      <c r="D550" s="169">
        <v>0</v>
      </c>
      <c r="E550">
        <v>-58.289000000000001</v>
      </c>
      <c r="F550">
        <v>-60.119</v>
      </c>
      <c r="G550">
        <v>-1.83</v>
      </c>
      <c r="H550">
        <v>0</v>
      </c>
    </row>
    <row r="551" spans="1:8" x14ac:dyDescent="0.15">
      <c r="B551" t="s">
        <v>332</v>
      </c>
      <c r="C551" s="169">
        <v>0</v>
      </c>
      <c r="D551" s="169">
        <v>0</v>
      </c>
      <c r="E551">
        <v>-62.292999999999999</v>
      </c>
      <c r="F551">
        <v>-63.463999999999999</v>
      </c>
      <c r="G551">
        <v>-1.171</v>
      </c>
      <c r="H551">
        <v>0</v>
      </c>
    </row>
    <row r="552" spans="1:8" x14ac:dyDescent="0.15">
      <c r="B552" t="s">
        <v>333</v>
      </c>
      <c r="C552" s="169">
        <v>0</v>
      </c>
      <c r="D552" s="169">
        <v>0</v>
      </c>
      <c r="E552">
        <v>-67.641000000000005</v>
      </c>
      <c r="F552">
        <v>-68.3</v>
      </c>
      <c r="G552">
        <v>-0.65900000000000003</v>
      </c>
      <c r="H552">
        <v>0</v>
      </c>
    </row>
    <row r="553" spans="1:8" x14ac:dyDescent="0.15">
      <c r="A553" t="s">
        <v>468</v>
      </c>
      <c r="B553" s="169">
        <v>9.9950000000000004E-5</v>
      </c>
    </row>
    <row r="554" spans="1:8" x14ac:dyDescent="0.15">
      <c r="B554" t="s">
        <v>334</v>
      </c>
      <c r="C554" s="169">
        <v>8.2379999999999994E-5</v>
      </c>
      <c r="D554" s="169">
        <v>7.0870000000000004E-5</v>
      </c>
      <c r="E554">
        <v>-4.0839999999999996</v>
      </c>
      <c r="F554">
        <v>-4.1500000000000004</v>
      </c>
      <c r="G554">
        <v>-6.5000000000000002E-2</v>
      </c>
      <c r="H554">
        <v>0</v>
      </c>
    </row>
    <row r="555" spans="1:8" x14ac:dyDescent="0.15">
      <c r="B555" t="s">
        <v>335</v>
      </c>
      <c r="C555" s="169">
        <v>1.5449999999999999E-5</v>
      </c>
      <c r="D555" s="169">
        <v>1.5449999999999999E-5</v>
      </c>
      <c r="E555">
        <v>-4.8109999999999999</v>
      </c>
      <c r="F555">
        <v>-4.8109999999999999</v>
      </c>
      <c r="G555">
        <v>0</v>
      </c>
      <c r="H555">
        <v>0</v>
      </c>
    </row>
    <row r="556" spans="1:8" x14ac:dyDescent="0.15">
      <c r="B556" t="s">
        <v>336</v>
      </c>
      <c r="C556" s="169">
        <v>2.103E-6</v>
      </c>
      <c r="D556" s="169">
        <v>1.8360000000000001E-6</v>
      </c>
      <c r="E556">
        <v>-5.6769999999999996</v>
      </c>
      <c r="F556">
        <v>-5.7359999999999998</v>
      </c>
      <c r="G556">
        <v>-5.8999999999999997E-2</v>
      </c>
      <c r="H556">
        <v>0</v>
      </c>
    </row>
    <row r="557" spans="1:8" x14ac:dyDescent="0.15">
      <c r="B557" t="s">
        <v>268</v>
      </c>
      <c r="C557" s="169">
        <v>1.0870000000000001E-8</v>
      </c>
      <c r="D557" s="169">
        <v>5.5370000000000002E-9</v>
      </c>
      <c r="E557">
        <v>-7.9640000000000004</v>
      </c>
      <c r="F557">
        <v>-8.2569999999999997</v>
      </c>
      <c r="G557">
        <v>-0.29299999999999998</v>
      </c>
      <c r="H557">
        <v>0</v>
      </c>
    </row>
    <row r="558" spans="1:8" x14ac:dyDescent="0.15">
      <c r="B558" t="s">
        <v>318</v>
      </c>
      <c r="C558" s="169">
        <v>3.7470000000000001E-10</v>
      </c>
      <c r="D558" s="169">
        <v>1.9090000000000001E-10</v>
      </c>
      <c r="E558">
        <v>-9.4260000000000002</v>
      </c>
      <c r="F558">
        <v>-9.7189999999999994</v>
      </c>
      <c r="G558">
        <v>-0.29299999999999998</v>
      </c>
      <c r="H558">
        <v>0</v>
      </c>
    </row>
    <row r="559" spans="1:8" x14ac:dyDescent="0.15">
      <c r="B559" t="s">
        <v>337</v>
      </c>
      <c r="C559" s="169">
        <v>2.4399999999999998E-10</v>
      </c>
      <c r="D559" s="169">
        <v>1.243E-10</v>
      </c>
      <c r="E559">
        <v>-9.6129999999999995</v>
      </c>
      <c r="F559">
        <v>-9.9049999999999994</v>
      </c>
      <c r="G559">
        <v>-0.29299999999999998</v>
      </c>
      <c r="H559">
        <v>0</v>
      </c>
    </row>
    <row r="560" spans="1:8" x14ac:dyDescent="0.15">
      <c r="B560" t="s">
        <v>294</v>
      </c>
      <c r="C560" s="169">
        <v>8.2499999999999999E-11</v>
      </c>
      <c r="D560" s="169">
        <v>4.2030000000000002E-11</v>
      </c>
      <c r="E560">
        <v>-10.084</v>
      </c>
      <c r="F560">
        <v>-10.375999999999999</v>
      </c>
      <c r="G560">
        <v>-0.29299999999999998</v>
      </c>
      <c r="H560">
        <v>0</v>
      </c>
    </row>
    <row r="561" spans="1:8" x14ac:dyDescent="0.15">
      <c r="B561" t="s">
        <v>338</v>
      </c>
      <c r="C561" s="169">
        <v>4.6540000000000002E-13</v>
      </c>
      <c r="D561" s="169">
        <v>2.3710000000000002E-13</v>
      </c>
      <c r="E561">
        <v>-12.332000000000001</v>
      </c>
      <c r="F561">
        <v>-12.625</v>
      </c>
      <c r="G561">
        <v>-0.29299999999999998</v>
      </c>
      <c r="H561">
        <v>0</v>
      </c>
    </row>
    <row r="562" spans="1:8" x14ac:dyDescent="0.15">
      <c r="B562" t="s">
        <v>270</v>
      </c>
      <c r="C562" s="169">
        <v>2.2009999999999999E-14</v>
      </c>
      <c r="D562" s="169">
        <v>1.121E-14</v>
      </c>
      <c r="E562">
        <v>-13.657</v>
      </c>
      <c r="F562">
        <v>-13.95</v>
      </c>
      <c r="G562">
        <v>-0.29299999999999998</v>
      </c>
      <c r="H562">
        <v>0</v>
      </c>
    </row>
    <row r="563" spans="1:8" x14ac:dyDescent="0.15">
      <c r="B563" t="s">
        <v>298</v>
      </c>
      <c r="C563" s="169">
        <v>4.4630000000000001E-15</v>
      </c>
      <c r="D563" s="169">
        <v>2.2739999999999999E-15</v>
      </c>
      <c r="E563">
        <v>-14.35</v>
      </c>
      <c r="F563">
        <v>-14.643000000000001</v>
      </c>
      <c r="G563">
        <v>-0.29299999999999998</v>
      </c>
      <c r="H563">
        <v>0</v>
      </c>
    </row>
    <row r="564" spans="1:8" x14ac:dyDescent="0.15">
      <c r="B564" t="s">
        <v>302</v>
      </c>
      <c r="C564" s="169">
        <v>2.858E-19</v>
      </c>
      <c r="D564" s="169">
        <v>1.4559999999999999E-19</v>
      </c>
      <c r="E564">
        <v>-18.544</v>
      </c>
      <c r="F564">
        <v>-18.837</v>
      </c>
      <c r="G564">
        <v>-0.29299999999999998</v>
      </c>
      <c r="H564">
        <v>0</v>
      </c>
    </row>
    <row r="565" spans="1:8" x14ac:dyDescent="0.15">
      <c r="B565" t="s">
        <v>304</v>
      </c>
      <c r="C565" s="169">
        <v>7.6310000000000003E-24</v>
      </c>
      <c r="D565" s="169">
        <v>3.888E-24</v>
      </c>
      <c r="E565">
        <v>-23.117000000000001</v>
      </c>
      <c r="F565">
        <v>-23.41</v>
      </c>
      <c r="G565">
        <v>-0.29299999999999998</v>
      </c>
      <c r="H565">
        <v>0</v>
      </c>
    </row>
    <row r="566" spans="1:8" x14ac:dyDescent="0.15">
      <c r="B566" t="s">
        <v>288</v>
      </c>
      <c r="C566" s="169">
        <v>3.0719999999999998E-28</v>
      </c>
      <c r="D566" s="169">
        <v>1.565E-28</v>
      </c>
      <c r="E566">
        <v>-27.513000000000002</v>
      </c>
      <c r="F566">
        <v>-27.805</v>
      </c>
      <c r="G566">
        <v>-0.29299999999999998</v>
      </c>
      <c r="H566">
        <v>0</v>
      </c>
    </row>
    <row r="567" spans="1:8" x14ac:dyDescent="0.15">
      <c r="B567" t="s">
        <v>306</v>
      </c>
      <c r="C567" s="169">
        <v>6.4429999999999998E-29</v>
      </c>
      <c r="D567" s="169">
        <v>3.2830000000000001E-29</v>
      </c>
      <c r="E567">
        <v>-28.190999999999999</v>
      </c>
      <c r="F567">
        <v>-28.484000000000002</v>
      </c>
      <c r="G567">
        <v>-0.29299999999999998</v>
      </c>
      <c r="H567">
        <v>0</v>
      </c>
    </row>
    <row r="568" spans="1:8" x14ac:dyDescent="0.15">
      <c r="B568" t="s">
        <v>310</v>
      </c>
      <c r="C568" s="169">
        <v>6.9819999999999994E-36</v>
      </c>
      <c r="D568" s="169">
        <v>5.8989999999999998E-36</v>
      </c>
      <c r="E568">
        <v>-35.155999999999999</v>
      </c>
      <c r="F568">
        <v>-35.228999999999999</v>
      </c>
      <c r="G568">
        <v>-7.2999999999999995E-2</v>
      </c>
      <c r="H568">
        <v>0</v>
      </c>
    </row>
    <row r="569" spans="1:8" x14ac:dyDescent="0.15">
      <c r="B569" t="s">
        <v>311</v>
      </c>
      <c r="C569" s="169">
        <v>1.634E-38</v>
      </c>
      <c r="D569" s="169">
        <v>8.3269999999999997E-39</v>
      </c>
      <c r="E569">
        <v>-37.786999999999999</v>
      </c>
      <c r="F569">
        <v>-38.08</v>
      </c>
      <c r="G569">
        <v>-0.29299999999999998</v>
      </c>
      <c r="H569">
        <v>0</v>
      </c>
    </row>
    <row r="570" spans="1:8" x14ac:dyDescent="0.15">
      <c r="B570" t="s">
        <v>289</v>
      </c>
      <c r="C570" s="169">
        <v>3.65E-40</v>
      </c>
      <c r="D570" s="169">
        <v>1.8599999999999999E-40</v>
      </c>
      <c r="E570">
        <v>-39.438000000000002</v>
      </c>
      <c r="F570">
        <v>-39.731000000000002</v>
      </c>
      <c r="G570">
        <v>-0.29299999999999998</v>
      </c>
      <c r="H570">
        <v>0</v>
      </c>
    </row>
    <row r="571" spans="1:8" x14ac:dyDescent="0.15">
      <c r="A571" t="s">
        <v>469</v>
      </c>
      <c r="B571" s="169">
        <v>5.3549999999999995E-4</v>
      </c>
    </row>
    <row r="572" spans="1:8" x14ac:dyDescent="0.15">
      <c r="B572" t="s">
        <v>339</v>
      </c>
      <c r="C572" s="169">
        <v>5.3379999999999996E-4</v>
      </c>
      <c r="D572" s="169">
        <v>4.6430000000000001E-4</v>
      </c>
      <c r="E572">
        <v>-3.2730000000000001</v>
      </c>
      <c r="F572">
        <v>-3.3330000000000002</v>
      </c>
      <c r="G572">
        <v>-6.0999999999999999E-2</v>
      </c>
      <c r="H572">
        <v>0</v>
      </c>
    </row>
    <row r="573" spans="1:8" x14ac:dyDescent="0.15">
      <c r="B573" t="s">
        <v>267</v>
      </c>
      <c r="C573" s="169">
        <v>1.686E-6</v>
      </c>
      <c r="D573" s="169">
        <v>1.4249999999999999E-6</v>
      </c>
      <c r="E573">
        <v>-5.7729999999999997</v>
      </c>
      <c r="F573">
        <v>-5.8460000000000001</v>
      </c>
      <c r="G573">
        <v>-7.2999999999999995E-2</v>
      </c>
      <c r="H573">
        <v>0</v>
      </c>
    </row>
    <row r="574" spans="1:8" x14ac:dyDescent="0.15">
      <c r="B574" t="s">
        <v>340</v>
      </c>
      <c r="C574" s="169">
        <v>2.168E-11</v>
      </c>
      <c r="D574" s="169">
        <v>1.8309999999999999E-11</v>
      </c>
      <c r="E574">
        <v>-10.664</v>
      </c>
      <c r="F574">
        <v>-10.737</v>
      </c>
      <c r="G574">
        <v>-7.2999999999999995E-2</v>
      </c>
      <c r="H574">
        <v>0</v>
      </c>
    </row>
    <row r="575" spans="1:8" x14ac:dyDescent="0.15">
      <c r="B575" t="s">
        <v>341</v>
      </c>
      <c r="C575" s="169">
        <v>1.5009999999999998E-11</v>
      </c>
      <c r="D575" s="169">
        <v>1.268E-11</v>
      </c>
      <c r="E575">
        <v>-10.824</v>
      </c>
      <c r="F575">
        <v>-10.897</v>
      </c>
      <c r="G575">
        <v>-7.2999999999999995E-2</v>
      </c>
      <c r="H575">
        <v>0</v>
      </c>
    </row>
    <row r="576" spans="1:8" x14ac:dyDescent="0.15">
      <c r="B576" t="s">
        <v>296</v>
      </c>
      <c r="C576" s="169">
        <v>1.4919999999999999E-11</v>
      </c>
      <c r="D576" s="169">
        <v>1.2610000000000001E-11</v>
      </c>
      <c r="E576">
        <v>-10.826000000000001</v>
      </c>
      <c r="F576">
        <v>-10.898999999999999</v>
      </c>
      <c r="G576">
        <v>-7.2999999999999995E-2</v>
      </c>
      <c r="H576">
        <v>0</v>
      </c>
    </row>
    <row r="577" spans="1:8" x14ac:dyDescent="0.15">
      <c r="B577" t="s">
        <v>321</v>
      </c>
      <c r="C577" s="169">
        <v>1.4940000000000001E-12</v>
      </c>
      <c r="D577" s="169">
        <v>1.2620000000000001E-12</v>
      </c>
      <c r="E577">
        <v>-11.826000000000001</v>
      </c>
      <c r="F577">
        <v>-11.898999999999999</v>
      </c>
      <c r="G577">
        <v>-7.2999999999999995E-2</v>
      </c>
      <c r="H577">
        <v>0</v>
      </c>
    </row>
    <row r="578" spans="1:8" x14ac:dyDescent="0.15">
      <c r="B578" t="s">
        <v>297</v>
      </c>
      <c r="C578" s="169">
        <v>1.191E-14</v>
      </c>
      <c r="D578" s="169">
        <v>1.191E-14</v>
      </c>
      <c r="E578">
        <v>-13.923999999999999</v>
      </c>
      <c r="F578">
        <v>-13.923999999999999</v>
      </c>
      <c r="G578">
        <v>0</v>
      </c>
      <c r="H578">
        <v>0</v>
      </c>
    </row>
    <row r="579" spans="1:8" x14ac:dyDescent="0.15">
      <c r="B579" t="s">
        <v>342</v>
      </c>
      <c r="C579" s="169">
        <v>1.5379999999999999E-15</v>
      </c>
      <c r="D579" s="169">
        <v>1.5379999999999999E-15</v>
      </c>
      <c r="E579">
        <v>-14.813000000000001</v>
      </c>
      <c r="F579">
        <v>-14.813000000000001</v>
      </c>
      <c r="G579">
        <v>0</v>
      </c>
      <c r="H579">
        <v>0</v>
      </c>
    </row>
    <row r="580" spans="1:8" x14ac:dyDescent="0.15">
      <c r="B580" t="s">
        <v>323</v>
      </c>
      <c r="C580" s="169">
        <v>6.7569999999999994E-17</v>
      </c>
      <c r="D580" s="169">
        <v>6.7569999999999994E-17</v>
      </c>
      <c r="E580">
        <v>-16.170000000000002</v>
      </c>
      <c r="F580">
        <v>-16.170000000000002</v>
      </c>
      <c r="G580">
        <v>0</v>
      </c>
      <c r="H580">
        <v>0</v>
      </c>
    </row>
    <row r="581" spans="1:8" x14ac:dyDescent="0.15">
      <c r="A581" t="s">
        <v>667</v>
      </c>
      <c r="B581" s="169">
        <v>1.2930000000000001E-2</v>
      </c>
    </row>
    <row r="582" spans="1:8" x14ac:dyDescent="0.15">
      <c r="B582" t="s">
        <v>343</v>
      </c>
      <c r="C582" s="169">
        <v>1.2749999999999999E-2</v>
      </c>
      <c r="D582" s="169">
        <v>1.1089999999999999E-2</v>
      </c>
      <c r="E582">
        <v>-1.895</v>
      </c>
      <c r="F582">
        <v>-1.9550000000000001</v>
      </c>
      <c r="G582">
        <v>-6.0999999999999999E-2</v>
      </c>
      <c r="H582">
        <v>0</v>
      </c>
    </row>
    <row r="583" spans="1:8" x14ac:dyDescent="0.15">
      <c r="B583" t="s">
        <v>344</v>
      </c>
      <c r="C583" s="169">
        <v>1.6110000000000001E-4</v>
      </c>
      <c r="D583" s="169">
        <v>1.4090000000000001E-4</v>
      </c>
      <c r="E583">
        <v>-3.7930000000000001</v>
      </c>
      <c r="F583">
        <v>-3.851</v>
      </c>
      <c r="G583">
        <v>-5.8000000000000003E-2</v>
      </c>
      <c r="H583">
        <v>0</v>
      </c>
    </row>
    <row r="584" spans="1:8" x14ac:dyDescent="0.15">
      <c r="B584" t="s">
        <v>522</v>
      </c>
      <c r="C584" s="169">
        <v>1.394E-5</v>
      </c>
      <c r="D584" s="169">
        <v>1.394E-5</v>
      </c>
      <c r="E584">
        <v>-4.8559999999999999</v>
      </c>
      <c r="F584">
        <v>-4.8559999999999999</v>
      </c>
      <c r="G584">
        <v>0</v>
      </c>
      <c r="H584">
        <v>0</v>
      </c>
    </row>
    <row r="585" spans="1:8" x14ac:dyDescent="0.15">
      <c r="B585" t="s">
        <v>255</v>
      </c>
      <c r="C585" s="169">
        <v>2.6259999999999999E-6</v>
      </c>
      <c r="D585" s="169">
        <v>2.2970000000000002E-6</v>
      </c>
      <c r="E585">
        <v>-5.5810000000000004</v>
      </c>
      <c r="F585">
        <v>-5.6390000000000002</v>
      </c>
      <c r="G585">
        <v>-5.8000000000000003E-2</v>
      </c>
      <c r="H585">
        <v>0</v>
      </c>
    </row>
    <row r="586" spans="1:8" x14ac:dyDescent="0.15">
      <c r="A586" t="s">
        <v>838</v>
      </c>
      <c r="B586" s="169">
        <v>2.8970000000000001E-8</v>
      </c>
    </row>
    <row r="587" spans="1:8" x14ac:dyDescent="0.15">
      <c r="B587" t="s">
        <v>345</v>
      </c>
      <c r="C587" s="169">
        <v>1.9000000000000001E-8</v>
      </c>
      <c r="D587" s="169">
        <v>1.0870000000000001E-8</v>
      </c>
      <c r="E587">
        <v>-7.7210000000000001</v>
      </c>
      <c r="F587">
        <v>-7.9640000000000004</v>
      </c>
      <c r="G587">
        <v>-0.24199999999999999</v>
      </c>
      <c r="H587">
        <v>0</v>
      </c>
    </row>
    <row r="588" spans="1:8" x14ac:dyDescent="0.15">
      <c r="B588" t="s">
        <v>104</v>
      </c>
      <c r="C588" s="169">
        <v>4.633E-9</v>
      </c>
      <c r="D588" s="169">
        <v>4.633E-9</v>
      </c>
      <c r="E588">
        <v>-8.3339999999999996</v>
      </c>
      <c r="F588">
        <v>-8.3339999999999996</v>
      </c>
      <c r="G588">
        <v>0</v>
      </c>
      <c r="H588">
        <v>0</v>
      </c>
    </row>
    <row r="589" spans="1:8" x14ac:dyDescent="0.15">
      <c r="B589" t="s">
        <v>258</v>
      </c>
      <c r="C589" s="169">
        <v>2.9210000000000001E-9</v>
      </c>
      <c r="D589" s="169">
        <v>2.9210000000000001E-9</v>
      </c>
      <c r="E589">
        <v>-8.5340000000000007</v>
      </c>
      <c r="F589">
        <v>-8.5340000000000007</v>
      </c>
      <c r="G589">
        <v>0</v>
      </c>
      <c r="H589">
        <v>0</v>
      </c>
    </row>
    <row r="590" spans="1:8" x14ac:dyDescent="0.15">
      <c r="B590" t="s">
        <v>260</v>
      </c>
      <c r="C590" s="169">
        <v>1.9359999999999999E-9</v>
      </c>
      <c r="D590" s="169">
        <v>1.635E-9</v>
      </c>
      <c r="E590">
        <v>-8.7129999999999992</v>
      </c>
      <c r="F590">
        <v>-8.7859999999999996</v>
      </c>
      <c r="G590">
        <v>-7.2999999999999995E-2</v>
      </c>
      <c r="H590">
        <v>0</v>
      </c>
    </row>
    <row r="591" spans="1:8" x14ac:dyDescent="0.15">
      <c r="B591" t="s">
        <v>337</v>
      </c>
      <c r="C591" s="169">
        <v>2.4399999999999998E-10</v>
      </c>
      <c r="D591" s="169">
        <v>1.243E-10</v>
      </c>
      <c r="E591">
        <v>-9.6129999999999995</v>
      </c>
      <c r="F591">
        <v>-9.9049999999999994</v>
      </c>
      <c r="G591">
        <v>-0.29299999999999998</v>
      </c>
      <c r="H591">
        <v>0</v>
      </c>
    </row>
    <row r="592" spans="1:8" x14ac:dyDescent="0.15">
      <c r="B592" t="s">
        <v>275</v>
      </c>
      <c r="C592" s="169">
        <v>1.3159999999999999E-10</v>
      </c>
      <c r="D592" s="169">
        <v>1.112E-10</v>
      </c>
      <c r="E592">
        <v>-9.8810000000000002</v>
      </c>
      <c r="F592">
        <v>-9.9540000000000006</v>
      </c>
      <c r="G592">
        <v>-7.2999999999999995E-2</v>
      </c>
      <c r="H592">
        <v>0</v>
      </c>
    </row>
    <row r="593" spans="1:8" x14ac:dyDescent="0.15">
      <c r="B593" t="s">
        <v>105</v>
      </c>
      <c r="C593" s="169">
        <v>6.7850000000000004E-11</v>
      </c>
      <c r="D593" s="169">
        <v>5.7320000000000002E-11</v>
      </c>
      <c r="E593">
        <v>-10.167999999999999</v>
      </c>
      <c r="F593">
        <v>-10.242000000000001</v>
      </c>
      <c r="G593">
        <v>-7.2999999999999995E-2</v>
      </c>
      <c r="H593">
        <v>0</v>
      </c>
    </row>
    <row r="594" spans="1:8" x14ac:dyDescent="0.15">
      <c r="B594" t="s">
        <v>106</v>
      </c>
      <c r="C594" s="169">
        <v>1.746E-11</v>
      </c>
      <c r="D594" s="169">
        <v>1.746E-11</v>
      </c>
      <c r="E594">
        <v>-10.757999999999999</v>
      </c>
      <c r="F594">
        <v>-10.757999999999999</v>
      </c>
      <c r="G594">
        <v>0</v>
      </c>
      <c r="H594">
        <v>0</v>
      </c>
    </row>
    <row r="595" spans="1:8" x14ac:dyDescent="0.15">
      <c r="B595" t="s">
        <v>341</v>
      </c>
      <c r="C595" s="169">
        <v>1.5009999999999998E-11</v>
      </c>
      <c r="D595" s="169">
        <v>1.268E-11</v>
      </c>
      <c r="E595">
        <v>-10.824</v>
      </c>
      <c r="F595">
        <v>-10.897</v>
      </c>
      <c r="G595">
        <v>-7.2999999999999995E-2</v>
      </c>
      <c r="H595">
        <v>0</v>
      </c>
    </row>
    <row r="596" spans="1:8" x14ac:dyDescent="0.15">
      <c r="B596" t="s">
        <v>107</v>
      </c>
      <c r="C596" s="169">
        <v>8.2389999999999995E-13</v>
      </c>
      <c r="D596" s="169">
        <v>4.1979999999999999E-13</v>
      </c>
      <c r="E596">
        <v>-12.084</v>
      </c>
      <c r="F596">
        <v>-12.377000000000001</v>
      </c>
      <c r="G596">
        <v>-0.29299999999999998</v>
      </c>
      <c r="H596">
        <v>0</v>
      </c>
    </row>
    <row r="597" spans="1:8" x14ac:dyDescent="0.15">
      <c r="B597" t="s">
        <v>338</v>
      </c>
      <c r="C597" s="169">
        <v>4.6540000000000002E-13</v>
      </c>
      <c r="D597" s="169">
        <v>2.3710000000000002E-13</v>
      </c>
      <c r="E597">
        <v>-12.332000000000001</v>
      </c>
      <c r="F597">
        <v>-12.625</v>
      </c>
      <c r="G597">
        <v>-0.29299999999999998</v>
      </c>
      <c r="H597">
        <v>0</v>
      </c>
    </row>
    <row r="598" spans="1:8" x14ac:dyDescent="0.15">
      <c r="B598" t="s">
        <v>108</v>
      </c>
      <c r="C598" s="169">
        <v>2.6179999999999999E-14</v>
      </c>
      <c r="D598" s="169">
        <v>2.2120000000000001E-14</v>
      </c>
      <c r="E598">
        <v>-13.582000000000001</v>
      </c>
      <c r="F598">
        <v>-13.654999999999999</v>
      </c>
      <c r="G598">
        <v>-7.2999999999999995E-2</v>
      </c>
      <c r="H598">
        <v>0</v>
      </c>
    </row>
    <row r="599" spans="1:8" x14ac:dyDescent="0.15">
      <c r="B599" t="s">
        <v>279</v>
      </c>
      <c r="C599" s="169">
        <v>2.4360000000000001E-15</v>
      </c>
      <c r="D599" s="169">
        <v>2.4360000000000001E-15</v>
      </c>
      <c r="E599">
        <v>-14.613</v>
      </c>
      <c r="F599">
        <v>-14.613</v>
      </c>
      <c r="G599">
        <v>0</v>
      </c>
      <c r="H599">
        <v>0</v>
      </c>
    </row>
    <row r="600" spans="1:8" x14ac:dyDescent="0.15">
      <c r="A600" t="s">
        <v>471</v>
      </c>
      <c r="B600" s="169">
        <v>6.2500000000000001E-4</v>
      </c>
    </row>
    <row r="601" spans="1:8" x14ac:dyDescent="0.15">
      <c r="B601" t="s">
        <v>109</v>
      </c>
      <c r="C601" s="169">
        <v>3.1250000000000001E-4</v>
      </c>
      <c r="D601" s="169">
        <v>3.1409999999999999E-4</v>
      </c>
      <c r="E601">
        <v>-3.5049999999999999</v>
      </c>
      <c r="F601">
        <v>-3.5030000000000001</v>
      </c>
      <c r="G601">
        <v>2E-3</v>
      </c>
      <c r="H601">
        <v>0</v>
      </c>
    </row>
    <row r="602" spans="1:8" x14ac:dyDescent="0.15">
      <c r="A602" t="s">
        <v>472</v>
      </c>
      <c r="B602" s="169">
        <v>4.7990000000000003E-3</v>
      </c>
    </row>
    <row r="603" spans="1:8" x14ac:dyDescent="0.15">
      <c r="B603" t="s">
        <v>110</v>
      </c>
      <c r="C603" s="169">
        <v>4.2240000000000003E-3</v>
      </c>
      <c r="D603" s="169">
        <v>2.4169999999999999E-3</v>
      </c>
      <c r="E603">
        <v>-2.3740000000000001</v>
      </c>
      <c r="F603">
        <v>-2.617</v>
      </c>
      <c r="G603">
        <v>-0.24199999999999999</v>
      </c>
      <c r="H603">
        <v>0</v>
      </c>
    </row>
    <row r="604" spans="1:8" x14ac:dyDescent="0.15">
      <c r="B604" t="s">
        <v>266</v>
      </c>
      <c r="C604" s="169">
        <v>4.1140000000000003E-4</v>
      </c>
      <c r="D604" s="169">
        <v>4.1140000000000003E-4</v>
      </c>
      <c r="E604">
        <v>-3.3860000000000001</v>
      </c>
      <c r="F604">
        <v>-3.3860000000000001</v>
      </c>
      <c r="G604">
        <v>0</v>
      </c>
      <c r="H604">
        <v>0</v>
      </c>
    </row>
    <row r="605" spans="1:8" x14ac:dyDescent="0.15">
      <c r="B605" t="s">
        <v>344</v>
      </c>
      <c r="C605" s="169">
        <v>1.6110000000000001E-4</v>
      </c>
      <c r="D605" s="169">
        <v>1.4090000000000001E-4</v>
      </c>
      <c r="E605">
        <v>-3.7930000000000001</v>
      </c>
      <c r="F605">
        <v>-3.851</v>
      </c>
      <c r="G605">
        <v>-5.8000000000000003E-2</v>
      </c>
      <c r="H605">
        <v>0</v>
      </c>
    </row>
    <row r="606" spans="1:8" x14ac:dyDescent="0.15">
      <c r="B606" t="s">
        <v>336</v>
      </c>
      <c r="C606" s="169">
        <v>2.103E-6</v>
      </c>
      <c r="D606" s="169">
        <v>1.8360000000000001E-6</v>
      </c>
      <c r="E606">
        <v>-5.6769999999999996</v>
      </c>
      <c r="F606">
        <v>-5.7359999999999998</v>
      </c>
      <c r="G606">
        <v>-5.8999999999999997E-2</v>
      </c>
      <c r="H606">
        <v>0</v>
      </c>
    </row>
    <row r="607" spans="1:8" x14ac:dyDescent="0.15">
      <c r="B607" t="s">
        <v>292</v>
      </c>
      <c r="C607" s="169">
        <v>7.2399999999999998E-9</v>
      </c>
      <c r="D607" s="169">
        <v>7.2399999999999998E-9</v>
      </c>
      <c r="E607">
        <v>-8.14</v>
      </c>
      <c r="F607">
        <v>-8.14</v>
      </c>
      <c r="G607">
        <v>0</v>
      </c>
      <c r="H607">
        <v>0</v>
      </c>
    </row>
    <row r="608" spans="1:8" x14ac:dyDescent="0.15">
      <c r="B608" t="s">
        <v>111</v>
      </c>
      <c r="C608" s="169">
        <v>6.5940000000000002E-9</v>
      </c>
      <c r="D608" s="169">
        <v>6.5940000000000002E-9</v>
      </c>
      <c r="E608">
        <v>-8.1809999999999992</v>
      </c>
      <c r="F608">
        <v>-8.1809999999999992</v>
      </c>
      <c r="G608">
        <v>0</v>
      </c>
      <c r="H608">
        <v>0</v>
      </c>
    </row>
    <row r="609" spans="1:8" x14ac:dyDescent="0.15">
      <c r="B609" t="s">
        <v>104</v>
      </c>
      <c r="C609" s="169">
        <v>4.633E-9</v>
      </c>
      <c r="D609" s="169">
        <v>4.633E-9</v>
      </c>
      <c r="E609">
        <v>-8.3339999999999996</v>
      </c>
      <c r="F609">
        <v>-8.3339999999999996</v>
      </c>
      <c r="G609">
        <v>0</v>
      </c>
      <c r="H609">
        <v>0</v>
      </c>
    </row>
    <row r="610" spans="1:8" x14ac:dyDescent="0.15">
      <c r="B610" t="s">
        <v>112</v>
      </c>
      <c r="C610" s="169">
        <v>1.347E-9</v>
      </c>
      <c r="D610" s="169">
        <v>1.173E-9</v>
      </c>
      <c r="E610">
        <v>-8.8710000000000004</v>
      </c>
      <c r="F610">
        <v>-8.9309999999999992</v>
      </c>
      <c r="G610">
        <v>-0.06</v>
      </c>
      <c r="H610">
        <v>0</v>
      </c>
    </row>
    <row r="611" spans="1:8" x14ac:dyDescent="0.15">
      <c r="B611" t="s">
        <v>319</v>
      </c>
      <c r="C611" s="169">
        <v>3.6210000000000002E-10</v>
      </c>
      <c r="D611" s="169">
        <v>3.6210000000000002E-10</v>
      </c>
      <c r="E611">
        <v>-9.4410000000000007</v>
      </c>
      <c r="F611">
        <v>-9.4410000000000007</v>
      </c>
      <c r="G611">
        <v>0</v>
      </c>
      <c r="H611">
        <v>0</v>
      </c>
    </row>
    <row r="612" spans="1:8" x14ac:dyDescent="0.15">
      <c r="B612" t="s">
        <v>113</v>
      </c>
      <c r="C612" s="169">
        <v>3.1109999999999999E-10</v>
      </c>
      <c r="D612" s="169">
        <v>1.585E-10</v>
      </c>
      <c r="E612">
        <v>-9.5069999999999997</v>
      </c>
      <c r="F612">
        <v>-9.8000000000000007</v>
      </c>
      <c r="G612">
        <v>-0.29299999999999998</v>
      </c>
      <c r="H612">
        <v>0</v>
      </c>
    </row>
    <row r="613" spans="1:8" x14ac:dyDescent="0.15">
      <c r="B613" t="s">
        <v>107</v>
      </c>
      <c r="C613" s="169">
        <v>8.2389999999999995E-13</v>
      </c>
      <c r="D613" s="169">
        <v>4.1979999999999999E-13</v>
      </c>
      <c r="E613">
        <v>-12.084</v>
      </c>
      <c r="F613">
        <v>-12.377000000000001</v>
      </c>
      <c r="G613">
        <v>-0.29299999999999998</v>
      </c>
      <c r="H613">
        <v>0</v>
      </c>
    </row>
    <row r="614" spans="1:8" x14ac:dyDescent="0.15">
      <c r="B614" t="s">
        <v>310</v>
      </c>
      <c r="C614" s="169">
        <v>6.9819999999999994E-36</v>
      </c>
      <c r="D614" s="169">
        <v>5.8989999999999998E-36</v>
      </c>
      <c r="E614">
        <v>-35.155999999999999</v>
      </c>
      <c r="F614">
        <v>-35.228999999999999</v>
      </c>
      <c r="G614">
        <v>-7.2999999999999995E-2</v>
      </c>
      <c r="H614">
        <v>0</v>
      </c>
    </row>
    <row r="615" spans="1:8" x14ac:dyDescent="0.15">
      <c r="A615" t="s">
        <v>847</v>
      </c>
      <c r="B615" s="169">
        <v>3.976E-8</v>
      </c>
    </row>
    <row r="616" spans="1:8" x14ac:dyDescent="0.15">
      <c r="B616" t="s">
        <v>114</v>
      </c>
      <c r="C616" s="169">
        <v>2.487E-8</v>
      </c>
      <c r="D616" s="169">
        <v>1.4230000000000001E-8</v>
      </c>
      <c r="E616">
        <v>-7.6040000000000001</v>
      </c>
      <c r="F616">
        <v>-7.8470000000000004</v>
      </c>
      <c r="G616">
        <v>-0.24199999999999999</v>
      </c>
      <c r="H616">
        <v>0</v>
      </c>
    </row>
    <row r="617" spans="1:8" x14ac:dyDescent="0.15">
      <c r="B617" t="s">
        <v>111</v>
      </c>
      <c r="C617" s="169">
        <v>6.5940000000000002E-9</v>
      </c>
      <c r="D617" s="169">
        <v>6.5940000000000002E-9</v>
      </c>
      <c r="E617">
        <v>-8.1809999999999992</v>
      </c>
      <c r="F617">
        <v>-8.1809999999999992</v>
      </c>
      <c r="G617">
        <v>0</v>
      </c>
      <c r="H617">
        <v>0</v>
      </c>
    </row>
    <row r="618" spans="1:8" x14ac:dyDescent="0.15">
      <c r="B618" t="s">
        <v>257</v>
      </c>
      <c r="C618" s="169">
        <v>5.8980000000000001E-9</v>
      </c>
      <c r="D618" s="169">
        <v>5.8980000000000001E-9</v>
      </c>
      <c r="E618">
        <v>-8.2289999999999992</v>
      </c>
      <c r="F618">
        <v>-8.2289999999999992</v>
      </c>
      <c r="G618">
        <v>0</v>
      </c>
      <c r="H618">
        <v>0</v>
      </c>
    </row>
    <row r="619" spans="1:8" x14ac:dyDescent="0.15">
      <c r="B619" t="s">
        <v>263</v>
      </c>
      <c r="C619" s="169">
        <v>6.5009999999999996E-10</v>
      </c>
      <c r="D619" s="169">
        <v>5.4920000000000003E-10</v>
      </c>
      <c r="E619">
        <v>-9.1869999999999994</v>
      </c>
      <c r="F619">
        <v>-9.26</v>
      </c>
      <c r="G619">
        <v>-7.2999999999999995E-2</v>
      </c>
      <c r="H619">
        <v>0</v>
      </c>
    </row>
    <row r="620" spans="1:8" x14ac:dyDescent="0.15">
      <c r="B620" t="s">
        <v>115</v>
      </c>
      <c r="C620" s="169">
        <v>6.4770000000000005E-10</v>
      </c>
      <c r="D620" s="169">
        <v>5.4729999999999996E-10</v>
      </c>
      <c r="E620">
        <v>-9.1890000000000001</v>
      </c>
      <c r="F620">
        <v>-9.2620000000000005</v>
      </c>
      <c r="G620">
        <v>-7.2999999999999995E-2</v>
      </c>
      <c r="H620">
        <v>0</v>
      </c>
    </row>
    <row r="621" spans="1:8" x14ac:dyDescent="0.15">
      <c r="B621" t="s">
        <v>116</v>
      </c>
      <c r="C621" s="169">
        <v>3.622E-10</v>
      </c>
      <c r="D621" s="169">
        <v>3.622E-10</v>
      </c>
      <c r="E621">
        <v>-9.4410000000000007</v>
      </c>
      <c r="F621">
        <v>-9.4410000000000007</v>
      </c>
      <c r="G621">
        <v>0</v>
      </c>
      <c r="H621">
        <v>0</v>
      </c>
    </row>
    <row r="622" spans="1:8" x14ac:dyDescent="0.15">
      <c r="B622" t="s">
        <v>113</v>
      </c>
      <c r="C622" s="169">
        <v>3.1109999999999999E-10</v>
      </c>
      <c r="D622" s="169">
        <v>1.585E-10</v>
      </c>
      <c r="E622">
        <v>-9.5069999999999997</v>
      </c>
      <c r="F622">
        <v>-9.8000000000000007</v>
      </c>
      <c r="G622">
        <v>-0.29299999999999998</v>
      </c>
      <c r="H622">
        <v>0</v>
      </c>
    </row>
    <row r="623" spans="1:8" x14ac:dyDescent="0.15">
      <c r="B623" t="s">
        <v>273</v>
      </c>
      <c r="C623" s="169">
        <v>2.4739999999999999E-10</v>
      </c>
      <c r="D623" s="169">
        <v>2.4739999999999999E-10</v>
      </c>
      <c r="E623">
        <v>-9.6069999999999993</v>
      </c>
      <c r="F623">
        <v>-9.6069999999999993</v>
      </c>
      <c r="G623">
        <v>0</v>
      </c>
      <c r="H623">
        <v>0</v>
      </c>
    </row>
    <row r="624" spans="1:8" x14ac:dyDescent="0.15">
      <c r="B624" t="s">
        <v>274</v>
      </c>
      <c r="C624" s="169">
        <v>1.5309999999999999E-10</v>
      </c>
      <c r="D624" s="169">
        <v>1.329E-10</v>
      </c>
      <c r="E624">
        <v>-9.8149999999999995</v>
      </c>
      <c r="F624">
        <v>-9.8770000000000007</v>
      </c>
      <c r="G624">
        <v>-6.0999999999999999E-2</v>
      </c>
      <c r="H624">
        <v>0</v>
      </c>
    </row>
    <row r="625" spans="1:10" x14ac:dyDescent="0.15">
      <c r="B625" t="s">
        <v>340</v>
      </c>
      <c r="C625" s="169">
        <v>2.168E-11</v>
      </c>
      <c r="D625" s="169">
        <v>1.8309999999999999E-11</v>
      </c>
      <c r="E625">
        <v>-10.664</v>
      </c>
      <c r="F625">
        <v>-10.737</v>
      </c>
      <c r="G625">
        <v>-7.2999999999999995E-2</v>
      </c>
      <c r="H625">
        <v>0</v>
      </c>
    </row>
    <row r="626" spans="1:10" x14ac:dyDescent="0.15">
      <c r="B626" t="s">
        <v>117</v>
      </c>
      <c r="C626" s="169">
        <v>2.7219999999999999E-12</v>
      </c>
      <c r="D626" s="169">
        <v>2.2999999999999999E-12</v>
      </c>
      <c r="E626">
        <v>-11.565</v>
      </c>
      <c r="F626">
        <v>-11.638</v>
      </c>
      <c r="G626">
        <v>-7.2999999999999995E-2</v>
      </c>
      <c r="H626">
        <v>0</v>
      </c>
    </row>
    <row r="627" spans="1:10" x14ac:dyDescent="0.15">
      <c r="B627" t="s">
        <v>277</v>
      </c>
      <c r="C627" s="169">
        <v>4.4709999999999998E-13</v>
      </c>
      <c r="D627" s="169">
        <v>4.4709999999999998E-13</v>
      </c>
      <c r="E627">
        <v>-12.35</v>
      </c>
      <c r="F627">
        <v>-12.35</v>
      </c>
      <c r="G627">
        <v>0</v>
      </c>
      <c r="H627">
        <v>0</v>
      </c>
    </row>
    <row r="628" spans="1:10" x14ac:dyDescent="0.15">
      <c r="B628" t="s">
        <v>280</v>
      </c>
      <c r="C628" s="169">
        <v>1.6E-15</v>
      </c>
      <c r="D628" s="169">
        <v>1.3890000000000001E-15</v>
      </c>
      <c r="E628">
        <v>-14.795999999999999</v>
      </c>
      <c r="F628">
        <v>-14.856999999999999</v>
      </c>
      <c r="G628">
        <v>-6.0999999999999999E-2</v>
      </c>
      <c r="H628">
        <v>0</v>
      </c>
    </row>
    <row r="629" spans="1:10" x14ac:dyDescent="0.15">
      <c r="B629" t="s">
        <v>342</v>
      </c>
      <c r="C629" s="169">
        <v>1.5379999999999999E-15</v>
      </c>
      <c r="D629" s="169">
        <v>1.5379999999999999E-15</v>
      </c>
      <c r="E629">
        <v>-14.813000000000001</v>
      </c>
      <c r="F629">
        <v>-14.813000000000001</v>
      </c>
      <c r="G629">
        <v>0</v>
      </c>
      <c r="H629">
        <v>0</v>
      </c>
    </row>
    <row r="630" spans="1:10" x14ac:dyDescent="0.15">
      <c r="B630" t="s">
        <v>118</v>
      </c>
      <c r="C630" s="169">
        <v>2.2769999999999998E-16</v>
      </c>
      <c r="D630" s="169">
        <v>1.1600000000000001E-16</v>
      </c>
      <c r="E630">
        <v>-15.643000000000001</v>
      </c>
      <c r="F630">
        <v>-15.935</v>
      </c>
      <c r="G630">
        <v>-0.29299999999999998</v>
      </c>
      <c r="H630">
        <v>0</v>
      </c>
    </row>
    <row r="631" spans="1:10" x14ac:dyDescent="0.15">
      <c r="B631" t="s">
        <v>281</v>
      </c>
      <c r="C631" s="169">
        <v>4.4030000000000004E-18</v>
      </c>
      <c r="D631" s="169">
        <v>2.5560000000000001E-18</v>
      </c>
      <c r="E631">
        <v>-17.356000000000002</v>
      </c>
      <c r="F631">
        <v>-17.591999999999999</v>
      </c>
      <c r="G631">
        <v>-0.23599999999999999</v>
      </c>
      <c r="H631">
        <v>0</v>
      </c>
    </row>
    <row r="633" spans="1:10" x14ac:dyDescent="0.15">
      <c r="A633" t="e">
        <f>------------------------------Saturation</f>
        <v>#NAME?</v>
      </c>
      <c r="B633" t="s">
        <v>119</v>
      </c>
    </row>
    <row r="635" spans="1:10" x14ac:dyDescent="0.15">
      <c r="B635" t="s">
        <v>120</v>
      </c>
      <c r="C635" t="s">
        <v>121</v>
      </c>
      <c r="D635" t="s">
        <v>122</v>
      </c>
      <c r="E635" t="s">
        <v>123</v>
      </c>
      <c r="F635" t="s">
        <v>122</v>
      </c>
      <c r="G635" t="s">
        <v>124</v>
      </c>
      <c r="H635" t="s">
        <v>125</v>
      </c>
      <c r="I635">
        <v>1</v>
      </c>
      <c r="J635" t="s">
        <v>126</v>
      </c>
    </row>
    <row r="637" spans="1:10" x14ac:dyDescent="0.15">
      <c r="B637" t="s">
        <v>127</v>
      </c>
      <c r="C637">
        <v>-21.69</v>
      </c>
      <c r="D637">
        <v>-15.46</v>
      </c>
      <c r="E637">
        <v>6.23</v>
      </c>
      <c r="F637" t="s">
        <v>127</v>
      </c>
    </row>
    <row r="638" spans="1:10" x14ac:dyDescent="0.15">
      <c r="B638" t="s">
        <v>128</v>
      </c>
      <c r="C638">
        <v>-18.16</v>
      </c>
      <c r="D638">
        <v>-13.55</v>
      </c>
      <c r="E638">
        <v>4.6100000000000003</v>
      </c>
      <c r="F638" t="s">
        <v>128</v>
      </c>
    </row>
    <row r="639" spans="1:10" x14ac:dyDescent="0.15">
      <c r="B639" t="s">
        <v>129</v>
      </c>
      <c r="C639">
        <v>-25.53</v>
      </c>
      <c r="D639">
        <v>-13.55</v>
      </c>
      <c r="E639">
        <v>11.97</v>
      </c>
      <c r="F639" t="s">
        <v>129</v>
      </c>
    </row>
    <row r="640" spans="1:10" x14ac:dyDescent="0.15">
      <c r="B640" t="s">
        <v>130</v>
      </c>
      <c r="C640">
        <v>-30.38</v>
      </c>
      <c r="D640">
        <v>-12.46</v>
      </c>
      <c r="E640">
        <v>17.920000000000002</v>
      </c>
      <c r="F640" t="s">
        <v>130</v>
      </c>
    </row>
    <row r="641" spans="2:6" x14ac:dyDescent="0.15">
      <c r="B641" t="s">
        <v>131</v>
      </c>
      <c r="C641">
        <v>-29.94</v>
      </c>
      <c r="D641">
        <v>-9.6</v>
      </c>
      <c r="E641">
        <v>20.34</v>
      </c>
      <c r="F641" t="s">
        <v>131</v>
      </c>
    </row>
    <row r="642" spans="2:6" x14ac:dyDescent="0.15">
      <c r="B642" t="s">
        <v>376</v>
      </c>
      <c r="C642">
        <v>-1.39</v>
      </c>
      <c r="D642">
        <v>-5.68</v>
      </c>
      <c r="E642">
        <v>-4.29</v>
      </c>
      <c r="F642" t="s">
        <v>266</v>
      </c>
    </row>
    <row r="643" spans="2:6" x14ac:dyDescent="0.15">
      <c r="B643" t="s">
        <v>377</v>
      </c>
      <c r="C643">
        <v>-6.32</v>
      </c>
      <c r="D643">
        <v>2.4700000000000002</v>
      </c>
      <c r="E643">
        <v>8.7899999999999991</v>
      </c>
      <c r="F643" t="s">
        <v>378</v>
      </c>
    </row>
    <row r="644" spans="2:6" x14ac:dyDescent="0.15">
      <c r="B644" t="s">
        <v>379</v>
      </c>
      <c r="C644">
        <v>-0.02</v>
      </c>
      <c r="D644">
        <v>-8.2100000000000009</v>
      </c>
      <c r="E644">
        <v>-8.19</v>
      </c>
      <c r="F644" t="s">
        <v>520</v>
      </c>
    </row>
    <row r="645" spans="2:6" x14ac:dyDescent="0.15">
      <c r="B645" t="s">
        <v>380</v>
      </c>
      <c r="C645">
        <v>-4.55</v>
      </c>
      <c r="D645">
        <v>3.71</v>
      </c>
      <c r="E645">
        <v>8.26</v>
      </c>
      <c r="F645" t="s">
        <v>381</v>
      </c>
    </row>
    <row r="646" spans="2:6" x14ac:dyDescent="0.15">
      <c r="B646" t="s">
        <v>382</v>
      </c>
      <c r="C646">
        <v>-5.37</v>
      </c>
      <c r="D646">
        <v>-21.4</v>
      </c>
      <c r="E646">
        <v>-16.02</v>
      </c>
      <c r="F646" t="s">
        <v>383</v>
      </c>
    </row>
    <row r="647" spans="2:6" x14ac:dyDescent="0.15">
      <c r="B647" t="s">
        <v>384</v>
      </c>
      <c r="C647">
        <v>-8.7100000000000009</v>
      </c>
      <c r="D647">
        <v>-10.46</v>
      </c>
      <c r="E647">
        <v>-1.76</v>
      </c>
      <c r="F647" t="s">
        <v>385</v>
      </c>
    </row>
    <row r="648" spans="2:6" x14ac:dyDescent="0.15">
      <c r="B648" t="s">
        <v>386</v>
      </c>
      <c r="C648">
        <v>-7.54</v>
      </c>
      <c r="D648">
        <v>9.57</v>
      </c>
      <c r="E648">
        <v>17.100000000000001</v>
      </c>
      <c r="F648" t="s">
        <v>387</v>
      </c>
    </row>
    <row r="649" spans="2:6" x14ac:dyDescent="0.15">
      <c r="B649" t="s">
        <v>388</v>
      </c>
      <c r="C649">
        <v>-5.14</v>
      </c>
      <c r="D649">
        <v>8.24</v>
      </c>
      <c r="E649">
        <v>13.37</v>
      </c>
      <c r="F649" t="s">
        <v>389</v>
      </c>
    </row>
    <row r="650" spans="2:6" x14ac:dyDescent="0.15">
      <c r="B650" t="s">
        <v>477</v>
      </c>
      <c r="C650">
        <v>0.2</v>
      </c>
      <c r="D650">
        <v>-8.2100000000000009</v>
      </c>
      <c r="E650">
        <v>-8.41</v>
      </c>
      <c r="F650" t="s">
        <v>520</v>
      </c>
    </row>
    <row r="651" spans="2:6" x14ac:dyDescent="0.15">
      <c r="B651" t="s">
        <v>390</v>
      </c>
      <c r="C651">
        <v>-2.08</v>
      </c>
      <c r="D651">
        <v>-10.01</v>
      </c>
      <c r="E651">
        <v>-7.93</v>
      </c>
      <c r="F651" t="s">
        <v>390</v>
      </c>
    </row>
    <row r="652" spans="2:6" x14ac:dyDescent="0.15">
      <c r="B652" t="s">
        <v>391</v>
      </c>
      <c r="C652">
        <v>-154.69999999999999</v>
      </c>
      <c r="D652">
        <v>-198.13</v>
      </c>
      <c r="E652">
        <v>-43.43</v>
      </c>
      <c r="F652" t="s">
        <v>392</v>
      </c>
    </row>
    <row r="653" spans="2:6" x14ac:dyDescent="0.15">
      <c r="B653" t="s">
        <v>393</v>
      </c>
      <c r="C653">
        <v>-9.0299999999999994</v>
      </c>
      <c r="D653">
        <v>-11.72</v>
      </c>
      <c r="E653">
        <v>-2.7</v>
      </c>
      <c r="F653" t="s">
        <v>394</v>
      </c>
    </row>
    <row r="654" spans="2:6" x14ac:dyDescent="0.15">
      <c r="B654" t="s">
        <v>295</v>
      </c>
      <c r="C654">
        <v>-4.66</v>
      </c>
      <c r="D654">
        <v>8.43</v>
      </c>
      <c r="E654">
        <v>13.09</v>
      </c>
      <c r="F654" t="s">
        <v>295</v>
      </c>
    </row>
    <row r="655" spans="2:6" x14ac:dyDescent="0.15">
      <c r="B655" t="s">
        <v>395</v>
      </c>
      <c r="C655">
        <v>-0.42</v>
      </c>
      <c r="D655">
        <v>-1.87</v>
      </c>
      <c r="E655">
        <v>-1.45</v>
      </c>
      <c r="F655" t="s">
        <v>395</v>
      </c>
    </row>
    <row r="656" spans="2:6" x14ac:dyDescent="0.15">
      <c r="B656" t="s">
        <v>396</v>
      </c>
      <c r="C656">
        <v>-3.16</v>
      </c>
      <c r="D656">
        <v>-21.34</v>
      </c>
      <c r="E656">
        <v>-18.18</v>
      </c>
      <c r="F656" t="s">
        <v>221</v>
      </c>
    </row>
    <row r="657" spans="2:6" x14ac:dyDescent="0.15">
      <c r="B657" t="s">
        <v>397</v>
      </c>
      <c r="C657">
        <v>14.2</v>
      </c>
      <c r="D657">
        <v>4.7</v>
      </c>
      <c r="E657">
        <v>-9.5</v>
      </c>
      <c r="F657" t="s">
        <v>397</v>
      </c>
    </row>
    <row r="658" spans="2:6" x14ac:dyDescent="0.15">
      <c r="B658" t="s">
        <v>398</v>
      </c>
      <c r="C658">
        <v>-21.53</v>
      </c>
      <c r="D658">
        <v>-12.53</v>
      </c>
      <c r="E658">
        <v>9.01</v>
      </c>
      <c r="F658" t="s">
        <v>398</v>
      </c>
    </row>
    <row r="659" spans="2:6" x14ac:dyDescent="0.15">
      <c r="B659" t="s">
        <v>399</v>
      </c>
      <c r="C659">
        <v>-14.99</v>
      </c>
      <c r="D659">
        <v>-12.53</v>
      </c>
      <c r="E659">
        <v>2.46</v>
      </c>
      <c r="F659" t="s">
        <v>399</v>
      </c>
    </row>
    <row r="660" spans="2:6" x14ac:dyDescent="0.15">
      <c r="B660" t="s">
        <v>259</v>
      </c>
      <c r="C660">
        <v>-3.05</v>
      </c>
      <c r="D660">
        <v>-12.91</v>
      </c>
      <c r="E660">
        <v>-9.86</v>
      </c>
      <c r="F660" t="s">
        <v>259</v>
      </c>
    </row>
    <row r="661" spans="2:6" x14ac:dyDescent="0.15">
      <c r="B661" t="s">
        <v>400</v>
      </c>
      <c r="C661">
        <v>-7.17</v>
      </c>
      <c r="D661">
        <v>-14.71</v>
      </c>
      <c r="E661">
        <v>-7.54</v>
      </c>
      <c r="F661" t="s">
        <v>400</v>
      </c>
    </row>
    <row r="662" spans="2:6" x14ac:dyDescent="0.15">
      <c r="B662" t="s">
        <v>401</v>
      </c>
      <c r="C662">
        <v>-6.14</v>
      </c>
      <c r="D662">
        <v>8.43</v>
      </c>
      <c r="E662">
        <v>14.57</v>
      </c>
      <c r="F662" t="s">
        <v>401</v>
      </c>
    </row>
    <row r="663" spans="2:6" x14ac:dyDescent="0.15">
      <c r="B663" t="s">
        <v>292</v>
      </c>
      <c r="C663">
        <v>-13.92</v>
      </c>
      <c r="D663">
        <v>-10.38</v>
      </c>
      <c r="E663">
        <v>3.54</v>
      </c>
      <c r="F663" t="s">
        <v>292</v>
      </c>
    </row>
    <row r="664" spans="2:6" x14ac:dyDescent="0.15">
      <c r="B664" t="s">
        <v>402</v>
      </c>
      <c r="C664">
        <v>-7.9</v>
      </c>
      <c r="D664">
        <v>-10.38</v>
      </c>
      <c r="E664">
        <v>-2.48</v>
      </c>
      <c r="F664" t="s">
        <v>402</v>
      </c>
    </row>
    <row r="665" spans="2:6" x14ac:dyDescent="0.15">
      <c r="B665" t="s">
        <v>317</v>
      </c>
      <c r="C665">
        <v>-2.1</v>
      </c>
      <c r="D665">
        <v>7.1</v>
      </c>
      <c r="E665">
        <v>9.1999999999999993</v>
      </c>
      <c r="F665" t="s">
        <v>317</v>
      </c>
    </row>
    <row r="666" spans="2:6" x14ac:dyDescent="0.15">
      <c r="B666" t="s">
        <v>403</v>
      </c>
      <c r="C666">
        <v>-7.17</v>
      </c>
      <c r="D666">
        <v>2.76</v>
      </c>
      <c r="E666">
        <v>9.92</v>
      </c>
      <c r="F666" t="s">
        <v>403</v>
      </c>
    </row>
    <row r="667" spans="2:6" x14ac:dyDescent="0.15">
      <c r="B667" t="s">
        <v>133</v>
      </c>
      <c r="C667">
        <v>-41.8</v>
      </c>
      <c r="D667">
        <v>-43.57</v>
      </c>
      <c r="E667">
        <v>-1.77</v>
      </c>
      <c r="F667" t="s">
        <v>133</v>
      </c>
    </row>
    <row r="668" spans="2:6" x14ac:dyDescent="0.15">
      <c r="B668" t="s">
        <v>256</v>
      </c>
      <c r="C668">
        <v>-2.75</v>
      </c>
      <c r="D668">
        <v>-14.25</v>
      </c>
      <c r="E668">
        <v>-11.5</v>
      </c>
      <c r="F668" t="s">
        <v>256</v>
      </c>
    </row>
    <row r="669" spans="2:6" x14ac:dyDescent="0.15">
      <c r="B669" t="s">
        <v>134</v>
      </c>
      <c r="C669">
        <v>-25.05</v>
      </c>
      <c r="D669">
        <v>-34.479999999999997</v>
      </c>
      <c r="E669">
        <v>-9.42</v>
      </c>
      <c r="F669" t="s">
        <v>836</v>
      </c>
    </row>
    <row r="670" spans="2:6" x14ac:dyDescent="0.15">
      <c r="B670" t="s">
        <v>135</v>
      </c>
      <c r="C670">
        <v>-2.86</v>
      </c>
      <c r="D670">
        <v>-16.05</v>
      </c>
      <c r="E670">
        <v>-13.19</v>
      </c>
      <c r="F670" t="s">
        <v>135</v>
      </c>
    </row>
    <row r="671" spans="2:6" x14ac:dyDescent="0.15">
      <c r="B671" t="s">
        <v>136</v>
      </c>
      <c r="C671">
        <v>-16.21</v>
      </c>
      <c r="D671">
        <v>-4.62</v>
      </c>
      <c r="E671">
        <v>11.58</v>
      </c>
      <c r="F671" t="s">
        <v>136</v>
      </c>
    </row>
    <row r="672" spans="2:6" x14ac:dyDescent="0.15">
      <c r="B672" t="s">
        <v>137</v>
      </c>
      <c r="C672">
        <v>-24.5</v>
      </c>
      <c r="D672">
        <v>-24.75</v>
      </c>
      <c r="E672">
        <v>-0.26</v>
      </c>
      <c r="F672" t="s">
        <v>138</v>
      </c>
    </row>
    <row r="673" spans="2:6" x14ac:dyDescent="0.15">
      <c r="B673" t="s">
        <v>319</v>
      </c>
      <c r="C673">
        <v>-15.34</v>
      </c>
      <c r="D673">
        <v>-11.72</v>
      </c>
      <c r="E673">
        <v>3.62</v>
      </c>
      <c r="F673" t="s">
        <v>319</v>
      </c>
    </row>
    <row r="674" spans="2:6" x14ac:dyDescent="0.15">
      <c r="B674" t="s">
        <v>139</v>
      </c>
      <c r="C674">
        <v>-8.32</v>
      </c>
      <c r="D674">
        <v>-10.46</v>
      </c>
      <c r="E674">
        <v>-2.14</v>
      </c>
      <c r="F674" t="s">
        <v>140</v>
      </c>
    </row>
    <row r="675" spans="2:6" x14ac:dyDescent="0.15">
      <c r="B675" t="s">
        <v>141</v>
      </c>
      <c r="C675">
        <v>-1.06</v>
      </c>
      <c r="D675">
        <v>-5.68</v>
      </c>
      <c r="E675">
        <v>-4.62</v>
      </c>
      <c r="F675" t="s">
        <v>142</v>
      </c>
    </row>
    <row r="676" spans="2:6" x14ac:dyDescent="0.15">
      <c r="B676" t="s">
        <v>329</v>
      </c>
      <c r="C676">
        <v>-9.81</v>
      </c>
      <c r="D676">
        <v>-23.15</v>
      </c>
      <c r="E676">
        <v>-13.33</v>
      </c>
      <c r="F676" t="s">
        <v>329</v>
      </c>
    </row>
    <row r="677" spans="2:6" x14ac:dyDescent="0.15">
      <c r="B677" t="s">
        <v>143</v>
      </c>
      <c r="C677">
        <v>-5.9</v>
      </c>
      <c r="D677">
        <v>-4.33</v>
      </c>
      <c r="E677">
        <v>1.57</v>
      </c>
      <c r="F677" t="s">
        <v>144</v>
      </c>
    </row>
    <row r="678" spans="2:6" x14ac:dyDescent="0.15">
      <c r="B678" t="s">
        <v>145</v>
      </c>
      <c r="C678">
        <v>-9.4600000000000009</v>
      </c>
      <c r="D678">
        <v>9.57</v>
      </c>
      <c r="E678">
        <v>19.03</v>
      </c>
      <c r="F678" t="s">
        <v>146</v>
      </c>
    </row>
    <row r="679" spans="2:6" x14ac:dyDescent="0.15">
      <c r="B679" t="s">
        <v>147</v>
      </c>
      <c r="C679">
        <v>-21.36</v>
      </c>
      <c r="D679">
        <v>13.14</v>
      </c>
      <c r="E679">
        <v>34.5</v>
      </c>
      <c r="F679" t="s">
        <v>148</v>
      </c>
    </row>
    <row r="680" spans="2:6" x14ac:dyDescent="0.15">
      <c r="B680" t="s">
        <v>149</v>
      </c>
      <c r="C680">
        <v>-1.1399999999999999</v>
      </c>
      <c r="D680">
        <v>-7.15</v>
      </c>
      <c r="E680">
        <v>-6.01</v>
      </c>
      <c r="F680" t="s">
        <v>150</v>
      </c>
    </row>
    <row r="681" spans="2:6" x14ac:dyDescent="0.15">
      <c r="B681" t="s">
        <v>151</v>
      </c>
      <c r="C681">
        <v>-20.71</v>
      </c>
      <c r="D681">
        <v>-13.86</v>
      </c>
      <c r="E681">
        <v>6.85</v>
      </c>
      <c r="F681" t="s">
        <v>278</v>
      </c>
    </row>
    <row r="682" spans="2:6" x14ac:dyDescent="0.15">
      <c r="B682" t="s">
        <v>152</v>
      </c>
      <c r="C682">
        <v>-4.68</v>
      </c>
      <c r="D682">
        <v>-6.53</v>
      </c>
      <c r="E682">
        <v>-1.85</v>
      </c>
      <c r="F682" t="s">
        <v>153</v>
      </c>
    </row>
    <row r="683" spans="2:6" x14ac:dyDescent="0.15">
      <c r="B683" t="s">
        <v>154</v>
      </c>
      <c r="C683">
        <v>-15.15</v>
      </c>
      <c r="D683">
        <v>-23.15</v>
      </c>
      <c r="E683">
        <v>-8</v>
      </c>
      <c r="F683" t="s">
        <v>154</v>
      </c>
    </row>
    <row r="684" spans="2:6" x14ac:dyDescent="0.15">
      <c r="B684" t="s">
        <v>155</v>
      </c>
      <c r="C684">
        <v>-8.32</v>
      </c>
      <c r="D684">
        <v>-10.58</v>
      </c>
      <c r="E684">
        <v>-2.2599999999999998</v>
      </c>
      <c r="F684" t="s">
        <v>156</v>
      </c>
    </row>
    <row r="685" spans="2:6" x14ac:dyDescent="0.15">
      <c r="B685" t="s">
        <v>157</v>
      </c>
      <c r="C685">
        <v>-16.88</v>
      </c>
      <c r="D685">
        <v>-34</v>
      </c>
      <c r="E685">
        <v>-17.12</v>
      </c>
      <c r="F685" t="s">
        <v>157</v>
      </c>
    </row>
    <row r="686" spans="2:6" x14ac:dyDescent="0.15">
      <c r="B686" t="s">
        <v>158</v>
      </c>
      <c r="C686">
        <v>-12.44</v>
      </c>
      <c r="D686">
        <v>-10.86</v>
      </c>
      <c r="E686">
        <v>1.58</v>
      </c>
      <c r="F686" t="s">
        <v>158</v>
      </c>
    </row>
    <row r="687" spans="2:6" x14ac:dyDescent="0.15">
      <c r="B687" t="s">
        <v>159</v>
      </c>
      <c r="C687">
        <v>-12.08</v>
      </c>
      <c r="D687">
        <v>-10.86</v>
      </c>
      <c r="E687">
        <v>1.22</v>
      </c>
      <c r="F687" t="s">
        <v>159</v>
      </c>
    </row>
    <row r="688" spans="2:6" x14ac:dyDescent="0.15">
      <c r="B688" t="s">
        <v>160</v>
      </c>
      <c r="C688">
        <v>-15.73</v>
      </c>
      <c r="D688">
        <v>-22.86</v>
      </c>
      <c r="E688">
        <v>-7.13</v>
      </c>
      <c r="F688" t="s">
        <v>284</v>
      </c>
    </row>
    <row r="689" spans="2:6" x14ac:dyDescent="0.15">
      <c r="B689" t="s">
        <v>161</v>
      </c>
      <c r="C689">
        <v>-7.13</v>
      </c>
      <c r="D689">
        <v>-9.0500000000000007</v>
      </c>
      <c r="E689">
        <v>-1.92</v>
      </c>
      <c r="F689" t="s">
        <v>162</v>
      </c>
    </row>
    <row r="690" spans="2:6" x14ac:dyDescent="0.15">
      <c r="B690" t="s">
        <v>106</v>
      </c>
      <c r="C690">
        <v>-5.45</v>
      </c>
      <c r="D690">
        <v>8.24</v>
      </c>
      <c r="E690">
        <v>13.68</v>
      </c>
      <c r="F690" t="s">
        <v>106</v>
      </c>
    </row>
    <row r="691" spans="2:6" x14ac:dyDescent="0.15">
      <c r="B691" t="s">
        <v>163</v>
      </c>
      <c r="C691">
        <v>-17.87</v>
      </c>
      <c r="D691">
        <v>14.13</v>
      </c>
      <c r="E691">
        <v>32</v>
      </c>
      <c r="F691" t="s">
        <v>163</v>
      </c>
    </row>
    <row r="692" spans="2:6" x14ac:dyDescent="0.15">
      <c r="B692" t="s">
        <v>258</v>
      </c>
      <c r="C692">
        <v>-6.62</v>
      </c>
      <c r="D692">
        <v>-13.11</v>
      </c>
      <c r="E692">
        <v>-6.48</v>
      </c>
      <c r="F692" t="s">
        <v>258</v>
      </c>
    </row>
    <row r="693" spans="2:6" x14ac:dyDescent="0.15">
      <c r="B693" t="s">
        <v>164</v>
      </c>
      <c r="C693">
        <v>-3.76</v>
      </c>
      <c r="D693">
        <v>-14.91</v>
      </c>
      <c r="E693">
        <v>-11.15</v>
      </c>
      <c r="F693" t="s">
        <v>164</v>
      </c>
    </row>
    <row r="694" spans="2:6" x14ac:dyDescent="0.15">
      <c r="B694" t="s">
        <v>461</v>
      </c>
      <c r="C694">
        <v>0</v>
      </c>
      <c r="D694">
        <v>88.39</v>
      </c>
      <c r="E694">
        <v>88.39</v>
      </c>
      <c r="F694" t="s">
        <v>109</v>
      </c>
    </row>
    <row r="695" spans="2:6" x14ac:dyDescent="0.15">
      <c r="B695" t="s">
        <v>165</v>
      </c>
      <c r="C695">
        <v>-10.86</v>
      </c>
      <c r="D695">
        <v>13.14</v>
      </c>
      <c r="E695">
        <v>24</v>
      </c>
      <c r="F695" t="s">
        <v>166</v>
      </c>
    </row>
    <row r="696" spans="2:6" x14ac:dyDescent="0.15">
      <c r="B696" t="s">
        <v>167</v>
      </c>
      <c r="C696">
        <v>-8.5</v>
      </c>
      <c r="D696">
        <v>-10.58</v>
      </c>
      <c r="E696">
        <v>-2.08</v>
      </c>
      <c r="F696" t="s">
        <v>168</v>
      </c>
    </row>
    <row r="697" spans="2:6" x14ac:dyDescent="0.15">
      <c r="B697" t="s">
        <v>169</v>
      </c>
      <c r="C697">
        <v>-3.14</v>
      </c>
      <c r="D697">
        <v>-12.99</v>
      </c>
      <c r="E697">
        <v>-9.85</v>
      </c>
      <c r="F697" t="s">
        <v>257</v>
      </c>
    </row>
    <row r="698" spans="2:6" x14ac:dyDescent="0.15">
      <c r="B698" t="s">
        <v>170</v>
      </c>
      <c r="C698">
        <v>-1.1499999999999999</v>
      </c>
      <c r="D698">
        <v>7.1</v>
      </c>
      <c r="E698">
        <v>8.25</v>
      </c>
      <c r="F698" t="s">
        <v>171</v>
      </c>
    </row>
    <row r="699" spans="2:6" x14ac:dyDescent="0.15">
      <c r="B699" t="s">
        <v>172</v>
      </c>
      <c r="C699">
        <v>-6.93</v>
      </c>
      <c r="D699">
        <v>-6.53</v>
      </c>
      <c r="E699">
        <v>0.41</v>
      </c>
      <c r="F699" t="s">
        <v>173</v>
      </c>
    </row>
    <row r="700" spans="2:6" x14ac:dyDescent="0.15">
      <c r="B700" t="s">
        <v>174</v>
      </c>
      <c r="C700">
        <v>-9.7899999999999991</v>
      </c>
      <c r="D700">
        <v>-9.0500000000000007</v>
      </c>
      <c r="E700">
        <v>0.73</v>
      </c>
      <c r="F700" t="s">
        <v>175</v>
      </c>
    </row>
    <row r="701" spans="2:6" x14ac:dyDescent="0.15">
      <c r="B701" t="s">
        <v>176</v>
      </c>
      <c r="C701">
        <v>-3.81</v>
      </c>
      <c r="D701">
        <v>8.35</v>
      </c>
      <c r="E701">
        <v>12.17</v>
      </c>
      <c r="F701" t="s">
        <v>177</v>
      </c>
    </row>
    <row r="702" spans="2:6" x14ac:dyDescent="0.15">
      <c r="B702" t="s">
        <v>178</v>
      </c>
      <c r="C702">
        <v>-15.16</v>
      </c>
      <c r="D702">
        <v>-10.46</v>
      </c>
      <c r="E702">
        <v>4.7</v>
      </c>
      <c r="F702" t="s">
        <v>111</v>
      </c>
    </row>
    <row r="703" spans="2:6" x14ac:dyDescent="0.15">
      <c r="B703" t="s">
        <v>179</v>
      </c>
      <c r="C703">
        <v>-17.600000000000001</v>
      </c>
      <c r="D703">
        <v>-14.51</v>
      </c>
      <c r="E703">
        <v>3.09</v>
      </c>
      <c r="F703" t="s">
        <v>179</v>
      </c>
    </row>
    <row r="704" spans="2:6" x14ac:dyDescent="0.15">
      <c r="B704" t="s">
        <v>116</v>
      </c>
      <c r="C704">
        <v>-3.85</v>
      </c>
      <c r="D704">
        <v>8.35</v>
      </c>
      <c r="E704">
        <v>12.2</v>
      </c>
      <c r="F704" t="s">
        <v>116</v>
      </c>
    </row>
    <row r="705" spans="2:6" x14ac:dyDescent="0.15">
      <c r="B705" t="s">
        <v>180</v>
      </c>
      <c r="C705">
        <v>-4.87</v>
      </c>
      <c r="D705">
        <v>8.35</v>
      </c>
      <c r="E705">
        <v>13.22</v>
      </c>
      <c r="F705" t="s">
        <v>116</v>
      </c>
    </row>
    <row r="706" spans="2:6" x14ac:dyDescent="0.15">
      <c r="B706" t="s">
        <v>181</v>
      </c>
      <c r="C706">
        <v>-4.17</v>
      </c>
      <c r="D706">
        <v>8.35</v>
      </c>
      <c r="E706">
        <v>12.53</v>
      </c>
      <c r="F706" t="s">
        <v>116</v>
      </c>
    </row>
    <row r="707" spans="2:6" x14ac:dyDescent="0.15">
      <c r="B707" t="s">
        <v>182</v>
      </c>
      <c r="C707">
        <v>-3.94</v>
      </c>
      <c r="D707">
        <v>8.35</v>
      </c>
      <c r="E707">
        <v>12.29</v>
      </c>
      <c r="F707" t="s">
        <v>116</v>
      </c>
    </row>
    <row r="708" spans="2:6" x14ac:dyDescent="0.15">
      <c r="B708" t="s">
        <v>183</v>
      </c>
      <c r="C708">
        <v>-3.38</v>
      </c>
      <c r="D708">
        <v>8.35</v>
      </c>
      <c r="E708">
        <v>11.73</v>
      </c>
      <c r="F708" t="s">
        <v>116</v>
      </c>
    </row>
    <row r="709" spans="2:6" x14ac:dyDescent="0.15">
      <c r="B709" t="s">
        <v>184</v>
      </c>
      <c r="C709">
        <v>-9.61</v>
      </c>
      <c r="D709">
        <v>-2.11</v>
      </c>
      <c r="E709">
        <v>7.5</v>
      </c>
      <c r="F709" t="s">
        <v>184</v>
      </c>
    </row>
    <row r="710" spans="2:6" x14ac:dyDescent="0.15">
      <c r="B710" t="s">
        <v>185</v>
      </c>
      <c r="C710">
        <v>-8.9600000000000009</v>
      </c>
      <c r="D710">
        <v>6.23</v>
      </c>
      <c r="E710">
        <v>15.19</v>
      </c>
      <c r="F710" t="s">
        <v>185</v>
      </c>
    </row>
    <row r="711" spans="2:6" x14ac:dyDescent="0.15">
      <c r="B711" t="s">
        <v>186</v>
      </c>
      <c r="C711">
        <v>-33.880000000000003</v>
      </c>
      <c r="D711">
        <v>-12.57</v>
      </c>
      <c r="E711">
        <v>21.31</v>
      </c>
      <c r="F711" t="s">
        <v>186</v>
      </c>
    </row>
    <row r="712" spans="2:6" x14ac:dyDescent="0.15">
      <c r="B712" t="s">
        <v>187</v>
      </c>
      <c r="C712">
        <v>-13.8</v>
      </c>
      <c r="D712">
        <v>14.6</v>
      </c>
      <c r="E712">
        <v>28.4</v>
      </c>
      <c r="F712" t="s">
        <v>187</v>
      </c>
    </row>
    <row r="713" spans="2:6" x14ac:dyDescent="0.15">
      <c r="B713" t="s">
        <v>188</v>
      </c>
      <c r="C713">
        <v>-17.690000000000001</v>
      </c>
      <c r="D713">
        <v>20.81</v>
      </c>
      <c r="E713">
        <v>38.5</v>
      </c>
      <c r="F713" t="s">
        <v>188</v>
      </c>
    </row>
    <row r="714" spans="2:6" x14ac:dyDescent="0.15">
      <c r="B714" t="s">
        <v>277</v>
      </c>
      <c r="C714">
        <v>-20.329999999999998</v>
      </c>
      <c r="D714">
        <v>-12.61</v>
      </c>
      <c r="E714">
        <v>7.72</v>
      </c>
      <c r="F714" t="s">
        <v>277</v>
      </c>
    </row>
    <row r="715" spans="2:6" x14ac:dyDescent="0.15">
      <c r="B715" t="s">
        <v>189</v>
      </c>
      <c r="C715">
        <v>-2.73</v>
      </c>
      <c r="D715">
        <v>-12.99</v>
      </c>
      <c r="E715">
        <v>-10.26</v>
      </c>
      <c r="F715" t="s">
        <v>189</v>
      </c>
    </row>
    <row r="716" spans="2:6" x14ac:dyDescent="0.15">
      <c r="B716" t="s">
        <v>190</v>
      </c>
      <c r="C716">
        <v>-63.06</v>
      </c>
      <c r="D716">
        <v>-35.840000000000003</v>
      </c>
      <c r="E716">
        <v>27.21</v>
      </c>
      <c r="F716" t="s">
        <v>847</v>
      </c>
    </row>
    <row r="717" spans="2:6" x14ac:dyDescent="0.15">
      <c r="B717" t="s">
        <v>191</v>
      </c>
      <c r="C717">
        <v>-4.7699999999999996</v>
      </c>
      <c r="D717">
        <v>-14.79</v>
      </c>
      <c r="E717">
        <v>-10.029999999999999</v>
      </c>
      <c r="F717" t="s">
        <v>191</v>
      </c>
    </row>
    <row r="718" spans="2:6" x14ac:dyDescent="0.15">
      <c r="B718" t="s">
        <v>192</v>
      </c>
      <c r="C718">
        <v>-3.66</v>
      </c>
      <c r="D718">
        <v>8.35</v>
      </c>
      <c r="E718">
        <v>12.01</v>
      </c>
      <c r="F718" t="s">
        <v>177</v>
      </c>
    </row>
    <row r="719" spans="2:6" x14ac:dyDescent="0.15">
      <c r="B719" t="s">
        <v>193</v>
      </c>
      <c r="C719">
        <v>-10.23</v>
      </c>
      <c r="D719">
        <v>-10.46</v>
      </c>
      <c r="E719">
        <v>-0.23</v>
      </c>
      <c r="F719" t="s">
        <v>193</v>
      </c>
    </row>
    <row r="722" spans="1:6" x14ac:dyDescent="0.15">
      <c r="A722" t="s">
        <v>441</v>
      </c>
    </row>
    <row r="723" spans="1:6" x14ac:dyDescent="0.15">
      <c r="A723" t="s">
        <v>194</v>
      </c>
      <c r="B723" t="s">
        <v>480</v>
      </c>
      <c r="C723" t="s">
        <v>195</v>
      </c>
    </row>
    <row r="724" spans="1:6" x14ac:dyDescent="0.15">
      <c r="A724" t="s">
        <v>441</v>
      </c>
    </row>
    <row r="726" spans="1:6" x14ac:dyDescent="0.15">
      <c r="A726" t="s">
        <v>451</v>
      </c>
    </row>
    <row r="727" spans="1:6" x14ac:dyDescent="0.15">
      <c r="A727" t="s">
        <v>442</v>
      </c>
      <c r="B727" t="s">
        <v>452</v>
      </c>
      <c r="C727" t="s">
        <v>443</v>
      </c>
      <c r="D727" t="s">
        <v>453</v>
      </c>
      <c r="E727" t="s">
        <v>454</v>
      </c>
      <c r="F727">
        <v>2</v>
      </c>
    </row>
    <row r="728" spans="1:6" x14ac:dyDescent="0.15">
      <c r="A728" t="s">
        <v>451</v>
      </c>
    </row>
    <row r="730" spans="1:6" x14ac:dyDescent="0.15">
      <c r="A730" t="s">
        <v>196</v>
      </c>
    </row>
    <row r="731" spans="1:6" x14ac:dyDescent="0.15">
      <c r="A731" t="s">
        <v>194</v>
      </c>
      <c r="B731" t="s">
        <v>480</v>
      </c>
      <c r="C731" t="s">
        <v>197</v>
      </c>
      <c r="D731" t="s">
        <v>198</v>
      </c>
      <c r="E731">
        <v>0.6</v>
      </c>
      <c r="F731" t="s">
        <v>199</v>
      </c>
    </row>
    <row r="732" spans="1:6" x14ac:dyDescent="0.15">
      <c r="A732" t="s">
        <v>196</v>
      </c>
    </row>
  </sheetData>
  <phoneticPr fontId="8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K1513"/>
  <sheetViews>
    <sheetView topLeftCell="A58" workbookViewId="0">
      <selection activeCell="I19" sqref="I19"/>
    </sheetView>
  </sheetViews>
  <sheetFormatPr baseColWidth="10" defaultRowHeight="13" x14ac:dyDescent="0.15"/>
  <cols>
    <col min="2" max="2" width="14.83203125" customWidth="1"/>
    <col min="11" max="11" width="11.6640625" bestFit="1" customWidth="1"/>
  </cols>
  <sheetData>
    <row r="1" spans="1:6" x14ac:dyDescent="0.15">
      <c r="B1" t="s">
        <v>430</v>
      </c>
      <c r="C1" t="s">
        <v>431</v>
      </c>
      <c r="D1" t="s">
        <v>432</v>
      </c>
      <c r="E1" t="s">
        <v>433</v>
      </c>
      <c r="F1" t="s">
        <v>434</v>
      </c>
    </row>
    <row r="2" spans="1:6" x14ac:dyDescent="0.15">
      <c r="D2" t="s">
        <v>435</v>
      </c>
      <c r="E2" t="s">
        <v>200</v>
      </c>
    </row>
    <row r="3" spans="1:6" x14ac:dyDescent="0.15">
      <c r="B3" t="s">
        <v>437</v>
      </c>
      <c r="C3" t="s">
        <v>431</v>
      </c>
      <c r="D3" t="s">
        <v>201</v>
      </c>
    </row>
    <row r="4" spans="1:6" x14ac:dyDescent="0.15">
      <c r="A4" t="s">
        <v>439</v>
      </c>
      <c r="B4" t="s">
        <v>431</v>
      </c>
      <c r="C4" t="s">
        <v>432</v>
      </c>
      <c r="D4" t="s">
        <v>433</v>
      </c>
      <c r="E4" t="s">
        <v>434</v>
      </c>
      <c r="F4" t="s">
        <v>435</v>
      </c>
    </row>
    <row r="5" spans="1:6" x14ac:dyDescent="0.15">
      <c r="E5" t="s">
        <v>440</v>
      </c>
    </row>
    <row r="6" spans="1:6" x14ac:dyDescent="0.15">
      <c r="A6" t="s">
        <v>441</v>
      </c>
    </row>
    <row r="7" spans="1:6" x14ac:dyDescent="0.15">
      <c r="A7" t="s">
        <v>442</v>
      </c>
      <c r="B7" t="s">
        <v>443</v>
      </c>
      <c r="C7" t="s">
        <v>444</v>
      </c>
    </row>
    <row r="8" spans="1:6" x14ac:dyDescent="0.15">
      <c r="A8" t="s">
        <v>441</v>
      </c>
    </row>
    <row r="10" spans="1:6" x14ac:dyDescent="0.15">
      <c r="B10" t="s">
        <v>445</v>
      </c>
    </row>
    <row r="11" spans="1:6" x14ac:dyDescent="0.15">
      <c r="B11" t="s">
        <v>446</v>
      </c>
    </row>
    <row r="12" spans="1:6" x14ac:dyDescent="0.15">
      <c r="B12" t="s">
        <v>446</v>
      </c>
    </row>
    <row r="13" spans="1:6" x14ac:dyDescent="0.15">
      <c r="B13" t="s">
        <v>447</v>
      </c>
    </row>
    <row r="14" spans="1:6" x14ac:dyDescent="0.15">
      <c r="B14" t="s">
        <v>447</v>
      </c>
    </row>
    <row r="15" spans="1:6" x14ac:dyDescent="0.15">
      <c r="B15" t="s">
        <v>448</v>
      </c>
    </row>
    <row r="16" spans="1:6" x14ac:dyDescent="0.15">
      <c r="B16" t="s">
        <v>449</v>
      </c>
    </row>
    <row r="17" spans="1:6" x14ac:dyDescent="0.15">
      <c r="B17" t="s">
        <v>450</v>
      </c>
    </row>
    <row r="18" spans="1:6" x14ac:dyDescent="0.15">
      <c r="A18" t="s">
        <v>451</v>
      </c>
    </row>
    <row r="19" spans="1:6" x14ac:dyDescent="0.15">
      <c r="A19" t="s">
        <v>442</v>
      </c>
      <c r="B19" t="s">
        <v>452</v>
      </c>
      <c r="C19" t="s">
        <v>443</v>
      </c>
      <c r="D19" t="s">
        <v>453</v>
      </c>
      <c r="E19" t="s">
        <v>454</v>
      </c>
      <c r="F19">
        <v>1</v>
      </c>
    </row>
    <row r="20" spans="1:6" x14ac:dyDescent="0.15">
      <c r="A20" t="s">
        <v>451</v>
      </c>
    </row>
    <row r="21" spans="1:6" x14ac:dyDescent="0.15">
      <c r="D21" t="s">
        <v>103</v>
      </c>
    </row>
    <row r="22" spans="1:6" x14ac:dyDescent="0.15">
      <c r="B22" t="s">
        <v>455</v>
      </c>
      <c r="C22" t="s">
        <v>432</v>
      </c>
      <c r="D22" t="s">
        <v>433</v>
      </c>
      <c r="E22" t="s">
        <v>102</v>
      </c>
      <c r="F22" t="s">
        <v>435</v>
      </c>
    </row>
    <row r="23" spans="1:6" x14ac:dyDescent="0.15">
      <c r="B23" t="s">
        <v>456</v>
      </c>
      <c r="C23">
        <v>1</v>
      </c>
      <c r="D23" t="s">
        <v>202</v>
      </c>
      <c r="E23" t="s">
        <v>458</v>
      </c>
    </row>
    <row r="24" spans="1:6" x14ac:dyDescent="0.15">
      <c r="B24" t="s">
        <v>459</v>
      </c>
      <c r="C24">
        <v>10</v>
      </c>
    </row>
    <row r="25" spans="1:6" x14ac:dyDescent="0.15">
      <c r="B25" t="s">
        <v>698</v>
      </c>
      <c r="C25">
        <v>8.1</v>
      </c>
    </row>
    <row r="26" spans="1:6" x14ac:dyDescent="0.15">
      <c r="B26" t="s">
        <v>460</v>
      </c>
      <c r="C26">
        <v>4</v>
      </c>
      <c r="D26" t="s">
        <v>461</v>
      </c>
      <c r="E26">
        <v>0</v>
      </c>
    </row>
    <row r="27" spans="1:6" x14ac:dyDescent="0.15">
      <c r="B27" t="s">
        <v>462</v>
      </c>
      <c r="C27" t="s">
        <v>460</v>
      </c>
    </row>
    <row r="28" spans="1:6" x14ac:dyDescent="0.15">
      <c r="B28" t="s">
        <v>463</v>
      </c>
      <c r="C28" t="s">
        <v>464</v>
      </c>
    </row>
    <row r="29" spans="1:6" x14ac:dyDescent="0.15">
      <c r="B29" t="s">
        <v>465</v>
      </c>
      <c r="C29">
        <v>1</v>
      </c>
    </row>
    <row r="30" spans="1:6" x14ac:dyDescent="0.15">
      <c r="B30" t="s">
        <v>466</v>
      </c>
      <c r="C30">
        <v>2E-3</v>
      </c>
      <c r="D30" t="s">
        <v>467</v>
      </c>
    </row>
    <row r="31" spans="1:6" x14ac:dyDescent="0.15">
      <c r="B31" t="s">
        <v>664</v>
      </c>
      <c r="C31">
        <v>154</v>
      </c>
    </row>
    <row r="32" spans="1:6" x14ac:dyDescent="0.15">
      <c r="B32" t="s">
        <v>658</v>
      </c>
      <c r="C32">
        <v>100</v>
      </c>
    </row>
    <row r="33" spans="2:5" x14ac:dyDescent="0.15">
      <c r="B33" t="s">
        <v>671</v>
      </c>
      <c r="C33">
        <v>6.3000000000000003E-4</v>
      </c>
    </row>
    <row r="34" spans="2:5" x14ac:dyDescent="0.15">
      <c r="B34" t="s">
        <v>836</v>
      </c>
      <c r="C34">
        <v>8.9999999999999993E-3</v>
      </c>
    </row>
    <row r="35" spans="2:5" x14ac:dyDescent="0.15">
      <c r="B35" t="s">
        <v>837</v>
      </c>
      <c r="C35">
        <v>1.6E-2</v>
      </c>
    </row>
    <row r="36" spans="2:5" x14ac:dyDescent="0.15">
      <c r="B36" t="s">
        <v>468</v>
      </c>
      <c r="C36">
        <v>0.35</v>
      </c>
    </row>
    <row r="37" spans="2:5" x14ac:dyDescent="0.15">
      <c r="B37" t="s">
        <v>469</v>
      </c>
      <c r="C37">
        <v>5.8</v>
      </c>
    </row>
    <row r="38" spans="2:5" x14ac:dyDescent="0.15">
      <c r="B38" t="s">
        <v>667</v>
      </c>
      <c r="C38">
        <v>20</v>
      </c>
      <c r="D38" t="s">
        <v>470</v>
      </c>
    </row>
    <row r="39" spans="2:5" x14ac:dyDescent="0.15">
      <c r="B39" t="s">
        <v>838</v>
      </c>
      <c r="C39">
        <v>6.9999999999999999E-4</v>
      </c>
    </row>
    <row r="40" spans="2:5" x14ac:dyDescent="0.15">
      <c r="B40" t="s">
        <v>471</v>
      </c>
      <c r="C40">
        <v>10</v>
      </c>
    </row>
    <row r="41" spans="2:5" x14ac:dyDescent="0.15">
      <c r="B41" t="s">
        <v>472</v>
      </c>
      <c r="C41">
        <v>350</v>
      </c>
    </row>
    <row r="42" spans="2:5" x14ac:dyDescent="0.15">
      <c r="B42" t="s">
        <v>847</v>
      </c>
      <c r="C42">
        <v>7.0000000000000001E-3</v>
      </c>
    </row>
    <row r="43" spans="2:5" x14ac:dyDescent="0.15">
      <c r="B43" t="s">
        <v>547</v>
      </c>
      <c r="C43">
        <v>0.04</v>
      </c>
    </row>
    <row r="44" spans="2:5" x14ac:dyDescent="0.15">
      <c r="B44" t="s">
        <v>473</v>
      </c>
      <c r="C44">
        <v>1</v>
      </c>
      <c r="D44" t="s">
        <v>474</v>
      </c>
      <c r="E44" t="s">
        <v>475</v>
      </c>
    </row>
    <row r="45" spans="2:5" x14ac:dyDescent="0.15">
      <c r="B45" t="s">
        <v>456</v>
      </c>
      <c r="C45">
        <v>3</v>
      </c>
      <c r="D45" t="s">
        <v>202</v>
      </c>
      <c r="E45" t="s">
        <v>458</v>
      </c>
    </row>
    <row r="46" spans="2:5" x14ac:dyDescent="0.15">
      <c r="B46" t="s">
        <v>459</v>
      </c>
      <c r="C46">
        <v>10</v>
      </c>
    </row>
    <row r="47" spans="2:5" x14ac:dyDescent="0.15">
      <c r="B47" t="s">
        <v>698</v>
      </c>
      <c r="C47">
        <v>8.1</v>
      </c>
    </row>
    <row r="48" spans="2:5" x14ac:dyDescent="0.15">
      <c r="B48" t="s">
        <v>460</v>
      </c>
      <c r="C48">
        <v>4</v>
      </c>
    </row>
    <row r="49" spans="2:5" x14ac:dyDescent="0.15">
      <c r="B49" t="s">
        <v>462</v>
      </c>
      <c r="C49" t="s">
        <v>460</v>
      </c>
    </row>
    <row r="50" spans="2:5" x14ac:dyDescent="0.15">
      <c r="B50" t="s">
        <v>463</v>
      </c>
      <c r="C50" t="s">
        <v>203</v>
      </c>
    </row>
    <row r="51" spans="2:5" x14ac:dyDescent="0.15">
      <c r="B51" t="s">
        <v>465</v>
      </c>
      <c r="C51">
        <v>1</v>
      </c>
    </row>
    <row r="52" spans="2:5" x14ac:dyDescent="0.15">
      <c r="B52" t="s">
        <v>466</v>
      </c>
      <c r="C52">
        <v>2E-3</v>
      </c>
      <c r="D52" t="s">
        <v>467</v>
      </c>
    </row>
    <row r="53" spans="2:5" x14ac:dyDescent="0.15">
      <c r="B53" t="s">
        <v>664</v>
      </c>
      <c r="C53">
        <v>154</v>
      </c>
    </row>
    <row r="54" spans="2:5" x14ac:dyDescent="0.15">
      <c r="B54" t="s">
        <v>658</v>
      </c>
      <c r="C54">
        <v>100</v>
      </c>
    </row>
    <row r="55" spans="2:5" x14ac:dyDescent="0.15">
      <c r="B55" t="s">
        <v>671</v>
      </c>
      <c r="C55">
        <v>6.3000000000000003E-4</v>
      </c>
    </row>
    <row r="56" spans="2:5" x14ac:dyDescent="0.15">
      <c r="B56" t="s">
        <v>836</v>
      </c>
      <c r="C56">
        <v>8.9999999999999993E-3</v>
      </c>
    </row>
    <row r="57" spans="2:5" x14ac:dyDescent="0.15">
      <c r="B57" t="s">
        <v>837</v>
      </c>
      <c r="C57">
        <v>1.6E-2</v>
      </c>
    </row>
    <row r="58" spans="2:5" x14ac:dyDescent="0.15">
      <c r="B58" t="s">
        <v>468</v>
      </c>
      <c r="C58">
        <v>0.35</v>
      </c>
    </row>
    <row r="59" spans="2:5" x14ac:dyDescent="0.15">
      <c r="B59" t="s">
        <v>667</v>
      </c>
      <c r="C59">
        <v>20</v>
      </c>
      <c r="D59" t="s">
        <v>470</v>
      </c>
    </row>
    <row r="60" spans="2:5" x14ac:dyDescent="0.15">
      <c r="B60" t="s">
        <v>838</v>
      </c>
      <c r="C60">
        <v>6.9999999999999999E-4</v>
      </c>
    </row>
    <row r="61" spans="2:5" x14ac:dyDescent="0.15">
      <c r="B61" t="s">
        <v>547</v>
      </c>
      <c r="C61">
        <v>0.04</v>
      </c>
    </row>
    <row r="62" spans="2:5" x14ac:dyDescent="0.15">
      <c r="B62" t="s">
        <v>472</v>
      </c>
      <c r="C62">
        <v>350</v>
      </c>
    </row>
    <row r="63" spans="2:5" x14ac:dyDescent="0.15">
      <c r="B63" t="s">
        <v>847</v>
      </c>
      <c r="C63">
        <v>7.0000000000000001E-3</v>
      </c>
    </row>
    <row r="64" spans="2:5" x14ac:dyDescent="0.15">
      <c r="B64" t="s">
        <v>473</v>
      </c>
      <c r="C64">
        <v>1</v>
      </c>
      <c r="D64" t="s">
        <v>474</v>
      </c>
      <c r="E64" t="s">
        <v>475</v>
      </c>
    </row>
    <row r="65" spans="2:5" x14ac:dyDescent="0.15">
      <c r="B65" t="s">
        <v>456</v>
      </c>
      <c r="C65">
        <v>2</v>
      </c>
      <c r="D65" t="s">
        <v>230</v>
      </c>
    </row>
    <row r="66" spans="2:5" x14ac:dyDescent="0.15">
      <c r="B66" t="s">
        <v>459</v>
      </c>
      <c r="C66">
        <v>10</v>
      </c>
    </row>
    <row r="67" spans="2:5" x14ac:dyDescent="0.15">
      <c r="B67" t="s">
        <v>698</v>
      </c>
      <c r="C67">
        <v>6.8</v>
      </c>
    </row>
    <row r="68" spans="2:5" x14ac:dyDescent="0.15">
      <c r="B68" t="s">
        <v>460</v>
      </c>
      <c r="C68">
        <v>4</v>
      </c>
      <c r="D68" t="s">
        <v>461</v>
      </c>
      <c r="E68">
        <v>0</v>
      </c>
    </row>
    <row r="69" spans="2:5" x14ac:dyDescent="0.15">
      <c r="B69" t="s">
        <v>462</v>
      </c>
      <c r="C69" t="s">
        <v>460</v>
      </c>
    </row>
    <row r="70" spans="2:5" x14ac:dyDescent="0.15">
      <c r="B70" t="s">
        <v>463</v>
      </c>
      <c r="C70" t="s">
        <v>464</v>
      </c>
    </row>
    <row r="71" spans="2:5" x14ac:dyDescent="0.15">
      <c r="B71" t="s">
        <v>465</v>
      </c>
      <c r="C71">
        <v>1</v>
      </c>
    </row>
    <row r="72" spans="2:5" x14ac:dyDescent="0.15">
      <c r="B72" t="s">
        <v>466</v>
      </c>
      <c r="C72">
        <v>5.0000000000000001E-4</v>
      </c>
      <c r="D72" t="s">
        <v>467</v>
      </c>
    </row>
    <row r="73" spans="2:5" x14ac:dyDescent="0.15">
      <c r="B73" t="s">
        <v>664</v>
      </c>
      <c r="C73">
        <v>8</v>
      </c>
    </row>
    <row r="74" spans="2:5" x14ac:dyDescent="0.15">
      <c r="B74" t="s">
        <v>658</v>
      </c>
      <c r="C74">
        <v>5</v>
      </c>
    </row>
    <row r="75" spans="2:5" x14ac:dyDescent="0.15">
      <c r="B75" t="s">
        <v>671</v>
      </c>
      <c r="C75">
        <v>1E-4</v>
      </c>
    </row>
    <row r="76" spans="2:5" x14ac:dyDescent="0.15">
      <c r="B76" t="s">
        <v>836</v>
      </c>
      <c r="C76">
        <v>5.0000000000000001E-4</v>
      </c>
    </row>
    <row r="77" spans="2:5" x14ac:dyDescent="0.15">
      <c r="B77" t="s">
        <v>837</v>
      </c>
      <c r="C77">
        <v>1E-4</v>
      </c>
    </row>
    <row r="78" spans="2:5" x14ac:dyDescent="0.15">
      <c r="B78" t="s">
        <v>468</v>
      </c>
      <c r="C78">
        <v>1E-4</v>
      </c>
    </row>
    <row r="79" spans="2:5" x14ac:dyDescent="0.15">
      <c r="B79" t="s">
        <v>469</v>
      </c>
      <c r="C79">
        <v>0.01</v>
      </c>
    </row>
    <row r="80" spans="2:5" x14ac:dyDescent="0.15">
      <c r="B80" t="s">
        <v>667</v>
      </c>
      <c r="C80">
        <v>20</v>
      </c>
      <c r="D80" t="s">
        <v>470</v>
      </c>
    </row>
    <row r="81" spans="1:5" x14ac:dyDescent="0.15">
      <c r="B81" t="s">
        <v>838</v>
      </c>
      <c r="C81">
        <v>1E-4</v>
      </c>
    </row>
    <row r="82" spans="1:5" x14ac:dyDescent="0.15">
      <c r="B82" t="s">
        <v>471</v>
      </c>
      <c r="C82">
        <v>10</v>
      </c>
    </row>
    <row r="83" spans="1:5" x14ac:dyDescent="0.15">
      <c r="B83" t="s">
        <v>472</v>
      </c>
      <c r="C83">
        <v>1</v>
      </c>
    </row>
    <row r="84" spans="1:5" x14ac:dyDescent="0.15">
      <c r="B84" t="s">
        <v>847</v>
      </c>
      <c r="C84">
        <v>1E-4</v>
      </c>
    </row>
    <row r="85" spans="1:5" x14ac:dyDescent="0.15">
      <c r="B85" t="s">
        <v>473</v>
      </c>
      <c r="C85">
        <v>1</v>
      </c>
      <c r="D85" t="s">
        <v>474</v>
      </c>
      <c r="E85" t="s">
        <v>475</v>
      </c>
    </row>
    <row r="86" spans="1:5" x14ac:dyDescent="0.15">
      <c r="B86" t="s">
        <v>231</v>
      </c>
      <c r="C86">
        <v>1</v>
      </c>
    </row>
    <row r="87" spans="1:5" x14ac:dyDescent="0.15">
      <c r="B87">
        <v>1</v>
      </c>
      <c r="C87">
        <v>0.4</v>
      </c>
    </row>
    <row r="88" spans="1:5" x14ac:dyDescent="0.15">
      <c r="B88">
        <v>2</v>
      </c>
      <c r="C88">
        <v>0.6</v>
      </c>
    </row>
    <row r="89" spans="1:5" x14ac:dyDescent="0.15">
      <c r="A89" t="s">
        <v>478</v>
      </c>
    </row>
    <row r="90" spans="1:5" x14ac:dyDescent="0.15">
      <c r="A90" t="s">
        <v>479</v>
      </c>
      <c r="B90" t="s">
        <v>480</v>
      </c>
      <c r="C90" t="s">
        <v>481</v>
      </c>
      <c r="D90" t="s">
        <v>482</v>
      </c>
      <c r="E90" t="s">
        <v>483</v>
      </c>
    </row>
    <row r="91" spans="1:5" x14ac:dyDescent="0.15">
      <c r="A91" t="s">
        <v>478</v>
      </c>
    </row>
    <row r="93" spans="1:5" x14ac:dyDescent="0.15">
      <c r="A93" t="s">
        <v>484</v>
      </c>
      <c r="B93" t="s">
        <v>482</v>
      </c>
      <c r="C93">
        <v>1</v>
      </c>
      <c r="D93" t="s">
        <v>202</v>
      </c>
      <c r="E93" t="s">
        <v>458</v>
      </c>
    </row>
    <row r="95" spans="1:5" x14ac:dyDescent="0.15">
      <c r="A95" t="e">
        <f>-----------------------------Solution</f>
        <v>#NAME?</v>
      </c>
      <c r="B95" t="s">
        <v>204</v>
      </c>
    </row>
    <row r="97" spans="2:6" x14ac:dyDescent="0.15">
      <c r="B97" t="s">
        <v>205</v>
      </c>
      <c r="C97" t="s">
        <v>206</v>
      </c>
      <c r="D97" t="s">
        <v>207</v>
      </c>
    </row>
    <row r="99" spans="2:6" x14ac:dyDescent="0.15">
      <c r="B99" t="s">
        <v>466</v>
      </c>
      <c r="C99" s="169">
        <v>2E-3</v>
      </c>
      <c r="D99" s="169">
        <v>2E-3</v>
      </c>
    </row>
    <row r="100" spans="2:6" x14ac:dyDescent="0.15">
      <c r="B100" t="s">
        <v>664</v>
      </c>
      <c r="C100" s="169">
        <v>3.8430000000000001E-3</v>
      </c>
      <c r="D100" s="169">
        <v>3.8430000000000001E-3</v>
      </c>
    </row>
    <row r="101" spans="2:6" x14ac:dyDescent="0.15">
      <c r="B101" t="s">
        <v>658</v>
      </c>
      <c r="C101" s="169">
        <v>2.8210000000000002E-3</v>
      </c>
      <c r="D101" s="169">
        <v>2.8210000000000002E-3</v>
      </c>
    </row>
    <row r="102" spans="2:6" x14ac:dyDescent="0.15">
      <c r="B102" t="s">
        <v>671</v>
      </c>
      <c r="C102" s="169">
        <v>1.069E-8</v>
      </c>
      <c r="D102" s="169">
        <v>1.069E-8</v>
      </c>
    </row>
    <row r="103" spans="2:6" x14ac:dyDescent="0.15">
      <c r="B103" t="s">
        <v>836</v>
      </c>
      <c r="C103" s="169">
        <v>1.416E-7</v>
      </c>
      <c r="D103" s="169">
        <v>1.416E-7</v>
      </c>
    </row>
    <row r="104" spans="2:6" x14ac:dyDescent="0.15">
      <c r="B104" t="s">
        <v>837</v>
      </c>
      <c r="C104" s="169">
        <v>1.6680000000000001E-7</v>
      </c>
      <c r="D104" s="169">
        <v>1.6680000000000001E-7</v>
      </c>
    </row>
    <row r="105" spans="2:6" x14ac:dyDescent="0.15">
      <c r="B105" t="s">
        <v>468</v>
      </c>
      <c r="C105" s="169">
        <v>2.499E-5</v>
      </c>
      <c r="D105" s="169">
        <v>2.499E-5</v>
      </c>
    </row>
    <row r="106" spans="2:6" x14ac:dyDescent="0.15">
      <c r="B106" t="s">
        <v>469</v>
      </c>
      <c r="C106" s="169">
        <v>4.1409999999999998E-4</v>
      </c>
      <c r="D106" s="169">
        <v>4.1409999999999998E-4</v>
      </c>
    </row>
    <row r="107" spans="2:6" x14ac:dyDescent="0.15">
      <c r="B107" t="s">
        <v>667</v>
      </c>
      <c r="C107" s="169">
        <v>4.8120000000000003E-3</v>
      </c>
      <c r="D107" s="169">
        <v>4.8120000000000003E-3</v>
      </c>
      <c r="E107" t="s">
        <v>208</v>
      </c>
      <c r="F107" t="s">
        <v>209</v>
      </c>
    </row>
    <row r="108" spans="2:6" x14ac:dyDescent="0.15">
      <c r="B108" t="s">
        <v>838</v>
      </c>
      <c r="C108" s="169">
        <v>1.193E-8</v>
      </c>
      <c r="D108" s="169">
        <v>1.193E-8</v>
      </c>
    </row>
    <row r="109" spans="2:6" x14ac:dyDescent="0.15">
      <c r="B109" t="s">
        <v>471</v>
      </c>
      <c r="C109" s="169">
        <v>6.2500000000000001E-4</v>
      </c>
      <c r="D109" s="169">
        <v>6.2500000000000001E-4</v>
      </c>
    </row>
    <row r="110" spans="2:6" x14ac:dyDescent="0.15">
      <c r="B110" t="s">
        <v>547</v>
      </c>
      <c r="C110" s="169">
        <v>1.291E-6</v>
      </c>
      <c r="D110" s="169">
        <v>1.291E-6</v>
      </c>
    </row>
    <row r="111" spans="2:6" x14ac:dyDescent="0.15">
      <c r="B111" t="s">
        <v>472</v>
      </c>
      <c r="C111" s="169">
        <v>3.643E-3</v>
      </c>
      <c r="D111" s="169">
        <v>3.643E-3</v>
      </c>
    </row>
    <row r="112" spans="2:6" x14ac:dyDescent="0.15">
      <c r="B112" t="s">
        <v>847</v>
      </c>
      <c r="C112" s="169">
        <v>1.071E-7</v>
      </c>
      <c r="D112" s="169">
        <v>1.071E-7</v>
      </c>
    </row>
    <row r="114" spans="1:7" x14ac:dyDescent="0.15">
      <c r="A114" t="e">
        <f>----------------------------Description</f>
        <v>#NAME?</v>
      </c>
      <c r="B114" t="s">
        <v>480</v>
      </c>
      <c r="C114" t="s">
        <v>210</v>
      </c>
    </row>
    <row r="116" spans="1:7" x14ac:dyDescent="0.15">
      <c r="B116" t="s">
        <v>698</v>
      </c>
      <c r="C116" t="s">
        <v>211</v>
      </c>
      <c r="D116">
        <v>8.1</v>
      </c>
    </row>
    <row r="117" spans="1:7" x14ac:dyDescent="0.15">
      <c r="B117" t="s">
        <v>460</v>
      </c>
      <c r="C117" t="s">
        <v>211</v>
      </c>
      <c r="D117">
        <v>13.999000000000001</v>
      </c>
      <c r="E117" t="s">
        <v>212</v>
      </c>
      <c r="F117" t="s">
        <v>213</v>
      </c>
      <c r="G117" t="s">
        <v>461</v>
      </c>
    </row>
    <row r="118" spans="1:7" x14ac:dyDescent="0.15">
      <c r="B118" t="s">
        <v>214</v>
      </c>
      <c r="C118" t="s">
        <v>480</v>
      </c>
      <c r="D118" t="s">
        <v>473</v>
      </c>
      <c r="E118" t="s">
        <v>211</v>
      </c>
      <c r="F118">
        <v>1</v>
      </c>
    </row>
    <row r="119" spans="1:7" x14ac:dyDescent="0.15">
      <c r="B119" t="s">
        <v>215</v>
      </c>
      <c r="C119" t="s">
        <v>216</v>
      </c>
      <c r="D119" t="s">
        <v>211</v>
      </c>
      <c r="E119" s="169">
        <v>1.7160000000000002E-2</v>
      </c>
    </row>
    <row r="120" spans="1:7" x14ac:dyDescent="0.15">
      <c r="B120" t="s">
        <v>217</v>
      </c>
      <c r="C120" t="s">
        <v>473</v>
      </c>
      <c r="D120" t="s">
        <v>218</v>
      </c>
      <c r="E120" t="s">
        <v>211</v>
      </c>
      <c r="F120" s="169">
        <v>1</v>
      </c>
    </row>
    <row r="121" spans="1:7" x14ac:dyDescent="0.15">
      <c r="B121" t="s">
        <v>1228</v>
      </c>
      <c r="C121" t="s">
        <v>219</v>
      </c>
      <c r="D121" t="s">
        <v>220</v>
      </c>
      <c r="E121" t="s">
        <v>211</v>
      </c>
      <c r="F121" s="169">
        <v>2.0019999999999999E-3</v>
      </c>
    </row>
    <row r="122" spans="1:7" x14ac:dyDescent="0.15">
      <c r="B122" t="s">
        <v>1228</v>
      </c>
      <c r="C122" t="s">
        <v>221</v>
      </c>
      <c r="D122" t="s">
        <v>220</v>
      </c>
      <c r="E122" t="s">
        <v>211</v>
      </c>
      <c r="F122" s="169">
        <v>2.0019999999999999E-3</v>
      </c>
    </row>
    <row r="123" spans="1:7" x14ac:dyDescent="0.15">
      <c r="B123" t="s">
        <v>222</v>
      </c>
      <c r="C123" t="s">
        <v>223</v>
      </c>
      <c r="D123" t="s">
        <v>224</v>
      </c>
      <c r="E123" t="s">
        <v>211</v>
      </c>
      <c r="F123">
        <v>10</v>
      </c>
    </row>
    <row r="124" spans="1:7" x14ac:dyDescent="0.15">
      <c r="B124" t="s">
        <v>225</v>
      </c>
      <c r="C124" t="s">
        <v>209</v>
      </c>
      <c r="D124" t="s">
        <v>226</v>
      </c>
      <c r="E124" t="s">
        <v>211</v>
      </c>
      <c r="F124" s="169">
        <v>-4.8789999999999997E-13</v>
      </c>
    </row>
    <row r="125" spans="1:7" x14ac:dyDescent="0.15">
      <c r="B125" t="s">
        <v>227</v>
      </c>
      <c r="C125" t="s">
        <v>228</v>
      </c>
      <c r="D125" t="s">
        <v>229</v>
      </c>
      <c r="E125" t="s">
        <v>211</v>
      </c>
      <c r="F125">
        <v>0</v>
      </c>
    </row>
    <row r="126" spans="1:7" x14ac:dyDescent="0.15">
      <c r="B126" t="s">
        <v>497</v>
      </c>
      <c r="C126" t="s">
        <v>211</v>
      </c>
      <c r="D126">
        <v>10</v>
      </c>
    </row>
    <row r="127" spans="1:7" x14ac:dyDescent="0.15">
      <c r="B127" t="s">
        <v>1228</v>
      </c>
      <c r="C127" t="s">
        <v>498</v>
      </c>
      <c r="D127" t="s">
        <v>211</v>
      </c>
      <c r="E127" s="169">
        <v>111.0158</v>
      </c>
    </row>
    <row r="128" spans="1:7" x14ac:dyDescent="0.15">
      <c r="B128" t="s">
        <v>1228</v>
      </c>
      <c r="C128" t="s">
        <v>499</v>
      </c>
      <c r="D128" t="s">
        <v>211</v>
      </c>
      <c r="E128" s="169">
        <v>55.529290000000003</v>
      </c>
    </row>
    <row r="130" spans="1:7" x14ac:dyDescent="0.15">
      <c r="A130" t="e">
        <f>---------------------------------Redox</f>
        <v>#NAME?</v>
      </c>
      <c r="B130" t="s">
        <v>500</v>
      </c>
    </row>
    <row r="132" spans="1:7" x14ac:dyDescent="0.15">
      <c r="B132" t="s">
        <v>501</v>
      </c>
      <c r="C132" t="s">
        <v>502</v>
      </c>
      <c r="D132" t="s">
        <v>460</v>
      </c>
      <c r="E132" t="s">
        <v>503</v>
      </c>
      <c r="F132" t="s">
        <v>504</v>
      </c>
    </row>
    <row r="134" spans="1:7" x14ac:dyDescent="0.15">
      <c r="B134" t="s">
        <v>505</v>
      </c>
      <c r="C134">
        <v>5.8304</v>
      </c>
      <c r="D134">
        <v>0.3276</v>
      </c>
    </row>
    <row r="135" spans="1:7" x14ac:dyDescent="0.15">
      <c r="B135" t="s">
        <v>506</v>
      </c>
      <c r="C135">
        <v>13.638999999999999</v>
      </c>
      <c r="D135">
        <v>0.76619999999999999</v>
      </c>
    </row>
    <row r="137" spans="1:7" x14ac:dyDescent="0.15">
      <c r="A137" t="e">
        <f>----------------------------Distribution</f>
        <v>#NAME?</v>
      </c>
      <c r="B137" t="s">
        <v>480</v>
      </c>
      <c r="C137" t="s">
        <v>507</v>
      </c>
    </row>
    <row r="139" spans="1:7" x14ac:dyDescent="0.15">
      <c r="B139" t="s">
        <v>508</v>
      </c>
      <c r="C139" t="s">
        <v>508</v>
      </c>
      <c r="D139" t="s">
        <v>508</v>
      </c>
      <c r="E139" t="s">
        <v>509</v>
      </c>
      <c r="F139" t="s">
        <v>548</v>
      </c>
    </row>
    <row r="140" spans="1:7" x14ac:dyDescent="0.15">
      <c r="B140" t="s">
        <v>510</v>
      </c>
      <c r="C140" t="s">
        <v>206</v>
      </c>
      <c r="D140" t="s">
        <v>214</v>
      </c>
      <c r="E140" t="s">
        <v>206</v>
      </c>
      <c r="F140" t="s">
        <v>214</v>
      </c>
      <c r="G140" t="s">
        <v>511</v>
      </c>
    </row>
    <row r="142" spans="1:7" x14ac:dyDescent="0.15">
      <c r="B142" t="s">
        <v>513</v>
      </c>
      <c r="C142" s="169">
        <v>4.3819999999999999E-7</v>
      </c>
      <c r="D142" s="169">
        <v>3.8449999999999998E-7</v>
      </c>
      <c r="E142">
        <v>-6.3579999999999997</v>
      </c>
      <c r="F142">
        <v>-6.415</v>
      </c>
      <c r="G142">
        <v>-5.7000000000000002E-2</v>
      </c>
    </row>
    <row r="143" spans="1:7" x14ac:dyDescent="0.15">
      <c r="B143" t="s">
        <v>514</v>
      </c>
      <c r="C143" s="169">
        <v>9.0180000000000001E-9</v>
      </c>
      <c r="D143" s="169">
        <v>7.9430000000000004E-9</v>
      </c>
      <c r="E143">
        <v>-8.0449999999999999</v>
      </c>
      <c r="F143">
        <v>-8.1</v>
      </c>
      <c r="G143">
        <v>-5.5E-2</v>
      </c>
    </row>
    <row r="144" spans="1:7" x14ac:dyDescent="0.15">
      <c r="B144" t="s">
        <v>515</v>
      </c>
      <c r="C144" s="169">
        <v>55.51</v>
      </c>
      <c r="D144" s="169">
        <v>0.99970000000000003</v>
      </c>
      <c r="E144">
        <v>1.744</v>
      </c>
      <c r="F144">
        <v>0</v>
      </c>
      <c r="G144">
        <v>0</v>
      </c>
    </row>
    <row r="145" spans="1:7" x14ac:dyDescent="0.15">
      <c r="A145" t="s">
        <v>516</v>
      </c>
      <c r="B145" s="169">
        <v>2.0019999999999999E-3</v>
      </c>
    </row>
    <row r="146" spans="1:7" x14ac:dyDescent="0.15">
      <c r="B146" t="s">
        <v>517</v>
      </c>
      <c r="C146" s="169">
        <v>1.8890000000000001E-3</v>
      </c>
      <c r="D146" s="169">
        <v>1.6720000000000001E-3</v>
      </c>
      <c r="E146">
        <v>-2.7240000000000002</v>
      </c>
      <c r="F146">
        <v>-2.7770000000000001</v>
      </c>
      <c r="G146">
        <v>-5.2999999999999999E-2</v>
      </c>
    </row>
    <row r="147" spans="1:7" x14ac:dyDescent="0.15">
      <c r="B147" t="s">
        <v>518</v>
      </c>
      <c r="C147" s="169">
        <v>4.3050000000000003E-5</v>
      </c>
      <c r="D147" s="169">
        <v>3.82E-5</v>
      </c>
      <c r="E147">
        <v>-4.3659999999999997</v>
      </c>
      <c r="F147">
        <v>-4.4180000000000001</v>
      </c>
      <c r="G147">
        <v>-5.1999999999999998E-2</v>
      </c>
    </row>
    <row r="148" spans="1:7" x14ac:dyDescent="0.15">
      <c r="B148" t="s">
        <v>519</v>
      </c>
      <c r="C148" s="169">
        <v>3.6329999999999999E-5</v>
      </c>
      <c r="D148" s="169">
        <v>3.6329999999999999E-5</v>
      </c>
      <c r="E148">
        <v>-4.4400000000000004</v>
      </c>
      <c r="F148">
        <v>-4.4400000000000004</v>
      </c>
      <c r="G148">
        <v>0</v>
      </c>
    </row>
    <row r="149" spans="1:7" x14ac:dyDescent="0.15">
      <c r="B149" t="s">
        <v>520</v>
      </c>
      <c r="C149" s="169">
        <v>1.5299999999999999E-5</v>
      </c>
      <c r="D149" s="169">
        <v>1.5299999999999999E-5</v>
      </c>
      <c r="E149">
        <v>-4.8150000000000004</v>
      </c>
      <c r="F149">
        <v>-4.8150000000000004</v>
      </c>
      <c r="G149">
        <v>0</v>
      </c>
    </row>
    <row r="150" spans="1:7" x14ac:dyDescent="0.15">
      <c r="B150" t="s">
        <v>521</v>
      </c>
      <c r="C150" s="169">
        <v>1.2E-5</v>
      </c>
      <c r="D150" s="169">
        <v>7.2239999999999998E-6</v>
      </c>
      <c r="E150">
        <v>-4.9210000000000003</v>
      </c>
      <c r="F150">
        <v>-5.141</v>
      </c>
      <c r="G150">
        <v>-0.22</v>
      </c>
    </row>
    <row r="151" spans="1:7" x14ac:dyDescent="0.15">
      <c r="B151" t="s">
        <v>522</v>
      </c>
      <c r="C151" s="169">
        <v>5.2889999999999997E-6</v>
      </c>
      <c r="D151" s="169">
        <v>5.2889999999999997E-6</v>
      </c>
      <c r="E151">
        <v>-5.2770000000000001</v>
      </c>
      <c r="F151">
        <v>-5.2770000000000001</v>
      </c>
      <c r="G151">
        <v>0</v>
      </c>
    </row>
    <row r="152" spans="1:7" x14ac:dyDescent="0.15">
      <c r="B152" t="s">
        <v>255</v>
      </c>
      <c r="C152" s="169">
        <v>9.8470000000000008E-7</v>
      </c>
      <c r="D152" s="169">
        <v>8.7160000000000005E-7</v>
      </c>
      <c r="E152">
        <v>-6.0069999999999997</v>
      </c>
      <c r="F152">
        <v>-6.06</v>
      </c>
      <c r="G152">
        <v>-5.2999999999999999E-2</v>
      </c>
    </row>
    <row r="153" spans="1:7" x14ac:dyDescent="0.15">
      <c r="B153" t="s">
        <v>256</v>
      </c>
      <c r="C153" s="169">
        <v>1.2200000000000001E-7</v>
      </c>
      <c r="D153" s="169">
        <v>1.2200000000000001E-7</v>
      </c>
      <c r="E153">
        <v>-6.9139999999999997</v>
      </c>
      <c r="F153">
        <v>-6.9139999999999997</v>
      </c>
      <c r="G153">
        <v>0</v>
      </c>
    </row>
    <row r="154" spans="1:7" x14ac:dyDescent="0.15">
      <c r="B154" t="s">
        <v>257</v>
      </c>
      <c r="C154" s="169">
        <v>1.7380000000000001E-8</v>
      </c>
      <c r="D154" s="169">
        <v>1.7380000000000001E-8</v>
      </c>
      <c r="E154">
        <v>-7.76</v>
      </c>
      <c r="F154">
        <v>-7.76</v>
      </c>
      <c r="G154">
        <v>0</v>
      </c>
    </row>
    <row r="155" spans="1:7" x14ac:dyDescent="0.15">
      <c r="B155" t="s">
        <v>262</v>
      </c>
      <c r="C155" s="169">
        <v>4.3249999999999999E-9</v>
      </c>
      <c r="D155" s="169">
        <v>2.3720000000000001E-9</v>
      </c>
      <c r="E155">
        <v>-8.3640000000000008</v>
      </c>
      <c r="F155">
        <v>-8.625</v>
      </c>
      <c r="G155">
        <v>-0.26100000000000001</v>
      </c>
    </row>
    <row r="156" spans="1:7" x14ac:dyDescent="0.15">
      <c r="B156" t="s">
        <v>263</v>
      </c>
      <c r="C156" s="169">
        <v>1.8800000000000001E-9</v>
      </c>
      <c r="D156" s="169">
        <v>1.618E-9</v>
      </c>
      <c r="E156">
        <v>-8.7260000000000009</v>
      </c>
      <c r="F156">
        <v>-8.7910000000000004</v>
      </c>
      <c r="G156">
        <v>-6.5000000000000002E-2</v>
      </c>
    </row>
    <row r="157" spans="1:7" x14ac:dyDescent="0.15">
      <c r="B157" t="s">
        <v>258</v>
      </c>
      <c r="C157" s="169">
        <v>1.318E-9</v>
      </c>
      <c r="D157" s="169">
        <v>1.318E-9</v>
      </c>
      <c r="E157">
        <v>-8.8800000000000008</v>
      </c>
      <c r="F157">
        <v>-8.8800000000000008</v>
      </c>
      <c r="G157">
        <v>0</v>
      </c>
    </row>
    <row r="158" spans="1:7" x14ac:dyDescent="0.15">
      <c r="B158" t="s">
        <v>260</v>
      </c>
      <c r="C158" s="169">
        <v>8.5730000000000003E-10</v>
      </c>
      <c r="D158" s="169">
        <v>7.3770000000000005E-10</v>
      </c>
      <c r="E158">
        <v>-9.0670000000000002</v>
      </c>
      <c r="F158">
        <v>-9.1319999999999997</v>
      </c>
      <c r="G158">
        <v>-6.5000000000000002E-2</v>
      </c>
    </row>
    <row r="159" spans="1:7" x14ac:dyDescent="0.15">
      <c r="B159" t="s">
        <v>259</v>
      </c>
      <c r="C159" s="169">
        <v>5.4180000000000003E-10</v>
      </c>
      <c r="D159" s="169">
        <v>5.4180000000000003E-10</v>
      </c>
      <c r="E159">
        <v>-9.266</v>
      </c>
      <c r="F159">
        <v>-9.266</v>
      </c>
      <c r="G159">
        <v>0</v>
      </c>
    </row>
    <row r="160" spans="1:7" x14ac:dyDescent="0.15">
      <c r="B160" t="s">
        <v>261</v>
      </c>
      <c r="C160" s="169">
        <v>4.9090000000000003E-10</v>
      </c>
      <c r="D160" s="169">
        <v>4.2240000000000001E-10</v>
      </c>
      <c r="E160">
        <v>-9.3089999999999993</v>
      </c>
      <c r="F160">
        <v>-9.3740000000000006</v>
      </c>
      <c r="G160">
        <v>-6.5000000000000002E-2</v>
      </c>
    </row>
    <row r="161" spans="1:7" x14ac:dyDescent="0.15">
      <c r="B161" t="s">
        <v>264</v>
      </c>
      <c r="C161" s="169">
        <v>2.5729999999999998E-10</v>
      </c>
      <c r="D161" s="169">
        <v>2.2150000000000001E-10</v>
      </c>
      <c r="E161">
        <v>-9.5890000000000004</v>
      </c>
      <c r="F161">
        <v>-9.6549999999999994</v>
      </c>
      <c r="G161">
        <v>-6.5000000000000002E-2</v>
      </c>
    </row>
    <row r="162" spans="1:7" x14ac:dyDescent="0.15">
      <c r="A162" t="s">
        <v>664</v>
      </c>
      <c r="B162" s="169">
        <v>3.8430000000000001E-3</v>
      </c>
    </row>
    <row r="163" spans="1:7" x14ac:dyDescent="0.15">
      <c r="B163" t="s">
        <v>265</v>
      </c>
      <c r="C163" s="169">
        <v>3.1250000000000002E-3</v>
      </c>
      <c r="D163" s="169">
        <v>1.8810000000000001E-3</v>
      </c>
      <c r="E163">
        <v>-2.5049999999999999</v>
      </c>
      <c r="F163">
        <v>-2.726</v>
      </c>
      <c r="G163">
        <v>-0.22</v>
      </c>
    </row>
    <row r="164" spans="1:7" x14ac:dyDescent="0.15">
      <c r="B164" t="s">
        <v>266</v>
      </c>
      <c r="C164" s="169">
        <v>6.5600000000000001E-4</v>
      </c>
      <c r="D164" s="169">
        <v>6.5600000000000001E-4</v>
      </c>
      <c r="E164">
        <v>-3.1829999999999998</v>
      </c>
      <c r="F164">
        <v>-3.1829999999999998</v>
      </c>
      <c r="G164">
        <v>0</v>
      </c>
    </row>
    <row r="165" spans="1:7" x14ac:dyDescent="0.15">
      <c r="B165" t="s">
        <v>518</v>
      </c>
      <c r="C165" s="169">
        <v>4.3050000000000003E-5</v>
      </c>
      <c r="D165" s="169">
        <v>3.82E-5</v>
      </c>
      <c r="E165">
        <v>-4.3659999999999997</v>
      </c>
      <c r="F165">
        <v>-4.4180000000000001</v>
      </c>
      <c r="G165">
        <v>-5.1999999999999998E-2</v>
      </c>
    </row>
    <row r="166" spans="1:7" x14ac:dyDescent="0.15">
      <c r="B166" t="s">
        <v>520</v>
      </c>
      <c r="C166" s="169">
        <v>1.5299999999999999E-5</v>
      </c>
      <c r="D166" s="169">
        <v>1.5299999999999999E-5</v>
      </c>
      <c r="E166">
        <v>-4.8150000000000004</v>
      </c>
      <c r="F166">
        <v>-4.8150000000000004</v>
      </c>
      <c r="G166">
        <v>0</v>
      </c>
    </row>
    <row r="167" spans="1:7" x14ac:dyDescent="0.15">
      <c r="B167" t="s">
        <v>267</v>
      </c>
      <c r="C167" s="169">
        <v>2.8109999999999999E-6</v>
      </c>
      <c r="D167" s="169">
        <v>2.419E-6</v>
      </c>
      <c r="E167">
        <v>-5.5510000000000002</v>
      </c>
      <c r="F167">
        <v>-5.6159999999999997</v>
      </c>
      <c r="G167">
        <v>-6.5000000000000002E-2</v>
      </c>
    </row>
    <row r="168" spans="1:7" x14ac:dyDescent="0.15">
      <c r="B168" t="s">
        <v>232</v>
      </c>
      <c r="C168" s="169">
        <v>3.2049999999999999E-7</v>
      </c>
      <c r="D168" s="169">
        <v>3.2049999999999999E-7</v>
      </c>
      <c r="E168">
        <v>-6.4939999999999998</v>
      </c>
      <c r="F168">
        <v>-6.4939999999999998</v>
      </c>
      <c r="G168">
        <v>0</v>
      </c>
    </row>
    <row r="169" spans="1:7" x14ac:dyDescent="0.15">
      <c r="B169" t="s">
        <v>233</v>
      </c>
      <c r="C169" s="169">
        <v>8.622E-8</v>
      </c>
      <c r="D169" s="169">
        <v>7.631E-8</v>
      </c>
      <c r="E169">
        <v>-7.0640000000000001</v>
      </c>
      <c r="F169">
        <v>-7.117</v>
      </c>
      <c r="G169">
        <v>-5.2999999999999999E-2</v>
      </c>
    </row>
    <row r="170" spans="1:7" x14ac:dyDescent="0.15">
      <c r="B170" t="s">
        <v>269</v>
      </c>
      <c r="C170" s="169">
        <v>1.3620000000000001E-8</v>
      </c>
      <c r="D170" s="169">
        <v>1.2089999999999999E-8</v>
      </c>
      <c r="E170">
        <v>-7.8659999999999997</v>
      </c>
      <c r="F170">
        <v>-7.9180000000000001</v>
      </c>
      <c r="G170">
        <v>-5.1999999999999998E-2</v>
      </c>
    </row>
    <row r="171" spans="1:7" x14ac:dyDescent="0.15">
      <c r="B171" t="s">
        <v>268</v>
      </c>
      <c r="C171" s="169">
        <v>5.5910000000000002E-9</v>
      </c>
      <c r="D171" s="169">
        <v>3.0669999999999999E-9</v>
      </c>
      <c r="E171">
        <v>-8.2520000000000007</v>
      </c>
      <c r="F171">
        <v>-8.5129999999999999</v>
      </c>
      <c r="G171">
        <v>-0.26100000000000001</v>
      </c>
    </row>
    <row r="172" spans="1:7" x14ac:dyDescent="0.15">
      <c r="B172" t="s">
        <v>234</v>
      </c>
      <c r="C172" s="169">
        <v>2.369E-9</v>
      </c>
      <c r="D172" s="169">
        <v>2.0970000000000001E-9</v>
      </c>
      <c r="E172">
        <v>-8.625</v>
      </c>
      <c r="F172">
        <v>-8.6780000000000008</v>
      </c>
      <c r="G172">
        <v>-5.2999999999999999E-2</v>
      </c>
    </row>
    <row r="173" spans="1:7" x14ac:dyDescent="0.15">
      <c r="B173" t="s">
        <v>270</v>
      </c>
      <c r="C173" s="169">
        <v>2.8819999999999999E-15</v>
      </c>
      <c r="D173" s="169">
        <v>1.5810000000000001E-15</v>
      </c>
      <c r="E173">
        <v>-14.54</v>
      </c>
      <c r="F173">
        <v>-14.801</v>
      </c>
      <c r="G173">
        <v>-0.26100000000000001</v>
      </c>
    </row>
    <row r="174" spans="1:7" x14ac:dyDescent="0.15">
      <c r="A174" t="s">
        <v>658</v>
      </c>
      <c r="B174" s="169">
        <v>2.8210000000000002E-3</v>
      </c>
    </row>
    <row r="175" spans="1:7" x14ac:dyDescent="0.15">
      <c r="B175" t="s">
        <v>271</v>
      </c>
      <c r="C175" s="169">
        <v>2.8210000000000002E-3</v>
      </c>
      <c r="D175" s="169">
        <v>2.4849999999999998E-3</v>
      </c>
      <c r="E175">
        <v>-2.5499999999999998</v>
      </c>
      <c r="F175">
        <v>-2.605</v>
      </c>
      <c r="G175">
        <v>-5.5E-2</v>
      </c>
    </row>
    <row r="176" spans="1:7" x14ac:dyDescent="0.15">
      <c r="B176" t="s">
        <v>273</v>
      </c>
      <c r="C176" s="169">
        <v>4.3290000000000003E-10</v>
      </c>
      <c r="D176" s="169">
        <v>4.3290000000000003E-10</v>
      </c>
      <c r="E176">
        <v>-9.3640000000000008</v>
      </c>
      <c r="F176">
        <v>-9.3640000000000008</v>
      </c>
      <c r="G176">
        <v>0</v>
      </c>
    </row>
    <row r="177" spans="2:7" x14ac:dyDescent="0.15">
      <c r="B177" t="s">
        <v>274</v>
      </c>
      <c r="C177" s="169">
        <v>2.6430000000000001E-10</v>
      </c>
      <c r="D177" s="169">
        <v>2.325E-10</v>
      </c>
      <c r="E177">
        <v>-9.5779999999999994</v>
      </c>
      <c r="F177">
        <v>-9.6340000000000003</v>
      </c>
      <c r="G177">
        <v>-5.6000000000000001E-2</v>
      </c>
    </row>
    <row r="178" spans="2:7" x14ac:dyDescent="0.15">
      <c r="B178" t="s">
        <v>272</v>
      </c>
      <c r="C178" s="169">
        <v>4.2460000000000001E-11</v>
      </c>
      <c r="D178" s="169">
        <v>3.6539999999999997E-11</v>
      </c>
      <c r="E178">
        <v>-10.372</v>
      </c>
      <c r="F178">
        <v>-10.436999999999999</v>
      </c>
      <c r="G178">
        <v>-6.5000000000000002E-2</v>
      </c>
    </row>
    <row r="179" spans="2:7" x14ac:dyDescent="0.15">
      <c r="B179" t="s">
        <v>275</v>
      </c>
      <c r="C179" s="169">
        <v>3.4609999999999997E-11</v>
      </c>
      <c r="D179" s="169">
        <v>2.978E-11</v>
      </c>
      <c r="E179">
        <v>-10.461</v>
      </c>
      <c r="F179">
        <v>-10.526</v>
      </c>
      <c r="G179">
        <v>-6.5000000000000002E-2</v>
      </c>
    </row>
    <row r="180" spans="2:7" x14ac:dyDescent="0.15">
      <c r="B180" t="s">
        <v>276</v>
      </c>
      <c r="C180" s="169">
        <v>1.075E-11</v>
      </c>
      <c r="D180" s="169">
        <v>9.4570000000000006E-12</v>
      </c>
      <c r="E180">
        <v>-10.968999999999999</v>
      </c>
      <c r="F180">
        <v>-11.023999999999999</v>
      </c>
      <c r="G180">
        <v>-5.6000000000000001E-2</v>
      </c>
    </row>
    <row r="181" spans="2:7" x14ac:dyDescent="0.15">
      <c r="B181" t="s">
        <v>277</v>
      </c>
      <c r="C181" s="169">
        <v>4.6600000000000003E-13</v>
      </c>
      <c r="D181" s="169">
        <v>4.6600000000000003E-13</v>
      </c>
      <c r="E181">
        <v>-12.332000000000001</v>
      </c>
      <c r="F181">
        <v>-12.332000000000001</v>
      </c>
      <c r="G181">
        <v>0</v>
      </c>
    </row>
    <row r="182" spans="2:7" x14ac:dyDescent="0.15">
      <c r="B182" t="s">
        <v>278</v>
      </c>
      <c r="C182" s="169">
        <v>3.784E-15</v>
      </c>
      <c r="D182" s="169">
        <v>3.784E-15</v>
      </c>
      <c r="E182">
        <v>-14.422000000000001</v>
      </c>
      <c r="F182">
        <v>-14.422000000000001</v>
      </c>
      <c r="G182">
        <v>0</v>
      </c>
    </row>
    <row r="183" spans="2:7" x14ac:dyDescent="0.15">
      <c r="B183" t="s">
        <v>280</v>
      </c>
      <c r="C183" s="169">
        <v>9.806E-16</v>
      </c>
      <c r="D183" s="169">
        <v>8.6259999999999996E-16</v>
      </c>
      <c r="E183">
        <v>-15.007999999999999</v>
      </c>
      <c r="F183">
        <v>-15.064</v>
      </c>
      <c r="G183">
        <v>-5.6000000000000001E-2</v>
      </c>
    </row>
    <row r="184" spans="2:7" x14ac:dyDescent="0.15">
      <c r="B184" t="s">
        <v>279</v>
      </c>
      <c r="C184" s="169">
        <v>3.8879999999999998E-16</v>
      </c>
      <c r="D184" s="169">
        <v>3.8879999999999998E-16</v>
      </c>
      <c r="E184">
        <v>-15.41</v>
      </c>
      <c r="F184">
        <v>-15.41</v>
      </c>
      <c r="G184">
        <v>0</v>
      </c>
    </row>
    <row r="185" spans="2:7" x14ac:dyDescent="0.15">
      <c r="B185" t="s">
        <v>281</v>
      </c>
      <c r="C185" s="169">
        <v>1.5510000000000001E-18</v>
      </c>
      <c r="D185" s="169">
        <v>9.456E-19</v>
      </c>
      <c r="E185">
        <v>-17.809000000000001</v>
      </c>
      <c r="F185">
        <v>-18.024000000000001</v>
      </c>
      <c r="G185">
        <v>-0.215</v>
      </c>
    </row>
    <row r="186" spans="2:7" x14ac:dyDescent="0.15">
      <c r="B186" t="s">
        <v>282</v>
      </c>
      <c r="C186" s="169">
        <v>7.5399999999999999E-20</v>
      </c>
      <c r="D186" s="169">
        <v>6.6330000000000002E-20</v>
      </c>
      <c r="E186">
        <v>-19.123000000000001</v>
      </c>
      <c r="F186">
        <v>-19.178000000000001</v>
      </c>
      <c r="G186">
        <v>-5.6000000000000001E-2</v>
      </c>
    </row>
    <row r="187" spans="2:7" x14ac:dyDescent="0.15">
      <c r="B187" t="s">
        <v>284</v>
      </c>
      <c r="C187" s="169">
        <v>3.8020000000000002E-20</v>
      </c>
      <c r="D187" s="169">
        <v>3.8020000000000002E-20</v>
      </c>
      <c r="E187">
        <v>-19.420000000000002</v>
      </c>
      <c r="F187">
        <v>-19.420000000000002</v>
      </c>
      <c r="G187">
        <v>0</v>
      </c>
    </row>
    <row r="188" spans="2:7" x14ac:dyDescent="0.15">
      <c r="B188" t="s">
        <v>283</v>
      </c>
      <c r="C188" s="169">
        <v>2.3290000000000001E-20</v>
      </c>
      <c r="D188" s="169">
        <v>2.0490000000000001E-20</v>
      </c>
      <c r="E188">
        <v>-19.632999999999999</v>
      </c>
      <c r="F188">
        <v>-19.687999999999999</v>
      </c>
      <c r="G188">
        <v>-5.6000000000000001E-2</v>
      </c>
    </row>
    <row r="189" spans="2:7" x14ac:dyDescent="0.15">
      <c r="B189" t="s">
        <v>285</v>
      </c>
      <c r="C189" s="169">
        <v>1.6799999999999999E-23</v>
      </c>
      <c r="D189" s="169">
        <v>1.024E-23</v>
      </c>
      <c r="E189">
        <v>-22.774999999999999</v>
      </c>
      <c r="F189">
        <v>-22.99</v>
      </c>
      <c r="G189">
        <v>-0.215</v>
      </c>
    </row>
    <row r="190" spans="2:7" x14ac:dyDescent="0.15">
      <c r="B190" t="s">
        <v>286</v>
      </c>
      <c r="C190" s="169">
        <v>2.2980000000000001E-24</v>
      </c>
      <c r="D190" s="169">
        <v>1.4010000000000001E-24</v>
      </c>
      <c r="E190">
        <v>-23.638999999999999</v>
      </c>
      <c r="F190">
        <v>-23.853999999999999</v>
      </c>
      <c r="G190">
        <v>-0.215</v>
      </c>
    </row>
    <row r="191" spans="2:7" x14ac:dyDescent="0.15">
      <c r="B191" t="s">
        <v>287</v>
      </c>
      <c r="C191" s="169">
        <v>1.153E-27</v>
      </c>
      <c r="D191" s="169">
        <v>6.3250000000000004E-28</v>
      </c>
      <c r="E191">
        <v>-26.937999999999999</v>
      </c>
      <c r="F191">
        <v>-27.199000000000002</v>
      </c>
      <c r="G191">
        <v>-0.26100000000000001</v>
      </c>
    </row>
    <row r="192" spans="2:7" x14ac:dyDescent="0.15">
      <c r="B192" t="s">
        <v>288</v>
      </c>
      <c r="C192" s="169">
        <v>4.7030000000000003E-32</v>
      </c>
      <c r="D192" s="169">
        <v>2.58E-32</v>
      </c>
      <c r="E192">
        <v>-31.327999999999999</v>
      </c>
      <c r="F192">
        <v>-31.588000000000001</v>
      </c>
      <c r="G192">
        <v>-0.26100000000000001</v>
      </c>
    </row>
    <row r="193" spans="1:7" x14ac:dyDescent="0.15">
      <c r="B193" t="s">
        <v>289</v>
      </c>
      <c r="C193" s="169">
        <v>0</v>
      </c>
      <c r="D193" s="169">
        <v>0</v>
      </c>
      <c r="E193">
        <v>-43.847000000000001</v>
      </c>
      <c r="F193">
        <v>-44.107999999999997</v>
      </c>
      <c r="G193">
        <v>-0.26100000000000001</v>
      </c>
    </row>
    <row r="194" spans="1:7" x14ac:dyDescent="0.15">
      <c r="A194" t="s">
        <v>290</v>
      </c>
      <c r="B194" s="169">
        <v>1.069E-8</v>
      </c>
    </row>
    <row r="195" spans="1:7" x14ac:dyDescent="0.15">
      <c r="B195" t="s">
        <v>291</v>
      </c>
      <c r="C195" s="169">
        <v>8.09E-9</v>
      </c>
      <c r="D195" s="169">
        <v>4.4370000000000003E-9</v>
      </c>
      <c r="E195">
        <v>-8.0920000000000005</v>
      </c>
      <c r="F195">
        <v>-8.3529999999999998</v>
      </c>
      <c r="G195">
        <v>-0.26100000000000001</v>
      </c>
    </row>
    <row r="196" spans="1:7" x14ac:dyDescent="0.15">
      <c r="B196" t="s">
        <v>292</v>
      </c>
      <c r="C196" s="169">
        <v>1.374E-9</v>
      </c>
      <c r="D196" s="169">
        <v>1.374E-9</v>
      </c>
      <c r="E196">
        <v>-8.8620000000000001</v>
      </c>
      <c r="F196">
        <v>-8.8620000000000001</v>
      </c>
      <c r="G196">
        <v>0</v>
      </c>
    </row>
    <row r="197" spans="1:7" x14ac:dyDescent="0.15">
      <c r="B197" t="s">
        <v>259</v>
      </c>
      <c r="C197" s="169">
        <v>5.4180000000000003E-10</v>
      </c>
      <c r="D197" s="169">
        <v>5.4180000000000003E-10</v>
      </c>
      <c r="E197">
        <v>-9.266</v>
      </c>
      <c r="F197">
        <v>-9.266</v>
      </c>
      <c r="G197">
        <v>0</v>
      </c>
    </row>
    <row r="198" spans="1:7" x14ac:dyDescent="0.15">
      <c r="B198" t="s">
        <v>261</v>
      </c>
      <c r="C198" s="169">
        <v>4.9090000000000003E-10</v>
      </c>
      <c r="D198" s="169">
        <v>4.2240000000000001E-10</v>
      </c>
      <c r="E198">
        <v>-9.3089999999999993</v>
      </c>
      <c r="F198">
        <v>-9.3740000000000006</v>
      </c>
      <c r="G198">
        <v>-6.5000000000000002E-2</v>
      </c>
    </row>
    <row r="199" spans="1:7" x14ac:dyDescent="0.15">
      <c r="B199" t="s">
        <v>293</v>
      </c>
      <c r="C199" s="169">
        <v>1.3040000000000001E-10</v>
      </c>
      <c r="D199" s="169">
        <v>1.122E-10</v>
      </c>
      <c r="E199">
        <v>-9.8849999999999998</v>
      </c>
      <c r="F199">
        <v>-9.9499999999999993</v>
      </c>
      <c r="G199">
        <v>-6.5000000000000002E-2</v>
      </c>
    </row>
    <row r="200" spans="1:7" x14ac:dyDescent="0.15">
      <c r="B200" t="s">
        <v>272</v>
      </c>
      <c r="C200" s="169">
        <v>4.2460000000000001E-11</v>
      </c>
      <c r="D200" s="169">
        <v>3.6539999999999997E-11</v>
      </c>
      <c r="E200">
        <v>-10.372</v>
      </c>
      <c r="F200">
        <v>-10.436999999999999</v>
      </c>
      <c r="G200">
        <v>-6.5000000000000002E-2</v>
      </c>
    </row>
    <row r="201" spans="1:7" x14ac:dyDescent="0.15">
      <c r="B201" t="s">
        <v>295</v>
      </c>
      <c r="C201" s="169">
        <v>1.1290000000000001E-11</v>
      </c>
      <c r="D201" s="169">
        <v>1.1290000000000001E-11</v>
      </c>
      <c r="E201">
        <v>-10.946999999999999</v>
      </c>
      <c r="F201">
        <v>-10.946999999999999</v>
      </c>
      <c r="G201">
        <v>0</v>
      </c>
    </row>
    <row r="202" spans="1:7" x14ac:dyDescent="0.15">
      <c r="B202" t="s">
        <v>294</v>
      </c>
      <c r="C202" s="169">
        <v>5.0510000000000002E-12</v>
      </c>
      <c r="D202" s="169">
        <v>2.7700000000000001E-12</v>
      </c>
      <c r="E202">
        <v>-11.297000000000001</v>
      </c>
      <c r="F202">
        <v>-11.557</v>
      </c>
      <c r="G202">
        <v>-0.26100000000000001</v>
      </c>
    </row>
    <row r="203" spans="1:7" x14ac:dyDescent="0.15">
      <c r="B203" t="s">
        <v>296</v>
      </c>
      <c r="C203" s="169">
        <v>2.9599999999999999E-12</v>
      </c>
      <c r="D203" s="169">
        <v>2.547E-12</v>
      </c>
      <c r="E203">
        <v>-11.529</v>
      </c>
      <c r="F203">
        <v>-11.593999999999999</v>
      </c>
      <c r="G203">
        <v>-6.5000000000000002E-2</v>
      </c>
    </row>
    <row r="204" spans="1:7" x14ac:dyDescent="0.15">
      <c r="B204" t="s">
        <v>235</v>
      </c>
      <c r="C204" s="169">
        <v>1.6920000000000001E-12</v>
      </c>
      <c r="D204" s="169">
        <v>1.6920000000000001E-12</v>
      </c>
      <c r="E204">
        <v>-11.772</v>
      </c>
      <c r="F204">
        <v>-11.772</v>
      </c>
      <c r="G204">
        <v>0</v>
      </c>
    </row>
    <row r="205" spans="1:7" x14ac:dyDescent="0.15">
      <c r="B205" t="s">
        <v>297</v>
      </c>
      <c r="C205" s="169">
        <v>1.8780000000000001E-15</v>
      </c>
      <c r="D205" s="169">
        <v>1.8780000000000001E-15</v>
      </c>
      <c r="E205">
        <v>-14.726000000000001</v>
      </c>
      <c r="F205">
        <v>-14.726000000000001</v>
      </c>
      <c r="G205">
        <v>0</v>
      </c>
    </row>
    <row r="206" spans="1:7" x14ac:dyDescent="0.15">
      <c r="B206" t="s">
        <v>299</v>
      </c>
      <c r="C206" s="169">
        <v>3.3179999999999999E-16</v>
      </c>
      <c r="D206" s="169">
        <v>2.856E-16</v>
      </c>
      <c r="E206">
        <v>-15.478999999999999</v>
      </c>
      <c r="F206">
        <v>-15.544</v>
      </c>
      <c r="G206">
        <v>-6.5000000000000002E-2</v>
      </c>
    </row>
    <row r="207" spans="1:7" x14ac:dyDescent="0.15">
      <c r="B207" t="s">
        <v>298</v>
      </c>
      <c r="C207" s="169">
        <v>6.9560000000000003E-17</v>
      </c>
      <c r="D207" s="169">
        <v>3.8150000000000001E-17</v>
      </c>
      <c r="E207">
        <v>-16.158000000000001</v>
      </c>
      <c r="F207">
        <v>-16.417999999999999</v>
      </c>
      <c r="G207">
        <v>-0.26100000000000001</v>
      </c>
    </row>
    <row r="208" spans="1:7" x14ac:dyDescent="0.15">
      <c r="B208" t="s">
        <v>301</v>
      </c>
      <c r="C208" s="169">
        <v>3.1869999999999999E-19</v>
      </c>
      <c r="D208" s="169">
        <v>2.742E-19</v>
      </c>
      <c r="E208">
        <v>-18.497</v>
      </c>
      <c r="F208">
        <v>-18.562000000000001</v>
      </c>
      <c r="G208">
        <v>-6.5000000000000002E-2</v>
      </c>
    </row>
    <row r="209" spans="1:7" x14ac:dyDescent="0.15">
      <c r="B209" t="s">
        <v>300</v>
      </c>
      <c r="C209" s="169">
        <v>9.638E-20</v>
      </c>
      <c r="D209" s="169">
        <v>2.4950000000000001E-20</v>
      </c>
      <c r="E209">
        <v>-19.015999999999998</v>
      </c>
      <c r="F209">
        <v>-19.603000000000002</v>
      </c>
      <c r="G209">
        <v>-0.58699999999999997</v>
      </c>
    </row>
    <row r="210" spans="1:7" x14ac:dyDescent="0.15">
      <c r="B210" t="s">
        <v>302</v>
      </c>
      <c r="C210" s="169">
        <v>1.1339999999999999E-21</v>
      </c>
      <c r="D210" s="169">
        <v>6.2189999999999996E-22</v>
      </c>
      <c r="E210">
        <v>-20.945</v>
      </c>
      <c r="F210">
        <v>-21.206</v>
      </c>
      <c r="G210">
        <v>-0.26100000000000001</v>
      </c>
    </row>
    <row r="211" spans="1:7" x14ac:dyDescent="0.15">
      <c r="B211" t="s">
        <v>303</v>
      </c>
      <c r="C211" s="169">
        <v>1.046E-22</v>
      </c>
      <c r="D211" s="169">
        <v>5.7349999999999997E-23</v>
      </c>
      <c r="E211">
        <v>-21.981000000000002</v>
      </c>
      <c r="F211">
        <v>-22.241</v>
      </c>
      <c r="G211">
        <v>-0.26100000000000001</v>
      </c>
    </row>
    <row r="212" spans="1:7" x14ac:dyDescent="0.15">
      <c r="B212" t="s">
        <v>304</v>
      </c>
      <c r="C212" s="169">
        <v>7.7060000000000005E-27</v>
      </c>
      <c r="D212" s="169">
        <v>4.2260000000000001E-27</v>
      </c>
      <c r="E212">
        <v>-26.113</v>
      </c>
      <c r="F212">
        <v>-26.373999999999999</v>
      </c>
      <c r="G212">
        <v>-0.26100000000000001</v>
      </c>
    </row>
    <row r="213" spans="1:7" x14ac:dyDescent="0.15">
      <c r="B213" t="s">
        <v>305</v>
      </c>
      <c r="C213" s="169">
        <v>3.4939999999999999E-31</v>
      </c>
      <c r="D213" s="169">
        <v>3.1609999999999999E-32</v>
      </c>
      <c r="E213">
        <v>-30.457000000000001</v>
      </c>
      <c r="F213">
        <v>-31.5</v>
      </c>
      <c r="G213">
        <v>-1.0429999999999999</v>
      </c>
    </row>
    <row r="214" spans="1:7" x14ac:dyDescent="0.15">
      <c r="B214" t="s">
        <v>306</v>
      </c>
      <c r="C214" s="169">
        <v>1.656E-32</v>
      </c>
      <c r="D214" s="169">
        <v>9.0819999999999998E-33</v>
      </c>
      <c r="E214">
        <v>-31.780999999999999</v>
      </c>
      <c r="F214">
        <v>-32.042000000000002</v>
      </c>
      <c r="G214">
        <v>-0.26100000000000001</v>
      </c>
    </row>
    <row r="215" spans="1:7" x14ac:dyDescent="0.15">
      <c r="A215" t="s">
        <v>307</v>
      </c>
      <c r="B215" s="169">
        <v>2.068E-20</v>
      </c>
    </row>
    <row r="216" spans="1:7" x14ac:dyDescent="0.15">
      <c r="B216" t="s">
        <v>308</v>
      </c>
      <c r="C216" s="169">
        <v>2.068E-20</v>
      </c>
      <c r="D216" s="169">
        <v>1.134E-20</v>
      </c>
      <c r="E216">
        <v>-19.684000000000001</v>
      </c>
      <c r="F216">
        <v>-19.945</v>
      </c>
      <c r="G216">
        <v>-0.26100000000000001</v>
      </c>
    </row>
    <row r="217" spans="1:7" x14ac:dyDescent="0.15">
      <c r="B217" t="s">
        <v>309</v>
      </c>
      <c r="C217" s="169">
        <v>5.5169999999999996E-27</v>
      </c>
      <c r="D217" s="169">
        <v>1.7609999999999998E-27</v>
      </c>
      <c r="E217">
        <v>-26.257999999999999</v>
      </c>
      <c r="F217">
        <v>-26.754000000000001</v>
      </c>
      <c r="G217">
        <v>-0.496</v>
      </c>
    </row>
    <row r="218" spans="1:7" x14ac:dyDescent="0.15">
      <c r="B218" t="s">
        <v>287</v>
      </c>
      <c r="C218" s="169">
        <v>1.153E-27</v>
      </c>
      <c r="D218" s="169">
        <v>6.3250000000000004E-28</v>
      </c>
      <c r="E218">
        <v>-26.937999999999999</v>
      </c>
      <c r="F218">
        <v>-27.199000000000002</v>
      </c>
      <c r="G218">
        <v>-0.26100000000000001</v>
      </c>
    </row>
    <row r="219" spans="1:7" x14ac:dyDescent="0.15">
      <c r="B219" t="s">
        <v>288</v>
      </c>
      <c r="C219" s="169">
        <v>4.7030000000000003E-32</v>
      </c>
      <c r="D219" s="169">
        <v>2.58E-32</v>
      </c>
      <c r="E219">
        <v>-31.327999999999999</v>
      </c>
      <c r="F219">
        <v>-31.588000000000001</v>
      </c>
      <c r="G219">
        <v>-0.26100000000000001</v>
      </c>
    </row>
    <row r="220" spans="1:7" x14ac:dyDescent="0.15">
      <c r="B220" t="s">
        <v>310</v>
      </c>
      <c r="C220" s="169">
        <v>3.5380000000000001E-40</v>
      </c>
      <c r="D220" s="169">
        <v>3.044E-40</v>
      </c>
      <c r="E220">
        <v>-39.451000000000001</v>
      </c>
      <c r="F220">
        <v>-39.517000000000003</v>
      </c>
      <c r="G220">
        <v>-6.5000000000000002E-2</v>
      </c>
    </row>
    <row r="221" spans="1:7" x14ac:dyDescent="0.15">
      <c r="B221" t="s">
        <v>311</v>
      </c>
      <c r="C221" s="169">
        <v>0</v>
      </c>
      <c r="D221" s="169">
        <v>0</v>
      </c>
      <c r="E221">
        <v>-41.970999999999997</v>
      </c>
      <c r="F221">
        <v>-42.231999999999999</v>
      </c>
      <c r="G221">
        <v>-0.26100000000000001</v>
      </c>
    </row>
    <row r="222" spans="1:7" x14ac:dyDescent="0.15">
      <c r="B222" t="s">
        <v>289</v>
      </c>
      <c r="C222" s="169">
        <v>0</v>
      </c>
      <c r="D222" s="169">
        <v>0</v>
      </c>
      <c r="E222">
        <v>-43.847000000000001</v>
      </c>
      <c r="F222">
        <v>-44.107999999999997</v>
      </c>
      <c r="G222">
        <v>-0.26100000000000001</v>
      </c>
    </row>
    <row r="223" spans="1:7" x14ac:dyDescent="0.15">
      <c r="A223" t="s">
        <v>312</v>
      </c>
      <c r="B223" s="169">
        <v>7.5450000000000001E-20</v>
      </c>
    </row>
    <row r="224" spans="1:7" x14ac:dyDescent="0.15">
      <c r="B224" t="s">
        <v>284</v>
      </c>
      <c r="C224" s="169">
        <v>3.8020000000000002E-20</v>
      </c>
      <c r="D224" s="169">
        <v>3.8020000000000002E-20</v>
      </c>
      <c r="E224">
        <v>-19.420000000000002</v>
      </c>
      <c r="F224">
        <v>-19.420000000000002</v>
      </c>
      <c r="G224">
        <v>0</v>
      </c>
    </row>
    <row r="225" spans="1:11" x14ac:dyDescent="0.15">
      <c r="B225" t="s">
        <v>283</v>
      </c>
      <c r="C225" s="169">
        <v>2.3290000000000001E-20</v>
      </c>
      <c r="D225" s="169">
        <v>2.0490000000000001E-20</v>
      </c>
      <c r="E225">
        <v>-19.632999999999999</v>
      </c>
      <c r="F225">
        <v>-19.687999999999999</v>
      </c>
      <c r="G225">
        <v>-5.6000000000000001E-2</v>
      </c>
    </row>
    <row r="226" spans="1:11" x14ac:dyDescent="0.15">
      <c r="B226" t="s">
        <v>313</v>
      </c>
      <c r="C226" s="169">
        <v>1.412E-20</v>
      </c>
      <c r="D226" s="169">
        <v>1.215E-20</v>
      </c>
      <c r="E226">
        <v>-19.850000000000001</v>
      </c>
      <c r="F226">
        <v>-19.914999999999999</v>
      </c>
      <c r="G226">
        <v>-6.5000000000000002E-2</v>
      </c>
    </row>
    <row r="227" spans="1:11" x14ac:dyDescent="0.15">
      <c r="B227" t="s">
        <v>285</v>
      </c>
      <c r="C227" s="169">
        <v>1.6799999999999999E-23</v>
      </c>
      <c r="D227" s="169">
        <v>1.024E-23</v>
      </c>
      <c r="E227">
        <v>-22.774999999999999</v>
      </c>
      <c r="F227">
        <v>-22.99</v>
      </c>
      <c r="G227">
        <v>-0.215</v>
      </c>
    </row>
    <row r="228" spans="1:11" x14ac:dyDescent="0.15">
      <c r="A228" t="s">
        <v>314</v>
      </c>
      <c r="B228" s="169">
        <v>1.416E-7</v>
      </c>
      <c r="I228" t="s">
        <v>97</v>
      </c>
      <c r="J228" s="169">
        <v>1.416E-7</v>
      </c>
    </row>
    <row r="229" spans="1:11" x14ac:dyDescent="0.15">
      <c r="B229" t="s">
        <v>256</v>
      </c>
      <c r="C229" s="169">
        <v>1.2200000000000001E-7</v>
      </c>
      <c r="D229" s="169">
        <v>1.2200000000000001E-7</v>
      </c>
      <c r="E229">
        <v>-6.9139999999999997</v>
      </c>
      <c r="F229">
        <v>-6.9139999999999997</v>
      </c>
      <c r="G229">
        <v>0</v>
      </c>
      <c r="I229" t="s">
        <v>256</v>
      </c>
      <c r="J229" s="169">
        <v>1.2200000000000001E-7</v>
      </c>
      <c r="K229" s="17">
        <f>J229/J$228*100</f>
        <v>86.158192090395488</v>
      </c>
    </row>
    <row r="230" spans="1:11" x14ac:dyDescent="0.15">
      <c r="B230" t="s">
        <v>315</v>
      </c>
      <c r="C230" s="169">
        <v>6.0779999999999999E-9</v>
      </c>
      <c r="D230" s="169">
        <v>5.3469999999999998E-9</v>
      </c>
      <c r="E230">
        <v>-8.2159999999999993</v>
      </c>
      <c r="F230">
        <v>-8.2720000000000002</v>
      </c>
      <c r="G230">
        <v>-5.6000000000000001E-2</v>
      </c>
      <c r="I230" t="s">
        <v>315</v>
      </c>
      <c r="J230" s="169">
        <v>6.0779999999999999E-9</v>
      </c>
      <c r="K230" s="17">
        <f t="shared" ref="K230:K232" si="0">J230/J$228*100</f>
        <v>4.2923728813559325</v>
      </c>
    </row>
    <row r="231" spans="1:11" x14ac:dyDescent="0.15">
      <c r="B231" t="s">
        <v>316</v>
      </c>
      <c r="C231" s="169">
        <v>4.7639999999999997E-9</v>
      </c>
      <c r="D231" s="169">
        <v>2.868E-9</v>
      </c>
      <c r="E231">
        <v>-8.3219999999999992</v>
      </c>
      <c r="F231">
        <v>-8.5419999999999998</v>
      </c>
      <c r="G231">
        <v>-0.22</v>
      </c>
      <c r="I231" t="s">
        <v>316</v>
      </c>
      <c r="J231" s="169">
        <v>4.7639999999999997E-9</v>
      </c>
      <c r="K231" s="17">
        <f t="shared" si="0"/>
        <v>3.3644067796610164</v>
      </c>
    </row>
    <row r="232" spans="1:11" x14ac:dyDescent="0.15">
      <c r="B232" t="s">
        <v>262</v>
      </c>
      <c r="C232" s="169">
        <v>4.3249999999999999E-9</v>
      </c>
      <c r="D232" s="169">
        <v>2.3720000000000001E-9</v>
      </c>
      <c r="E232">
        <v>-8.3640000000000008</v>
      </c>
      <c r="F232">
        <v>-8.625</v>
      </c>
      <c r="G232">
        <v>-0.26100000000000001</v>
      </c>
      <c r="I232" t="s">
        <v>262</v>
      </c>
      <c r="J232" s="169">
        <v>4.3249999999999999E-9</v>
      </c>
      <c r="K232" s="17">
        <f t="shared" si="0"/>
        <v>3.0543785310734464</v>
      </c>
    </row>
    <row r="233" spans="1:11" x14ac:dyDescent="0.15">
      <c r="B233" t="s">
        <v>317</v>
      </c>
      <c r="C233" s="169">
        <v>2.9060000000000001E-9</v>
      </c>
      <c r="D233" s="169">
        <v>2.9060000000000001E-9</v>
      </c>
      <c r="E233">
        <v>-8.5370000000000008</v>
      </c>
      <c r="F233">
        <v>-8.5370000000000008</v>
      </c>
      <c r="G233">
        <v>0</v>
      </c>
      <c r="I233" t="s">
        <v>317</v>
      </c>
      <c r="J233" s="169">
        <v>2.9060000000000001E-9</v>
      </c>
    </row>
    <row r="234" spans="1:11" x14ac:dyDescent="0.15">
      <c r="B234" t="s">
        <v>319</v>
      </c>
      <c r="C234" s="169">
        <v>9.664000000000001E-10</v>
      </c>
      <c r="D234" s="169">
        <v>9.664000000000001E-10</v>
      </c>
      <c r="E234">
        <v>-9.0150000000000006</v>
      </c>
      <c r="F234">
        <v>-9.0150000000000006</v>
      </c>
      <c r="G234">
        <v>0</v>
      </c>
      <c r="I234" t="s">
        <v>319</v>
      </c>
      <c r="J234" s="169">
        <v>9.664000000000001E-10</v>
      </c>
    </row>
    <row r="235" spans="1:11" x14ac:dyDescent="0.15">
      <c r="B235" t="s">
        <v>318</v>
      </c>
      <c r="C235" s="169">
        <v>3.2269999999999998E-10</v>
      </c>
      <c r="D235" s="169">
        <v>1.7700000000000001E-10</v>
      </c>
      <c r="E235">
        <v>-9.4909999999999997</v>
      </c>
      <c r="F235">
        <v>-9.7520000000000007</v>
      </c>
      <c r="G235">
        <v>-0.26100000000000001</v>
      </c>
      <c r="I235" t="s">
        <v>318</v>
      </c>
      <c r="J235" s="169">
        <v>3.2269999999999998E-10</v>
      </c>
    </row>
    <row r="236" spans="1:11" x14ac:dyDescent="0.15">
      <c r="B236" t="s">
        <v>264</v>
      </c>
      <c r="C236" s="169">
        <v>2.5729999999999998E-10</v>
      </c>
      <c r="D236" s="169">
        <v>2.2150000000000001E-10</v>
      </c>
      <c r="E236">
        <v>-9.5890000000000004</v>
      </c>
      <c r="F236">
        <v>-9.6549999999999994</v>
      </c>
      <c r="G236">
        <v>-6.5000000000000002E-2</v>
      </c>
      <c r="I236" t="s">
        <v>264</v>
      </c>
      <c r="J236" s="169">
        <v>2.5729999999999998E-10</v>
      </c>
    </row>
    <row r="237" spans="1:11" x14ac:dyDescent="0.15">
      <c r="B237" t="s">
        <v>276</v>
      </c>
      <c r="C237" s="169">
        <v>1.075E-11</v>
      </c>
      <c r="D237" s="169">
        <v>9.4570000000000006E-12</v>
      </c>
      <c r="E237">
        <v>-10.968999999999999</v>
      </c>
      <c r="F237">
        <v>-11.023999999999999</v>
      </c>
      <c r="G237">
        <v>-5.6000000000000001E-2</v>
      </c>
    </row>
    <row r="238" spans="1:11" x14ac:dyDescent="0.15">
      <c r="B238" t="s">
        <v>320</v>
      </c>
      <c r="C238" s="169">
        <v>8.778E-12</v>
      </c>
      <c r="D238" s="169">
        <v>7.5539999999999995E-12</v>
      </c>
      <c r="E238">
        <v>-11.057</v>
      </c>
      <c r="F238">
        <v>-11.122</v>
      </c>
      <c r="G238">
        <v>-6.5000000000000002E-2</v>
      </c>
    </row>
    <row r="239" spans="1:11" x14ac:dyDescent="0.15">
      <c r="B239" t="s">
        <v>321</v>
      </c>
      <c r="C239" s="169">
        <v>4.1670000000000003E-12</v>
      </c>
      <c r="D239" s="169">
        <v>3.5859999999999999E-12</v>
      </c>
      <c r="E239">
        <v>-11.38</v>
      </c>
      <c r="F239">
        <v>-11.445</v>
      </c>
      <c r="G239">
        <v>-6.5000000000000002E-2</v>
      </c>
    </row>
    <row r="240" spans="1:11" x14ac:dyDescent="0.15">
      <c r="B240" t="s">
        <v>322</v>
      </c>
      <c r="C240" s="169">
        <v>1.1769999999999999E-12</v>
      </c>
      <c r="D240" s="169">
        <v>6.4529999999999999E-13</v>
      </c>
      <c r="E240">
        <v>-11.929</v>
      </c>
      <c r="F240">
        <v>-12.19</v>
      </c>
      <c r="G240">
        <v>-0.26100000000000001</v>
      </c>
    </row>
    <row r="241" spans="1:10" x14ac:dyDescent="0.15">
      <c r="B241" t="s">
        <v>278</v>
      </c>
      <c r="C241" s="169">
        <v>3.784E-15</v>
      </c>
      <c r="D241" s="169">
        <v>3.784E-15</v>
      </c>
      <c r="E241">
        <v>-14.422000000000001</v>
      </c>
      <c r="F241">
        <v>-14.422000000000001</v>
      </c>
      <c r="G241">
        <v>0</v>
      </c>
    </row>
    <row r="242" spans="1:10" x14ac:dyDescent="0.15">
      <c r="B242" t="s">
        <v>323</v>
      </c>
      <c r="C242" s="169">
        <v>1.4979999999999999E-16</v>
      </c>
      <c r="D242" s="169">
        <v>1.4979999999999999E-16</v>
      </c>
      <c r="E242">
        <v>-15.824</v>
      </c>
      <c r="F242">
        <v>-15.824</v>
      </c>
      <c r="G242">
        <v>0</v>
      </c>
    </row>
    <row r="243" spans="1:10" x14ac:dyDescent="0.15">
      <c r="B243" t="s">
        <v>324</v>
      </c>
      <c r="C243" s="169">
        <v>1.374E-16</v>
      </c>
      <c r="D243" s="169">
        <v>7.5339999999999995E-17</v>
      </c>
      <c r="E243">
        <v>-15.862</v>
      </c>
      <c r="F243">
        <v>-16.123000000000001</v>
      </c>
      <c r="G243">
        <v>-0.26100000000000001</v>
      </c>
    </row>
    <row r="244" spans="1:10" x14ac:dyDescent="0.15">
      <c r="B244" t="s">
        <v>282</v>
      </c>
      <c r="C244" s="169">
        <v>7.5399999999999999E-20</v>
      </c>
      <c r="D244" s="169">
        <v>6.6330000000000002E-20</v>
      </c>
      <c r="E244">
        <v>-19.123000000000001</v>
      </c>
      <c r="F244">
        <v>-19.178000000000001</v>
      </c>
      <c r="G244">
        <v>-5.6000000000000001E-2</v>
      </c>
    </row>
    <row r="245" spans="1:10" x14ac:dyDescent="0.15">
      <c r="B245" t="s">
        <v>286</v>
      </c>
      <c r="C245" s="169">
        <v>2.2980000000000001E-24</v>
      </c>
      <c r="D245" s="169">
        <v>1.4010000000000001E-24</v>
      </c>
      <c r="E245">
        <v>-23.638999999999999</v>
      </c>
      <c r="F245">
        <v>-23.853999999999999</v>
      </c>
      <c r="G245">
        <v>-0.215</v>
      </c>
    </row>
    <row r="246" spans="1:10" x14ac:dyDescent="0.15">
      <c r="A246" t="s">
        <v>325</v>
      </c>
      <c r="B246" s="169">
        <v>0</v>
      </c>
    </row>
    <row r="247" spans="1:10" x14ac:dyDescent="0.15">
      <c r="B247" t="s">
        <v>326</v>
      </c>
      <c r="C247" s="169">
        <v>0</v>
      </c>
      <c r="D247" s="169">
        <v>0</v>
      </c>
      <c r="E247">
        <v>-47.280999999999999</v>
      </c>
      <c r="F247">
        <v>-47.279000000000003</v>
      </c>
      <c r="G247">
        <v>2E-3</v>
      </c>
    </row>
    <row r="248" spans="1:10" x14ac:dyDescent="0.15">
      <c r="A248" t="s">
        <v>837</v>
      </c>
      <c r="B248" s="169">
        <v>1.6680000000000001E-7</v>
      </c>
    </row>
    <row r="249" spans="1:10" x14ac:dyDescent="0.15">
      <c r="B249" t="s">
        <v>327</v>
      </c>
      <c r="C249" s="169">
        <v>1.6680000000000001E-7</v>
      </c>
      <c r="D249" s="169">
        <v>1.004E-7</v>
      </c>
      <c r="E249">
        <v>-6.7779999999999996</v>
      </c>
      <c r="F249">
        <v>-6.9980000000000002</v>
      </c>
      <c r="G249">
        <v>-0.22</v>
      </c>
    </row>
    <row r="250" spans="1:10" x14ac:dyDescent="0.15">
      <c r="B250" t="s">
        <v>328</v>
      </c>
      <c r="C250" s="169">
        <v>1.2029999999999999E-11</v>
      </c>
      <c r="D250" s="169">
        <v>1.035E-11</v>
      </c>
      <c r="E250">
        <v>-10.92</v>
      </c>
      <c r="F250">
        <v>-10.984999999999999</v>
      </c>
      <c r="G250">
        <v>-6.5000000000000002E-2</v>
      </c>
    </row>
    <row r="251" spans="1:10" x14ac:dyDescent="0.15">
      <c r="B251" t="s">
        <v>329</v>
      </c>
      <c r="C251" s="169">
        <v>1.6089999999999999E-15</v>
      </c>
      <c r="D251" s="169">
        <v>1.6089999999999999E-15</v>
      </c>
      <c r="E251">
        <v>-14.792999999999999</v>
      </c>
      <c r="F251">
        <v>-14.792999999999999</v>
      </c>
      <c r="G251">
        <v>0</v>
      </c>
    </row>
    <row r="252" spans="1:10" x14ac:dyDescent="0.15">
      <c r="B252" t="s">
        <v>330</v>
      </c>
      <c r="C252" s="169">
        <v>0</v>
      </c>
      <c r="D252" s="169">
        <v>0</v>
      </c>
      <c r="E252">
        <v>-56.334000000000003</v>
      </c>
      <c r="F252">
        <v>-58.682000000000002</v>
      </c>
      <c r="G252">
        <v>-2.3479999999999999</v>
      </c>
    </row>
    <row r="253" spans="1:10" x14ac:dyDescent="0.15">
      <c r="B253" t="s">
        <v>331</v>
      </c>
      <c r="C253" s="169">
        <v>0</v>
      </c>
      <c r="D253" s="169">
        <v>0</v>
      </c>
      <c r="E253">
        <v>-58.856999999999999</v>
      </c>
      <c r="F253">
        <v>-60.488</v>
      </c>
      <c r="G253">
        <v>-1.63</v>
      </c>
    </row>
    <row r="254" spans="1:10" x14ac:dyDescent="0.15">
      <c r="B254" t="s">
        <v>332</v>
      </c>
      <c r="C254" s="169">
        <v>0</v>
      </c>
      <c r="D254" s="169">
        <v>0</v>
      </c>
      <c r="E254">
        <v>-62.79</v>
      </c>
      <c r="F254">
        <v>-63.832999999999998</v>
      </c>
      <c r="G254">
        <v>-1.0429999999999999</v>
      </c>
    </row>
    <row r="255" spans="1:10" x14ac:dyDescent="0.15">
      <c r="B255" t="s">
        <v>333</v>
      </c>
      <c r="C255" s="169">
        <v>0</v>
      </c>
      <c r="D255" s="169">
        <v>0</v>
      </c>
      <c r="E255">
        <v>-68.081999999999994</v>
      </c>
      <c r="F255">
        <v>-68.668999999999997</v>
      </c>
      <c r="G255">
        <v>-0.58699999999999997</v>
      </c>
    </row>
    <row r="256" spans="1:10" x14ac:dyDescent="0.15">
      <c r="A256" t="s">
        <v>468</v>
      </c>
      <c r="B256" s="169">
        <v>2.499E-5</v>
      </c>
      <c r="J256" s="169">
        <v>2.499E-5</v>
      </c>
    </row>
    <row r="257" spans="2:11" x14ac:dyDescent="0.15">
      <c r="B257" t="s">
        <v>334</v>
      </c>
      <c r="C257" s="169">
        <v>2.0659999999999999E-5</v>
      </c>
      <c r="D257" s="169">
        <v>1.804E-5</v>
      </c>
      <c r="E257">
        <v>-4.6849999999999996</v>
      </c>
      <c r="F257">
        <v>-4.7439999999999998</v>
      </c>
      <c r="G257">
        <v>-5.8999999999999997E-2</v>
      </c>
      <c r="I257" t="s">
        <v>334</v>
      </c>
      <c r="J257" s="169">
        <v>2.0659999999999999E-5</v>
      </c>
      <c r="K257" s="17">
        <f>J257/J$256*100</f>
        <v>82.673069227691073</v>
      </c>
    </row>
    <row r="258" spans="2:11" x14ac:dyDescent="0.15">
      <c r="B258" t="s">
        <v>335</v>
      </c>
      <c r="C258" s="169">
        <v>3.9339999999999999E-6</v>
      </c>
      <c r="D258" s="169">
        <v>3.9339999999999999E-6</v>
      </c>
      <c r="E258">
        <v>-5.4050000000000002</v>
      </c>
      <c r="F258">
        <v>-5.4050000000000002</v>
      </c>
      <c r="G258">
        <v>0</v>
      </c>
      <c r="I258" t="s">
        <v>335</v>
      </c>
      <c r="J258" s="169">
        <v>3.9339999999999999E-6</v>
      </c>
      <c r="K258" s="17">
        <f t="shared" ref="K258:K259" si="1">J258/J$256*100</f>
        <v>15.742296918767506</v>
      </c>
    </row>
    <row r="259" spans="2:11" x14ac:dyDescent="0.15">
      <c r="B259" t="s">
        <v>336</v>
      </c>
      <c r="C259" s="169">
        <v>3.875E-7</v>
      </c>
      <c r="D259" s="169">
        <v>3.424E-7</v>
      </c>
      <c r="E259">
        <v>-6.4119999999999999</v>
      </c>
      <c r="F259">
        <v>-6.4649999999999999</v>
      </c>
      <c r="G259">
        <v>-5.3999999999999999E-2</v>
      </c>
      <c r="I259" t="s">
        <v>336</v>
      </c>
      <c r="J259" s="169">
        <v>3.875E-7</v>
      </c>
      <c r="K259" s="17">
        <f t="shared" si="1"/>
        <v>1.5506202480992397</v>
      </c>
    </row>
    <row r="260" spans="2:11" x14ac:dyDescent="0.15">
      <c r="B260" t="s">
        <v>268</v>
      </c>
      <c r="C260" s="169">
        <v>5.5910000000000002E-9</v>
      </c>
      <c r="D260" s="169">
        <v>3.0669999999999999E-9</v>
      </c>
      <c r="E260">
        <v>-8.2520000000000007</v>
      </c>
      <c r="F260">
        <v>-8.5129999999999999</v>
      </c>
      <c r="G260">
        <v>-0.26100000000000001</v>
      </c>
    </row>
    <row r="261" spans="2:11" x14ac:dyDescent="0.15">
      <c r="B261" t="s">
        <v>318</v>
      </c>
      <c r="C261" s="169">
        <v>3.2269999999999998E-10</v>
      </c>
      <c r="D261" s="169">
        <v>1.7700000000000001E-10</v>
      </c>
      <c r="E261">
        <v>-9.4909999999999997</v>
      </c>
      <c r="F261">
        <v>-9.7520000000000007</v>
      </c>
      <c r="G261">
        <v>-0.26100000000000001</v>
      </c>
    </row>
    <row r="262" spans="2:11" x14ac:dyDescent="0.15">
      <c r="B262" t="s">
        <v>337</v>
      </c>
      <c r="C262" s="169">
        <v>2.5950000000000002E-11</v>
      </c>
      <c r="D262" s="169">
        <v>1.4230000000000001E-11</v>
      </c>
      <c r="E262">
        <v>-10.586</v>
      </c>
      <c r="F262">
        <v>-10.847</v>
      </c>
      <c r="G262">
        <v>-0.26100000000000001</v>
      </c>
    </row>
    <row r="263" spans="2:11" x14ac:dyDescent="0.15">
      <c r="B263" t="s">
        <v>294</v>
      </c>
      <c r="C263" s="169">
        <v>5.0510000000000002E-12</v>
      </c>
      <c r="D263" s="169">
        <v>2.7700000000000001E-12</v>
      </c>
      <c r="E263">
        <v>-11.297000000000001</v>
      </c>
      <c r="F263">
        <v>-11.557</v>
      </c>
      <c r="G263">
        <v>-0.26100000000000001</v>
      </c>
    </row>
    <row r="264" spans="2:11" x14ac:dyDescent="0.15">
      <c r="B264" t="s">
        <v>338</v>
      </c>
      <c r="C264" s="169">
        <v>1.26E-14</v>
      </c>
      <c r="D264" s="169">
        <v>6.9090000000000001E-15</v>
      </c>
      <c r="E264">
        <v>-13.9</v>
      </c>
      <c r="F264">
        <v>-14.161</v>
      </c>
      <c r="G264">
        <v>-0.26100000000000001</v>
      </c>
    </row>
    <row r="265" spans="2:11" x14ac:dyDescent="0.15">
      <c r="B265" t="s">
        <v>270</v>
      </c>
      <c r="C265" s="169">
        <v>2.8819999999999999E-15</v>
      </c>
      <c r="D265" s="169">
        <v>1.5810000000000001E-15</v>
      </c>
      <c r="E265">
        <v>-14.54</v>
      </c>
      <c r="F265">
        <v>-14.801</v>
      </c>
      <c r="G265">
        <v>-0.26100000000000001</v>
      </c>
    </row>
    <row r="266" spans="2:11" x14ac:dyDescent="0.15">
      <c r="B266" t="s">
        <v>298</v>
      </c>
      <c r="C266" s="169">
        <v>6.9560000000000003E-17</v>
      </c>
      <c r="D266" s="169">
        <v>3.8150000000000001E-17</v>
      </c>
      <c r="E266">
        <v>-16.158000000000001</v>
      </c>
      <c r="F266">
        <v>-16.417999999999999</v>
      </c>
      <c r="G266">
        <v>-0.26100000000000001</v>
      </c>
    </row>
    <row r="267" spans="2:11" x14ac:dyDescent="0.15">
      <c r="B267" t="s">
        <v>302</v>
      </c>
      <c r="C267" s="169">
        <v>1.1339999999999999E-21</v>
      </c>
      <c r="D267" s="169">
        <v>6.2189999999999996E-22</v>
      </c>
      <c r="E267">
        <v>-20.945</v>
      </c>
      <c r="F267">
        <v>-21.206</v>
      </c>
      <c r="G267">
        <v>-0.26100000000000001</v>
      </c>
    </row>
    <row r="268" spans="2:11" x14ac:dyDescent="0.15">
      <c r="B268" t="s">
        <v>304</v>
      </c>
      <c r="C268" s="169">
        <v>7.7060000000000005E-27</v>
      </c>
      <c r="D268" s="169">
        <v>4.2260000000000001E-27</v>
      </c>
      <c r="E268">
        <v>-26.113</v>
      </c>
      <c r="F268">
        <v>-26.373999999999999</v>
      </c>
      <c r="G268">
        <v>-0.26100000000000001</v>
      </c>
    </row>
    <row r="269" spans="2:11" x14ac:dyDescent="0.15">
      <c r="B269" t="s">
        <v>288</v>
      </c>
      <c r="C269" s="169">
        <v>4.7030000000000003E-32</v>
      </c>
      <c r="D269" s="169">
        <v>2.58E-32</v>
      </c>
      <c r="E269">
        <v>-31.327999999999999</v>
      </c>
      <c r="F269">
        <v>-31.588000000000001</v>
      </c>
      <c r="G269">
        <v>-0.26100000000000001</v>
      </c>
    </row>
    <row r="270" spans="2:11" x14ac:dyDescent="0.15">
      <c r="B270" t="s">
        <v>306</v>
      </c>
      <c r="C270" s="169">
        <v>1.656E-32</v>
      </c>
      <c r="D270" s="169">
        <v>9.0819999999999998E-33</v>
      </c>
      <c r="E270">
        <v>-31.780999999999999</v>
      </c>
      <c r="F270">
        <v>-32.042000000000002</v>
      </c>
      <c r="G270">
        <v>-0.26100000000000001</v>
      </c>
    </row>
    <row r="271" spans="2:11" x14ac:dyDescent="0.15">
      <c r="B271" t="s">
        <v>310</v>
      </c>
      <c r="C271" s="169">
        <v>3.5380000000000001E-40</v>
      </c>
      <c r="D271" s="169">
        <v>3.044E-40</v>
      </c>
      <c r="E271">
        <v>-39.451000000000001</v>
      </c>
      <c r="F271">
        <v>-39.517000000000003</v>
      </c>
      <c r="G271">
        <v>-6.5000000000000002E-2</v>
      </c>
    </row>
    <row r="272" spans="2:11" x14ac:dyDescent="0.15">
      <c r="B272" t="s">
        <v>311</v>
      </c>
      <c r="C272" s="169">
        <v>0</v>
      </c>
      <c r="D272" s="169">
        <v>0</v>
      </c>
      <c r="E272">
        <v>-41.970999999999997</v>
      </c>
      <c r="F272">
        <v>-42.231999999999999</v>
      </c>
      <c r="G272">
        <v>-0.26100000000000001</v>
      </c>
    </row>
    <row r="273" spans="1:7" x14ac:dyDescent="0.15">
      <c r="B273" t="s">
        <v>289</v>
      </c>
      <c r="C273" s="169">
        <v>0</v>
      </c>
      <c r="D273" s="169">
        <v>0</v>
      </c>
      <c r="E273">
        <v>-43.847000000000001</v>
      </c>
      <c r="F273">
        <v>-44.107999999999997</v>
      </c>
      <c r="G273">
        <v>-0.26100000000000001</v>
      </c>
    </row>
    <row r="274" spans="1:7" x14ac:dyDescent="0.15">
      <c r="A274" t="s">
        <v>469</v>
      </c>
      <c r="B274" s="169">
        <v>4.1409999999999998E-4</v>
      </c>
    </row>
    <row r="275" spans="1:7" x14ac:dyDescent="0.15">
      <c r="B275" t="s">
        <v>339</v>
      </c>
      <c r="C275" s="169">
        <v>4.1130000000000002E-4</v>
      </c>
      <c r="D275" s="169">
        <v>3.6230000000000002E-4</v>
      </c>
      <c r="E275">
        <v>-3.3860000000000001</v>
      </c>
      <c r="F275">
        <v>-3.4409999999999998</v>
      </c>
      <c r="G275">
        <v>-5.5E-2</v>
      </c>
    </row>
    <row r="276" spans="1:7" x14ac:dyDescent="0.15">
      <c r="B276" t="s">
        <v>267</v>
      </c>
      <c r="C276" s="169">
        <v>2.8109999999999999E-6</v>
      </c>
      <c r="D276" s="169">
        <v>2.419E-6</v>
      </c>
      <c r="E276">
        <v>-5.5510000000000002</v>
      </c>
      <c r="F276">
        <v>-5.6159999999999997</v>
      </c>
      <c r="G276">
        <v>-6.5000000000000002E-2</v>
      </c>
    </row>
    <row r="277" spans="1:7" x14ac:dyDescent="0.15">
      <c r="B277" t="s">
        <v>340</v>
      </c>
      <c r="C277" s="169">
        <v>4.8779999999999999E-11</v>
      </c>
      <c r="D277" s="169">
        <v>4.198E-11</v>
      </c>
      <c r="E277">
        <v>-10.311999999999999</v>
      </c>
      <c r="F277">
        <v>-10.377000000000001</v>
      </c>
      <c r="G277">
        <v>-6.5000000000000002E-2</v>
      </c>
    </row>
    <row r="278" spans="1:7" x14ac:dyDescent="0.15">
      <c r="B278" t="s">
        <v>341</v>
      </c>
      <c r="C278" s="169">
        <v>5.17E-12</v>
      </c>
      <c r="D278" s="169">
        <v>4.4490000000000001E-12</v>
      </c>
      <c r="E278">
        <v>-11.287000000000001</v>
      </c>
      <c r="F278">
        <v>-11.352</v>
      </c>
      <c r="G278">
        <v>-6.5000000000000002E-2</v>
      </c>
    </row>
    <row r="279" spans="1:7" x14ac:dyDescent="0.15">
      <c r="B279" t="s">
        <v>321</v>
      </c>
      <c r="C279" s="169">
        <v>4.1670000000000003E-12</v>
      </c>
      <c r="D279" s="169">
        <v>3.5859999999999999E-12</v>
      </c>
      <c r="E279">
        <v>-11.38</v>
      </c>
      <c r="F279">
        <v>-11.445</v>
      </c>
      <c r="G279">
        <v>-6.5000000000000002E-2</v>
      </c>
    </row>
    <row r="280" spans="1:7" x14ac:dyDescent="0.15">
      <c r="B280" t="s">
        <v>296</v>
      </c>
      <c r="C280" s="169">
        <v>2.9599999999999999E-12</v>
      </c>
      <c r="D280" s="169">
        <v>2.547E-12</v>
      </c>
      <c r="E280">
        <v>-11.529</v>
      </c>
      <c r="F280">
        <v>-11.593999999999999</v>
      </c>
      <c r="G280">
        <v>-6.5000000000000002E-2</v>
      </c>
    </row>
    <row r="281" spans="1:7" x14ac:dyDescent="0.15">
      <c r="B281" t="s">
        <v>342</v>
      </c>
      <c r="C281" s="169">
        <v>2.7500000000000001E-15</v>
      </c>
      <c r="D281" s="169">
        <v>2.7500000000000001E-15</v>
      </c>
      <c r="E281">
        <v>-14.561</v>
      </c>
      <c r="F281">
        <v>-14.561</v>
      </c>
      <c r="G281">
        <v>0</v>
      </c>
    </row>
    <row r="282" spans="1:7" x14ac:dyDescent="0.15">
      <c r="B282" t="s">
        <v>297</v>
      </c>
      <c r="C282" s="169">
        <v>1.8780000000000001E-15</v>
      </c>
      <c r="D282" s="169">
        <v>1.8780000000000001E-15</v>
      </c>
      <c r="E282">
        <v>-14.726000000000001</v>
      </c>
      <c r="F282">
        <v>-14.726000000000001</v>
      </c>
      <c r="G282">
        <v>0</v>
      </c>
    </row>
    <row r="283" spans="1:7" x14ac:dyDescent="0.15">
      <c r="B283" t="s">
        <v>323</v>
      </c>
      <c r="C283" s="169">
        <v>1.4979999999999999E-16</v>
      </c>
      <c r="D283" s="169">
        <v>1.4979999999999999E-16</v>
      </c>
      <c r="E283">
        <v>-15.824</v>
      </c>
      <c r="F283">
        <v>-15.824</v>
      </c>
      <c r="G283">
        <v>0</v>
      </c>
    </row>
    <row r="284" spans="1:7" x14ac:dyDescent="0.15">
      <c r="A284" t="s">
        <v>667</v>
      </c>
      <c r="B284" s="169">
        <v>4.8120000000000003E-3</v>
      </c>
    </row>
    <row r="285" spans="1:7" x14ac:dyDescent="0.15">
      <c r="B285" t="s">
        <v>343</v>
      </c>
      <c r="C285" s="169">
        <v>4.7619999999999997E-3</v>
      </c>
      <c r="D285" s="169">
        <v>4.1949999999999999E-3</v>
      </c>
      <c r="E285">
        <v>-2.3220000000000001</v>
      </c>
      <c r="F285">
        <v>-2.3769999999999998</v>
      </c>
      <c r="G285">
        <v>-5.5E-2</v>
      </c>
    </row>
    <row r="286" spans="1:7" x14ac:dyDescent="0.15">
      <c r="B286" t="s">
        <v>344</v>
      </c>
      <c r="C286" s="169">
        <v>4.4129999999999999E-5</v>
      </c>
      <c r="D286" s="169">
        <v>3.9060000000000002E-5</v>
      </c>
      <c r="E286">
        <v>-4.3550000000000004</v>
      </c>
      <c r="F286">
        <v>-4.4080000000000004</v>
      </c>
      <c r="G286">
        <v>-5.2999999999999999E-2</v>
      </c>
    </row>
    <row r="287" spans="1:7" x14ac:dyDescent="0.15">
      <c r="B287" t="s">
        <v>522</v>
      </c>
      <c r="C287" s="169">
        <v>5.2889999999999997E-6</v>
      </c>
      <c r="D287" s="169">
        <v>5.2889999999999997E-6</v>
      </c>
      <c r="E287">
        <v>-5.2770000000000001</v>
      </c>
      <c r="F287">
        <v>-5.2770000000000001</v>
      </c>
      <c r="G287">
        <v>0</v>
      </c>
    </row>
    <row r="288" spans="1:7" x14ac:dyDescent="0.15">
      <c r="B288" t="s">
        <v>255</v>
      </c>
      <c r="C288" s="169">
        <v>9.8470000000000008E-7</v>
      </c>
      <c r="D288" s="169">
        <v>8.7160000000000005E-7</v>
      </c>
      <c r="E288">
        <v>-6.0069999999999997</v>
      </c>
      <c r="F288">
        <v>-6.06</v>
      </c>
      <c r="G288">
        <v>-5.2999999999999999E-2</v>
      </c>
    </row>
    <row r="289" spans="1:7" x14ac:dyDescent="0.15">
      <c r="B289" t="s">
        <v>236</v>
      </c>
      <c r="C289" s="169">
        <v>1.946E-8</v>
      </c>
      <c r="D289" s="169">
        <v>1.7229999999999999E-8</v>
      </c>
      <c r="E289">
        <v>-7.7110000000000003</v>
      </c>
      <c r="F289">
        <v>-7.7640000000000002</v>
      </c>
      <c r="G289">
        <v>-5.2999999999999999E-2</v>
      </c>
    </row>
    <row r="290" spans="1:7" x14ac:dyDescent="0.15">
      <c r="A290" t="s">
        <v>838</v>
      </c>
      <c r="B290" s="169">
        <v>1.193E-8</v>
      </c>
    </row>
    <row r="291" spans="1:7" x14ac:dyDescent="0.15">
      <c r="B291" t="s">
        <v>345</v>
      </c>
      <c r="C291" s="169">
        <v>8.1219999999999999E-9</v>
      </c>
      <c r="D291" s="169">
        <v>4.889E-9</v>
      </c>
      <c r="E291">
        <v>-8.09</v>
      </c>
      <c r="F291">
        <v>-8.3109999999999999</v>
      </c>
      <c r="G291">
        <v>-0.22</v>
      </c>
    </row>
    <row r="292" spans="1:7" x14ac:dyDescent="0.15">
      <c r="B292" t="s">
        <v>104</v>
      </c>
      <c r="C292" s="169">
        <v>1.527E-9</v>
      </c>
      <c r="D292" s="169">
        <v>1.527E-9</v>
      </c>
      <c r="E292">
        <v>-8.8160000000000007</v>
      </c>
      <c r="F292">
        <v>-8.8160000000000007</v>
      </c>
      <c r="G292">
        <v>0</v>
      </c>
    </row>
    <row r="293" spans="1:7" x14ac:dyDescent="0.15">
      <c r="B293" t="s">
        <v>258</v>
      </c>
      <c r="C293" s="169">
        <v>1.318E-9</v>
      </c>
      <c r="D293" s="169">
        <v>1.318E-9</v>
      </c>
      <c r="E293">
        <v>-8.8800000000000008</v>
      </c>
      <c r="F293">
        <v>-8.8800000000000008</v>
      </c>
      <c r="G293">
        <v>0</v>
      </c>
    </row>
    <row r="294" spans="1:7" x14ac:dyDescent="0.15">
      <c r="B294" t="s">
        <v>260</v>
      </c>
      <c r="C294" s="169">
        <v>8.5730000000000003E-10</v>
      </c>
      <c r="D294" s="169">
        <v>7.3770000000000005E-10</v>
      </c>
      <c r="E294">
        <v>-9.0670000000000002</v>
      </c>
      <c r="F294">
        <v>-9.1319999999999997</v>
      </c>
      <c r="G294">
        <v>-6.5000000000000002E-2</v>
      </c>
    </row>
    <row r="295" spans="1:7" x14ac:dyDescent="0.15">
      <c r="B295" t="s">
        <v>275</v>
      </c>
      <c r="C295" s="169">
        <v>3.4609999999999997E-11</v>
      </c>
      <c r="D295" s="169">
        <v>2.978E-11</v>
      </c>
      <c r="E295">
        <v>-10.461</v>
      </c>
      <c r="F295">
        <v>-10.526</v>
      </c>
      <c r="G295">
        <v>-6.5000000000000002E-2</v>
      </c>
    </row>
    <row r="296" spans="1:7" x14ac:dyDescent="0.15">
      <c r="B296" t="s">
        <v>105</v>
      </c>
      <c r="C296" s="169">
        <v>2.9959999999999999E-11</v>
      </c>
      <c r="D296" s="169">
        <v>2.578E-11</v>
      </c>
      <c r="E296">
        <v>-10.523</v>
      </c>
      <c r="F296">
        <v>-10.589</v>
      </c>
      <c r="G296">
        <v>-6.5000000000000002E-2</v>
      </c>
    </row>
    <row r="297" spans="1:7" x14ac:dyDescent="0.15">
      <c r="B297" t="s">
        <v>337</v>
      </c>
      <c r="C297" s="169">
        <v>2.5950000000000002E-11</v>
      </c>
      <c r="D297" s="169">
        <v>1.4230000000000001E-11</v>
      </c>
      <c r="E297">
        <v>-10.586</v>
      </c>
      <c r="F297">
        <v>-10.847</v>
      </c>
      <c r="G297">
        <v>-0.26100000000000001</v>
      </c>
    </row>
    <row r="298" spans="1:7" x14ac:dyDescent="0.15">
      <c r="B298" t="s">
        <v>106</v>
      </c>
      <c r="C298" s="169">
        <v>7.8520000000000001E-12</v>
      </c>
      <c r="D298" s="169">
        <v>7.8520000000000001E-12</v>
      </c>
      <c r="E298">
        <v>-11.105</v>
      </c>
      <c r="F298">
        <v>-11.105</v>
      </c>
      <c r="G298">
        <v>0</v>
      </c>
    </row>
    <row r="299" spans="1:7" x14ac:dyDescent="0.15">
      <c r="B299" t="s">
        <v>341</v>
      </c>
      <c r="C299" s="169">
        <v>5.17E-12</v>
      </c>
      <c r="D299" s="169">
        <v>4.4490000000000001E-12</v>
      </c>
      <c r="E299">
        <v>-11.287000000000001</v>
      </c>
      <c r="F299">
        <v>-11.352</v>
      </c>
      <c r="G299">
        <v>-6.5000000000000002E-2</v>
      </c>
    </row>
    <row r="300" spans="1:7" x14ac:dyDescent="0.15">
      <c r="B300" t="s">
        <v>107</v>
      </c>
      <c r="C300" s="169">
        <v>1.849E-13</v>
      </c>
      <c r="D300" s="169">
        <v>1.014E-13</v>
      </c>
      <c r="E300">
        <v>-12.733000000000001</v>
      </c>
      <c r="F300">
        <v>-12.994</v>
      </c>
      <c r="G300">
        <v>-0.26100000000000001</v>
      </c>
    </row>
    <row r="301" spans="1:7" x14ac:dyDescent="0.15">
      <c r="B301" t="s">
        <v>338</v>
      </c>
      <c r="C301" s="169">
        <v>1.26E-14</v>
      </c>
      <c r="D301" s="169">
        <v>6.9090000000000001E-15</v>
      </c>
      <c r="E301">
        <v>-13.9</v>
      </c>
      <c r="F301">
        <v>-14.161</v>
      </c>
      <c r="G301">
        <v>-0.26100000000000001</v>
      </c>
    </row>
    <row r="302" spans="1:7" x14ac:dyDescent="0.15">
      <c r="B302" t="s">
        <v>108</v>
      </c>
      <c r="C302" s="169">
        <v>1.156E-14</v>
      </c>
      <c r="D302" s="169">
        <v>9.9509999999999994E-15</v>
      </c>
      <c r="E302">
        <v>-13.936999999999999</v>
      </c>
      <c r="F302">
        <v>-14.002000000000001</v>
      </c>
      <c r="G302">
        <v>-6.5000000000000002E-2</v>
      </c>
    </row>
    <row r="303" spans="1:7" x14ac:dyDescent="0.15">
      <c r="B303" t="s">
        <v>279</v>
      </c>
      <c r="C303" s="169">
        <v>3.8879999999999998E-16</v>
      </c>
      <c r="D303" s="169">
        <v>3.8879999999999998E-16</v>
      </c>
      <c r="E303">
        <v>-15.41</v>
      </c>
      <c r="F303">
        <v>-15.41</v>
      </c>
      <c r="G303">
        <v>0</v>
      </c>
    </row>
    <row r="304" spans="1:7" x14ac:dyDescent="0.15">
      <c r="A304" t="s">
        <v>471</v>
      </c>
      <c r="B304" s="169">
        <v>6.2500000000000001E-4</v>
      </c>
    </row>
    <row r="305" spans="1:7" x14ac:dyDescent="0.15">
      <c r="B305" t="s">
        <v>109</v>
      </c>
      <c r="C305" s="169">
        <v>3.1250000000000001E-4</v>
      </c>
      <c r="D305" s="169">
        <v>3.1369999999999998E-4</v>
      </c>
      <c r="E305">
        <v>-3.5049999999999999</v>
      </c>
      <c r="F305">
        <v>-3.5030000000000001</v>
      </c>
      <c r="G305">
        <v>2E-3</v>
      </c>
    </row>
    <row r="306" spans="1:7" x14ac:dyDescent="0.15">
      <c r="A306" t="s">
        <v>547</v>
      </c>
      <c r="B306" s="169">
        <v>1.291E-6</v>
      </c>
    </row>
    <row r="307" spans="1:7" x14ac:dyDescent="0.15">
      <c r="B307" t="s">
        <v>237</v>
      </c>
      <c r="C307" s="169">
        <v>7.9009999999999996E-7</v>
      </c>
      <c r="D307" s="169">
        <v>4.8169999999999998E-7</v>
      </c>
      <c r="E307">
        <v>-6.1020000000000003</v>
      </c>
      <c r="F307">
        <v>-6.3170000000000002</v>
      </c>
      <c r="G307">
        <v>-0.215</v>
      </c>
    </row>
    <row r="308" spans="1:7" x14ac:dyDescent="0.15">
      <c r="B308" t="s">
        <v>232</v>
      </c>
      <c r="C308" s="169">
        <v>3.2049999999999999E-7</v>
      </c>
      <c r="D308" s="169">
        <v>3.2049999999999999E-7</v>
      </c>
      <c r="E308">
        <v>-6.4939999999999998</v>
      </c>
      <c r="F308">
        <v>-6.4939999999999998</v>
      </c>
      <c r="G308">
        <v>0</v>
      </c>
    </row>
    <row r="309" spans="1:7" x14ac:dyDescent="0.15">
      <c r="B309" t="s">
        <v>233</v>
      </c>
      <c r="C309" s="169">
        <v>8.622E-8</v>
      </c>
      <c r="D309" s="169">
        <v>7.631E-8</v>
      </c>
      <c r="E309">
        <v>-7.0640000000000001</v>
      </c>
      <c r="F309">
        <v>-7.117</v>
      </c>
      <c r="G309">
        <v>-5.2999999999999999E-2</v>
      </c>
    </row>
    <row r="310" spans="1:7" x14ac:dyDescent="0.15">
      <c r="B310" t="s">
        <v>238</v>
      </c>
      <c r="C310" s="169">
        <v>7.2709999999999994E-8</v>
      </c>
      <c r="D310" s="169">
        <v>6.4350000000000004E-8</v>
      </c>
      <c r="E310">
        <v>-7.1379999999999999</v>
      </c>
      <c r="F310">
        <v>-7.1909999999999998</v>
      </c>
      <c r="G310">
        <v>-5.2999999999999999E-2</v>
      </c>
    </row>
    <row r="311" spans="1:7" x14ac:dyDescent="0.15">
      <c r="B311" t="s">
        <v>236</v>
      </c>
      <c r="C311" s="169">
        <v>1.946E-8</v>
      </c>
      <c r="D311" s="169">
        <v>1.7229999999999999E-8</v>
      </c>
      <c r="E311">
        <v>-7.7110000000000003</v>
      </c>
      <c r="F311">
        <v>-7.7640000000000002</v>
      </c>
      <c r="G311">
        <v>-5.2999999999999999E-2</v>
      </c>
    </row>
    <row r="312" spans="1:7" x14ac:dyDescent="0.15">
      <c r="B312" t="s">
        <v>234</v>
      </c>
      <c r="C312" s="169">
        <v>2.369E-9</v>
      </c>
      <c r="D312" s="169">
        <v>2.0970000000000001E-9</v>
      </c>
      <c r="E312">
        <v>-8.625</v>
      </c>
      <c r="F312">
        <v>-8.6780000000000008</v>
      </c>
      <c r="G312">
        <v>-5.2999999999999999E-2</v>
      </c>
    </row>
    <row r="313" spans="1:7" x14ac:dyDescent="0.15">
      <c r="B313" t="s">
        <v>239</v>
      </c>
      <c r="C313" s="169">
        <v>5.8129999999999997E-11</v>
      </c>
      <c r="D313" s="169">
        <v>1.8559999999999998E-11</v>
      </c>
      <c r="E313">
        <v>-10.236000000000001</v>
      </c>
      <c r="F313">
        <v>-10.731</v>
      </c>
      <c r="G313">
        <v>-0.496</v>
      </c>
    </row>
    <row r="314" spans="1:7" x14ac:dyDescent="0.15">
      <c r="B314" t="s">
        <v>235</v>
      </c>
      <c r="C314" s="169">
        <v>1.6920000000000001E-12</v>
      </c>
      <c r="D314" s="169">
        <v>1.6920000000000001E-12</v>
      </c>
      <c r="E314">
        <v>-11.772</v>
      </c>
      <c r="F314">
        <v>-11.772</v>
      </c>
      <c r="G314">
        <v>0</v>
      </c>
    </row>
    <row r="315" spans="1:7" x14ac:dyDescent="0.15">
      <c r="B315" t="s">
        <v>240</v>
      </c>
      <c r="C315" s="169">
        <v>6.0710000000000001E-14</v>
      </c>
      <c r="D315" s="169">
        <v>6.0710000000000001E-14</v>
      </c>
      <c r="E315">
        <v>-13.217000000000001</v>
      </c>
      <c r="F315">
        <v>-13.217000000000001</v>
      </c>
      <c r="G315">
        <v>0</v>
      </c>
    </row>
    <row r="316" spans="1:7" x14ac:dyDescent="0.15">
      <c r="A316" t="s">
        <v>472</v>
      </c>
      <c r="B316" s="169">
        <v>3.643E-3</v>
      </c>
    </row>
    <row r="317" spans="1:7" x14ac:dyDescent="0.15">
      <c r="B317" t="s">
        <v>110</v>
      </c>
      <c r="C317" s="169">
        <v>2.9429999999999999E-3</v>
      </c>
      <c r="D317" s="169">
        <v>1.7719999999999999E-3</v>
      </c>
      <c r="E317">
        <v>-2.5310000000000001</v>
      </c>
      <c r="F317">
        <v>-2.7519999999999998</v>
      </c>
      <c r="G317">
        <v>-0.22</v>
      </c>
    </row>
    <row r="318" spans="1:7" x14ac:dyDescent="0.15">
      <c r="B318" t="s">
        <v>266</v>
      </c>
      <c r="C318" s="169">
        <v>6.5600000000000001E-4</v>
      </c>
      <c r="D318" s="169">
        <v>6.5600000000000001E-4</v>
      </c>
      <c r="E318">
        <v>-3.1829999999999998</v>
      </c>
      <c r="F318">
        <v>-3.1829999999999998</v>
      </c>
      <c r="G318">
        <v>0</v>
      </c>
    </row>
    <row r="319" spans="1:7" x14ac:dyDescent="0.15">
      <c r="B319" t="s">
        <v>344</v>
      </c>
      <c r="C319" s="169">
        <v>4.4129999999999999E-5</v>
      </c>
      <c r="D319" s="169">
        <v>3.9060000000000002E-5</v>
      </c>
      <c r="E319">
        <v>-4.3550000000000004</v>
      </c>
      <c r="F319">
        <v>-4.4080000000000004</v>
      </c>
      <c r="G319">
        <v>-5.2999999999999999E-2</v>
      </c>
    </row>
    <row r="320" spans="1:7" x14ac:dyDescent="0.15">
      <c r="B320" t="s">
        <v>336</v>
      </c>
      <c r="C320" s="169">
        <v>3.875E-7</v>
      </c>
      <c r="D320" s="169">
        <v>3.424E-7</v>
      </c>
      <c r="E320">
        <v>-6.4119999999999999</v>
      </c>
      <c r="F320">
        <v>-6.4649999999999999</v>
      </c>
      <c r="G320">
        <v>-5.3999999999999999E-2</v>
      </c>
    </row>
    <row r="321" spans="1:11" x14ac:dyDescent="0.15">
      <c r="B321" t="s">
        <v>111</v>
      </c>
      <c r="C321" s="169">
        <v>1.419E-8</v>
      </c>
      <c r="D321" s="169">
        <v>1.419E-8</v>
      </c>
      <c r="E321">
        <v>-7.8479999999999999</v>
      </c>
      <c r="F321">
        <v>-7.8479999999999999</v>
      </c>
      <c r="G321">
        <v>0</v>
      </c>
    </row>
    <row r="322" spans="1:11" x14ac:dyDescent="0.15">
      <c r="B322" t="s">
        <v>104</v>
      </c>
      <c r="C322" s="169">
        <v>1.527E-9</v>
      </c>
      <c r="D322" s="169">
        <v>1.527E-9</v>
      </c>
      <c r="E322">
        <v>-8.8160000000000007</v>
      </c>
      <c r="F322">
        <v>-8.8160000000000007</v>
      </c>
      <c r="G322">
        <v>0</v>
      </c>
    </row>
    <row r="323" spans="1:11" x14ac:dyDescent="0.15">
      <c r="B323" t="s">
        <v>292</v>
      </c>
      <c r="C323" s="169">
        <v>1.374E-9</v>
      </c>
      <c r="D323" s="169">
        <v>1.374E-9</v>
      </c>
      <c r="E323">
        <v>-8.8620000000000001</v>
      </c>
      <c r="F323">
        <v>-8.8620000000000001</v>
      </c>
      <c r="G323">
        <v>0</v>
      </c>
    </row>
    <row r="324" spans="1:11" x14ac:dyDescent="0.15">
      <c r="B324" t="s">
        <v>112</v>
      </c>
      <c r="C324" s="169">
        <v>9.7469999999999995E-10</v>
      </c>
      <c r="D324" s="169">
        <v>8.5940000000000005E-10</v>
      </c>
      <c r="E324">
        <v>-9.0109999999999992</v>
      </c>
      <c r="F324">
        <v>-9.0660000000000007</v>
      </c>
      <c r="G324">
        <v>-5.5E-2</v>
      </c>
    </row>
    <row r="325" spans="1:11" x14ac:dyDescent="0.15">
      <c r="B325" t="s">
        <v>319</v>
      </c>
      <c r="C325" s="169">
        <v>9.664000000000001E-10</v>
      </c>
      <c r="D325" s="169">
        <v>9.664000000000001E-10</v>
      </c>
      <c r="E325">
        <v>-9.0150000000000006</v>
      </c>
      <c r="F325">
        <v>-9.0150000000000006</v>
      </c>
      <c r="G325">
        <v>0</v>
      </c>
    </row>
    <row r="326" spans="1:11" x14ac:dyDescent="0.15">
      <c r="B326" t="s">
        <v>113</v>
      </c>
      <c r="C326" s="169">
        <v>4.559E-10</v>
      </c>
      <c r="D326" s="169">
        <v>2.5000000000000002E-10</v>
      </c>
      <c r="E326">
        <v>-9.3409999999999993</v>
      </c>
      <c r="F326">
        <v>-9.6020000000000003</v>
      </c>
      <c r="G326">
        <v>-0.26100000000000001</v>
      </c>
    </row>
    <row r="327" spans="1:11" x14ac:dyDescent="0.15">
      <c r="B327" t="s">
        <v>107</v>
      </c>
      <c r="C327" s="169">
        <v>1.849E-13</v>
      </c>
      <c r="D327" s="169">
        <v>1.014E-13</v>
      </c>
      <c r="E327">
        <v>-12.733000000000001</v>
      </c>
      <c r="F327">
        <v>-12.994</v>
      </c>
      <c r="G327">
        <v>-0.26100000000000001</v>
      </c>
    </row>
    <row r="328" spans="1:11" x14ac:dyDescent="0.15">
      <c r="B328" t="s">
        <v>310</v>
      </c>
      <c r="C328" s="169">
        <v>3.5380000000000001E-40</v>
      </c>
      <c r="D328" s="169">
        <v>3.044E-40</v>
      </c>
      <c r="E328">
        <v>-39.451000000000001</v>
      </c>
      <c r="F328">
        <v>-39.517000000000003</v>
      </c>
      <c r="G328">
        <v>-6.5000000000000002E-2</v>
      </c>
    </row>
    <row r="329" spans="1:11" x14ac:dyDescent="0.15">
      <c r="A329" t="s">
        <v>847</v>
      </c>
      <c r="B329" s="169">
        <v>1.071E-7</v>
      </c>
      <c r="J329" s="169">
        <v>1.071E-7</v>
      </c>
      <c r="K329" s="17">
        <f>J329/J$256*100</f>
        <v>0.4285714285714286</v>
      </c>
    </row>
    <row r="330" spans="1:11" x14ac:dyDescent="0.15">
      <c r="B330" t="s">
        <v>114</v>
      </c>
      <c r="C330" s="169">
        <v>6.9450000000000003E-8</v>
      </c>
      <c r="D330" s="169">
        <v>4.1810000000000002E-8</v>
      </c>
      <c r="E330">
        <v>-7.1580000000000004</v>
      </c>
      <c r="F330">
        <v>-7.3789999999999996</v>
      </c>
      <c r="G330">
        <v>-0.22</v>
      </c>
      <c r="I330" t="s">
        <v>114</v>
      </c>
      <c r="J330" s="169">
        <v>6.9450000000000003E-8</v>
      </c>
      <c r="K330" s="17">
        <f>J330/J$329*100</f>
        <v>64.845938375350144</v>
      </c>
    </row>
    <row r="331" spans="1:11" x14ac:dyDescent="0.15">
      <c r="B331" t="s">
        <v>257</v>
      </c>
      <c r="C331" s="169">
        <v>1.7380000000000001E-8</v>
      </c>
      <c r="D331" s="169">
        <v>1.7380000000000001E-8</v>
      </c>
      <c r="E331">
        <v>-7.76</v>
      </c>
      <c r="F331">
        <v>-7.76</v>
      </c>
      <c r="G331">
        <v>0</v>
      </c>
      <c r="I331" t="s">
        <v>257</v>
      </c>
      <c r="J331" s="169">
        <v>1.7380000000000001E-8</v>
      </c>
      <c r="K331" s="17">
        <f t="shared" ref="K331:K332" si="2">J331/J$329*100</f>
        <v>16.22782446311858</v>
      </c>
    </row>
    <row r="332" spans="1:11" x14ac:dyDescent="0.15">
      <c r="B332" t="s">
        <v>111</v>
      </c>
      <c r="C332" s="169">
        <v>1.419E-8</v>
      </c>
      <c r="D332" s="169">
        <v>1.419E-8</v>
      </c>
      <c r="E332">
        <v>-7.8479999999999999</v>
      </c>
      <c r="F332">
        <v>-7.8479999999999999</v>
      </c>
      <c r="G332">
        <v>0</v>
      </c>
      <c r="I332" t="s">
        <v>111</v>
      </c>
      <c r="J332" s="169">
        <v>1.419E-8</v>
      </c>
      <c r="K332" s="17">
        <f t="shared" si="2"/>
        <v>13.249299719887956</v>
      </c>
    </row>
    <row r="333" spans="1:11" x14ac:dyDescent="0.15">
      <c r="B333" t="s">
        <v>263</v>
      </c>
      <c r="C333" s="169">
        <v>1.8800000000000001E-9</v>
      </c>
      <c r="D333" s="169">
        <v>1.618E-9</v>
      </c>
      <c r="E333">
        <v>-8.7260000000000009</v>
      </c>
      <c r="F333">
        <v>-8.7910000000000004</v>
      </c>
      <c r="G333">
        <v>-6.5000000000000002E-2</v>
      </c>
    </row>
    <row r="334" spans="1:11" x14ac:dyDescent="0.15">
      <c r="B334" t="s">
        <v>115</v>
      </c>
      <c r="C334" s="169">
        <v>1.8680000000000002E-9</v>
      </c>
      <c r="D334" s="169">
        <v>1.608E-9</v>
      </c>
      <c r="E334">
        <v>-8.7289999999999992</v>
      </c>
      <c r="F334">
        <v>-8.7940000000000005</v>
      </c>
      <c r="G334">
        <v>-6.5000000000000002E-2</v>
      </c>
    </row>
    <row r="335" spans="1:11" x14ac:dyDescent="0.15">
      <c r="B335" t="s">
        <v>116</v>
      </c>
      <c r="C335" s="169">
        <v>1.064E-9</v>
      </c>
      <c r="D335" s="169">
        <v>1.064E-9</v>
      </c>
      <c r="E335">
        <v>-8.9730000000000008</v>
      </c>
      <c r="F335">
        <v>-8.9730000000000008</v>
      </c>
      <c r="G335">
        <v>0</v>
      </c>
    </row>
    <row r="336" spans="1:11" x14ac:dyDescent="0.15">
      <c r="B336" t="s">
        <v>113</v>
      </c>
      <c r="C336" s="169">
        <v>4.559E-10</v>
      </c>
      <c r="D336" s="169">
        <v>2.5000000000000002E-10</v>
      </c>
      <c r="E336">
        <v>-9.3409999999999993</v>
      </c>
      <c r="F336">
        <v>-9.6020000000000003</v>
      </c>
      <c r="G336">
        <v>-0.26100000000000001</v>
      </c>
    </row>
    <row r="337" spans="1:10" x14ac:dyDescent="0.15">
      <c r="B337" t="s">
        <v>273</v>
      </c>
      <c r="C337" s="169">
        <v>4.3290000000000003E-10</v>
      </c>
      <c r="D337" s="169">
        <v>4.3290000000000003E-10</v>
      </c>
      <c r="E337">
        <v>-9.3640000000000008</v>
      </c>
      <c r="F337">
        <v>-9.3640000000000008</v>
      </c>
      <c r="G337">
        <v>0</v>
      </c>
    </row>
    <row r="338" spans="1:10" x14ac:dyDescent="0.15">
      <c r="B338" t="s">
        <v>274</v>
      </c>
      <c r="C338" s="169">
        <v>2.6430000000000001E-10</v>
      </c>
      <c r="D338" s="169">
        <v>2.325E-10</v>
      </c>
      <c r="E338">
        <v>-9.5779999999999994</v>
      </c>
      <c r="F338">
        <v>-9.6340000000000003</v>
      </c>
      <c r="G338">
        <v>-5.6000000000000001E-2</v>
      </c>
    </row>
    <row r="339" spans="1:10" x14ac:dyDescent="0.15">
      <c r="B339" t="s">
        <v>340</v>
      </c>
      <c r="C339" s="169">
        <v>4.8779999999999999E-11</v>
      </c>
      <c r="D339" s="169">
        <v>4.198E-11</v>
      </c>
      <c r="E339">
        <v>-10.311999999999999</v>
      </c>
      <c r="F339">
        <v>-10.377000000000001</v>
      </c>
      <c r="G339">
        <v>-6.5000000000000002E-2</v>
      </c>
    </row>
    <row r="340" spans="1:10" x14ac:dyDescent="0.15">
      <c r="B340" t="s">
        <v>117</v>
      </c>
      <c r="C340" s="169">
        <v>7.855E-12</v>
      </c>
      <c r="D340" s="169">
        <v>6.7589999999999998E-12</v>
      </c>
      <c r="E340">
        <v>-11.105</v>
      </c>
      <c r="F340">
        <v>-11.17</v>
      </c>
      <c r="G340">
        <v>-6.5000000000000002E-2</v>
      </c>
    </row>
    <row r="341" spans="1:10" x14ac:dyDescent="0.15">
      <c r="B341" t="s">
        <v>277</v>
      </c>
      <c r="C341" s="169">
        <v>4.6600000000000003E-13</v>
      </c>
      <c r="D341" s="169">
        <v>4.6600000000000003E-13</v>
      </c>
      <c r="E341">
        <v>-12.332000000000001</v>
      </c>
      <c r="F341">
        <v>-12.332000000000001</v>
      </c>
      <c r="G341">
        <v>0</v>
      </c>
    </row>
    <row r="342" spans="1:10" x14ac:dyDescent="0.15">
      <c r="B342" t="s">
        <v>342</v>
      </c>
      <c r="C342" s="169">
        <v>2.7500000000000001E-15</v>
      </c>
      <c r="D342" s="169">
        <v>2.7500000000000001E-15</v>
      </c>
      <c r="E342">
        <v>-14.561</v>
      </c>
      <c r="F342">
        <v>-14.561</v>
      </c>
      <c r="G342">
        <v>0</v>
      </c>
    </row>
    <row r="343" spans="1:10" x14ac:dyDescent="0.15">
      <c r="B343" t="s">
        <v>280</v>
      </c>
      <c r="C343" s="169">
        <v>9.806E-16</v>
      </c>
      <c r="D343" s="169">
        <v>8.6259999999999996E-16</v>
      </c>
      <c r="E343">
        <v>-15.007999999999999</v>
      </c>
      <c r="F343">
        <v>-15.064</v>
      </c>
      <c r="G343">
        <v>-5.6000000000000001E-2</v>
      </c>
    </row>
    <row r="344" spans="1:10" x14ac:dyDescent="0.15">
      <c r="B344" t="s">
        <v>118</v>
      </c>
      <c r="C344" s="169">
        <v>6.2179999999999997E-16</v>
      </c>
      <c r="D344" s="169">
        <v>3.4100000000000002E-16</v>
      </c>
      <c r="E344">
        <v>-15.206</v>
      </c>
      <c r="F344">
        <v>-15.467000000000001</v>
      </c>
      <c r="G344">
        <v>-0.26100000000000001</v>
      </c>
    </row>
    <row r="345" spans="1:10" x14ac:dyDescent="0.15">
      <c r="B345" t="s">
        <v>281</v>
      </c>
      <c r="C345" s="169">
        <v>1.5510000000000001E-18</v>
      </c>
      <c r="D345" s="169">
        <v>9.456E-19</v>
      </c>
      <c r="E345">
        <v>-17.809000000000001</v>
      </c>
      <c r="F345">
        <v>-18.024000000000001</v>
      </c>
      <c r="G345">
        <v>-0.215</v>
      </c>
    </row>
    <row r="347" spans="1:10" x14ac:dyDescent="0.15">
      <c r="A347" t="e">
        <f>------------------------------Saturation</f>
        <v>#NAME?</v>
      </c>
      <c r="B347" t="s">
        <v>119</v>
      </c>
    </row>
    <row r="349" spans="1:10" x14ac:dyDescent="0.15">
      <c r="B349" t="s">
        <v>120</v>
      </c>
      <c r="C349" t="s">
        <v>121</v>
      </c>
      <c r="D349" t="s">
        <v>122</v>
      </c>
      <c r="E349" t="s">
        <v>123</v>
      </c>
      <c r="F349" t="s">
        <v>122</v>
      </c>
      <c r="G349" t="s">
        <v>124</v>
      </c>
      <c r="I349">
        <v>1</v>
      </c>
      <c r="J349" t="s">
        <v>126</v>
      </c>
    </row>
    <row r="351" spans="1:10" x14ac:dyDescent="0.15">
      <c r="B351" t="s">
        <v>127</v>
      </c>
      <c r="C351">
        <v>-25.69</v>
      </c>
      <c r="D351">
        <v>-19.46</v>
      </c>
      <c r="E351">
        <v>6.23</v>
      </c>
      <c r="F351" t="s">
        <v>127</v>
      </c>
    </row>
    <row r="352" spans="1:10" x14ac:dyDescent="0.15">
      <c r="B352" t="s">
        <v>128</v>
      </c>
      <c r="C352">
        <v>-22.4</v>
      </c>
      <c r="D352">
        <v>-17.79</v>
      </c>
      <c r="E352">
        <v>4.6100000000000003</v>
      </c>
      <c r="F352" t="s">
        <v>128</v>
      </c>
    </row>
    <row r="353" spans="2:6" x14ac:dyDescent="0.15">
      <c r="B353" t="s">
        <v>129</v>
      </c>
      <c r="C353">
        <v>-29.76</v>
      </c>
      <c r="D353">
        <v>-17.79</v>
      </c>
      <c r="E353">
        <v>11.97</v>
      </c>
      <c r="F353" t="s">
        <v>129</v>
      </c>
    </row>
    <row r="354" spans="2:6" x14ac:dyDescent="0.15">
      <c r="B354" t="s">
        <v>130</v>
      </c>
      <c r="C354">
        <v>-34.86</v>
      </c>
      <c r="D354">
        <v>-16.940000000000001</v>
      </c>
      <c r="E354">
        <v>17.920000000000002</v>
      </c>
      <c r="F354" t="s">
        <v>130</v>
      </c>
    </row>
    <row r="355" spans="2:6" x14ac:dyDescent="0.15">
      <c r="B355" t="s">
        <v>131</v>
      </c>
      <c r="C355">
        <v>-34.770000000000003</v>
      </c>
      <c r="D355">
        <v>-14.43</v>
      </c>
      <c r="E355">
        <v>20.34</v>
      </c>
      <c r="F355" t="s">
        <v>131</v>
      </c>
    </row>
    <row r="356" spans="2:6" x14ac:dyDescent="0.15">
      <c r="B356" t="s">
        <v>376</v>
      </c>
      <c r="C356">
        <v>-1.18</v>
      </c>
      <c r="D356">
        <v>-5.48</v>
      </c>
      <c r="E356">
        <v>-4.29</v>
      </c>
      <c r="F356" t="s">
        <v>266</v>
      </c>
    </row>
    <row r="357" spans="2:6" x14ac:dyDescent="0.15">
      <c r="B357" t="s">
        <v>377</v>
      </c>
      <c r="C357">
        <v>-4.7699999999999996</v>
      </c>
      <c r="D357">
        <v>4.0199999999999996</v>
      </c>
      <c r="E357">
        <v>8.7899999999999991</v>
      </c>
      <c r="F357" t="s">
        <v>378</v>
      </c>
    </row>
    <row r="358" spans="2:6" x14ac:dyDescent="0.15">
      <c r="B358" t="s">
        <v>379</v>
      </c>
      <c r="C358">
        <v>0.32</v>
      </c>
      <c r="D358">
        <v>-7.87</v>
      </c>
      <c r="E358">
        <v>-8.19</v>
      </c>
      <c r="F358" t="s">
        <v>520</v>
      </c>
    </row>
    <row r="359" spans="2:6" x14ac:dyDescent="0.15">
      <c r="B359" t="s">
        <v>380</v>
      </c>
      <c r="C359">
        <v>-3.65</v>
      </c>
      <c r="D359">
        <v>4.6100000000000003</v>
      </c>
      <c r="E359">
        <v>8.26</v>
      </c>
      <c r="F359" t="s">
        <v>381</v>
      </c>
    </row>
    <row r="360" spans="2:6" x14ac:dyDescent="0.15">
      <c r="B360" t="s">
        <v>382</v>
      </c>
      <c r="C360">
        <v>-3.69</v>
      </c>
      <c r="D360">
        <v>-19.71</v>
      </c>
      <c r="E360">
        <v>-16.02</v>
      </c>
      <c r="F360" t="s">
        <v>383</v>
      </c>
    </row>
    <row r="361" spans="2:6" x14ac:dyDescent="0.15">
      <c r="B361" t="s">
        <v>384</v>
      </c>
      <c r="C361">
        <v>-8.3699999999999992</v>
      </c>
      <c r="D361">
        <v>-10.130000000000001</v>
      </c>
      <c r="E361">
        <v>-1.76</v>
      </c>
      <c r="F361" t="s">
        <v>385</v>
      </c>
    </row>
    <row r="362" spans="2:6" x14ac:dyDescent="0.15">
      <c r="B362" t="s">
        <v>386</v>
      </c>
      <c r="C362">
        <v>-5.43</v>
      </c>
      <c r="D362">
        <v>11.68</v>
      </c>
      <c r="E362">
        <v>17.100000000000001</v>
      </c>
      <c r="F362" t="s">
        <v>387</v>
      </c>
    </row>
    <row r="363" spans="2:6" x14ac:dyDescent="0.15">
      <c r="B363" t="s">
        <v>388</v>
      </c>
      <c r="C363">
        <v>-5.49</v>
      </c>
      <c r="D363">
        <v>7.89</v>
      </c>
      <c r="E363">
        <v>13.37</v>
      </c>
      <c r="F363" t="s">
        <v>389</v>
      </c>
    </row>
    <row r="364" spans="2:6" x14ac:dyDescent="0.15">
      <c r="B364" t="s">
        <v>241</v>
      </c>
      <c r="C364">
        <v>-0.22</v>
      </c>
      <c r="D364">
        <v>-29.64</v>
      </c>
      <c r="E364">
        <v>-29.42</v>
      </c>
      <c r="F364" t="s">
        <v>242</v>
      </c>
    </row>
    <row r="365" spans="2:6" x14ac:dyDescent="0.15">
      <c r="B365" t="s">
        <v>243</v>
      </c>
      <c r="C365">
        <v>-4.12</v>
      </c>
      <c r="D365">
        <v>-51.2</v>
      </c>
      <c r="E365">
        <v>-47.08</v>
      </c>
      <c r="F365" t="s">
        <v>243</v>
      </c>
    </row>
    <row r="366" spans="2:6" x14ac:dyDescent="0.15">
      <c r="B366" t="s">
        <v>232</v>
      </c>
      <c r="C366">
        <v>-1.99</v>
      </c>
      <c r="D366">
        <v>-21.56</v>
      </c>
      <c r="E366">
        <v>-19.559999999999999</v>
      </c>
      <c r="F366" t="s">
        <v>232</v>
      </c>
    </row>
    <row r="367" spans="2:6" x14ac:dyDescent="0.15">
      <c r="B367" t="s">
        <v>244</v>
      </c>
      <c r="C367">
        <v>-2.35</v>
      </c>
      <c r="D367">
        <v>-21.56</v>
      </c>
      <c r="E367">
        <v>-19.21</v>
      </c>
      <c r="F367" t="s">
        <v>244</v>
      </c>
    </row>
    <row r="368" spans="2:6" x14ac:dyDescent="0.15">
      <c r="B368" t="s">
        <v>477</v>
      </c>
      <c r="C368">
        <v>0.54</v>
      </c>
      <c r="D368">
        <v>-7.87</v>
      </c>
      <c r="E368">
        <v>-8.41</v>
      </c>
      <c r="F368" t="s">
        <v>520</v>
      </c>
    </row>
    <row r="369" spans="2:6" x14ac:dyDescent="0.15">
      <c r="B369" t="s">
        <v>390</v>
      </c>
      <c r="C369">
        <v>-1.79</v>
      </c>
      <c r="D369">
        <v>-9.7200000000000006</v>
      </c>
      <c r="E369">
        <v>-7.93</v>
      </c>
      <c r="F369" t="s">
        <v>390</v>
      </c>
    </row>
    <row r="370" spans="2:6" x14ac:dyDescent="0.15">
      <c r="B370" t="s">
        <v>391</v>
      </c>
      <c r="C370">
        <v>-154.69999999999999</v>
      </c>
      <c r="D370">
        <v>-198.13</v>
      </c>
      <c r="E370">
        <v>-43.43</v>
      </c>
      <c r="F370" t="s">
        <v>392</v>
      </c>
    </row>
    <row r="371" spans="2:6" x14ac:dyDescent="0.15">
      <c r="B371" t="s">
        <v>393</v>
      </c>
      <c r="C371">
        <v>-8.6</v>
      </c>
      <c r="D371">
        <v>-11.29</v>
      </c>
      <c r="E371">
        <v>-2.7</v>
      </c>
      <c r="F371" t="s">
        <v>394</v>
      </c>
    </row>
    <row r="372" spans="2:6" x14ac:dyDescent="0.15">
      <c r="B372" t="s">
        <v>295</v>
      </c>
      <c r="C372">
        <v>-5.25</v>
      </c>
      <c r="D372">
        <v>7.85</v>
      </c>
      <c r="E372">
        <v>13.09</v>
      </c>
      <c r="F372" t="s">
        <v>295</v>
      </c>
    </row>
    <row r="373" spans="2:6" x14ac:dyDescent="0.15">
      <c r="B373" t="s">
        <v>395</v>
      </c>
      <c r="C373">
        <v>-1</v>
      </c>
      <c r="D373">
        <v>-2.4500000000000002</v>
      </c>
      <c r="E373">
        <v>-1.45</v>
      </c>
      <c r="F373" t="s">
        <v>395</v>
      </c>
    </row>
    <row r="374" spans="2:6" x14ac:dyDescent="0.15">
      <c r="B374" t="s">
        <v>396</v>
      </c>
      <c r="C374">
        <v>-3.16</v>
      </c>
      <c r="D374">
        <v>-21.34</v>
      </c>
      <c r="E374">
        <v>-18.18</v>
      </c>
      <c r="F374" t="s">
        <v>221</v>
      </c>
    </row>
    <row r="375" spans="2:6" x14ac:dyDescent="0.15">
      <c r="B375" t="s">
        <v>245</v>
      </c>
      <c r="C375">
        <v>-11.83</v>
      </c>
      <c r="D375">
        <v>-46.52</v>
      </c>
      <c r="E375">
        <v>-34.69</v>
      </c>
      <c r="F375" t="s">
        <v>245</v>
      </c>
    </row>
    <row r="376" spans="2:6" x14ac:dyDescent="0.15">
      <c r="B376" t="s">
        <v>397</v>
      </c>
      <c r="C376">
        <v>12.44</v>
      </c>
      <c r="D376">
        <v>2.94</v>
      </c>
      <c r="E376">
        <v>-9.5</v>
      </c>
      <c r="F376" t="s">
        <v>397</v>
      </c>
    </row>
    <row r="377" spans="2:6" x14ac:dyDescent="0.15">
      <c r="B377" t="s">
        <v>398</v>
      </c>
      <c r="C377">
        <v>-22.57</v>
      </c>
      <c r="D377">
        <v>-13.56</v>
      </c>
      <c r="E377">
        <v>9.01</v>
      </c>
      <c r="F377" t="s">
        <v>398</v>
      </c>
    </row>
    <row r="378" spans="2:6" x14ac:dyDescent="0.15">
      <c r="B378" t="s">
        <v>399</v>
      </c>
      <c r="C378">
        <v>-16.02</v>
      </c>
      <c r="D378">
        <v>-13.56</v>
      </c>
      <c r="E378">
        <v>2.46</v>
      </c>
      <c r="F378" t="s">
        <v>399</v>
      </c>
    </row>
    <row r="379" spans="2:6" x14ac:dyDescent="0.15">
      <c r="B379" t="s">
        <v>259</v>
      </c>
      <c r="C379">
        <v>-3.63</v>
      </c>
      <c r="D379">
        <v>-13.49</v>
      </c>
      <c r="E379">
        <v>-9.86</v>
      </c>
      <c r="F379" t="s">
        <v>259</v>
      </c>
    </row>
    <row r="380" spans="2:6" x14ac:dyDescent="0.15">
      <c r="B380" t="s">
        <v>235</v>
      </c>
      <c r="C380">
        <v>-8.1199999999999992</v>
      </c>
      <c r="D380">
        <v>-27.18</v>
      </c>
      <c r="E380">
        <v>-19.059999999999999</v>
      </c>
      <c r="F380" t="s">
        <v>235</v>
      </c>
    </row>
    <row r="381" spans="2:6" x14ac:dyDescent="0.15">
      <c r="B381" t="s">
        <v>400</v>
      </c>
      <c r="C381">
        <v>-7.81</v>
      </c>
      <c r="D381">
        <v>-15.35</v>
      </c>
      <c r="E381">
        <v>-7.54</v>
      </c>
      <c r="F381" t="s">
        <v>400</v>
      </c>
    </row>
    <row r="382" spans="2:6" x14ac:dyDescent="0.15">
      <c r="B382" t="s">
        <v>401</v>
      </c>
      <c r="C382">
        <v>-6.73</v>
      </c>
      <c r="D382">
        <v>7.85</v>
      </c>
      <c r="E382">
        <v>14.57</v>
      </c>
      <c r="F382" t="s">
        <v>401</v>
      </c>
    </row>
    <row r="383" spans="2:6" x14ac:dyDescent="0.15">
      <c r="B383" t="s">
        <v>292</v>
      </c>
      <c r="C383">
        <v>-14.64</v>
      </c>
      <c r="D383">
        <v>-11.1</v>
      </c>
      <c r="E383">
        <v>3.54</v>
      </c>
      <c r="F383" t="s">
        <v>292</v>
      </c>
    </row>
    <row r="384" spans="2:6" x14ac:dyDescent="0.15">
      <c r="B384" t="s">
        <v>402</v>
      </c>
      <c r="C384">
        <v>-8.6199999999999992</v>
      </c>
      <c r="D384">
        <v>-11.11</v>
      </c>
      <c r="E384">
        <v>-2.48</v>
      </c>
      <c r="F384" t="s">
        <v>402</v>
      </c>
    </row>
    <row r="385" spans="2:6" x14ac:dyDescent="0.15">
      <c r="B385" t="s">
        <v>317</v>
      </c>
      <c r="C385">
        <v>-1.54</v>
      </c>
      <c r="D385">
        <v>7.66</v>
      </c>
      <c r="E385">
        <v>9.1999999999999993</v>
      </c>
      <c r="F385" t="s">
        <v>317</v>
      </c>
    </row>
    <row r="386" spans="2:6" x14ac:dyDescent="0.15">
      <c r="B386" t="s">
        <v>403</v>
      </c>
      <c r="C386">
        <v>-6.15</v>
      </c>
      <c r="D386">
        <v>3.77</v>
      </c>
      <c r="E386">
        <v>9.92</v>
      </c>
      <c r="F386" t="s">
        <v>403</v>
      </c>
    </row>
    <row r="387" spans="2:6" x14ac:dyDescent="0.15">
      <c r="B387" t="s">
        <v>133</v>
      </c>
      <c r="C387">
        <v>-40.81</v>
      </c>
      <c r="D387">
        <v>-42.58</v>
      </c>
      <c r="E387">
        <v>-1.77</v>
      </c>
      <c r="F387" t="s">
        <v>133</v>
      </c>
    </row>
    <row r="388" spans="2:6" x14ac:dyDescent="0.15">
      <c r="B388" t="s">
        <v>246</v>
      </c>
      <c r="C388">
        <v>-10.24</v>
      </c>
      <c r="D388">
        <v>-47.09</v>
      </c>
      <c r="E388">
        <v>-36.85</v>
      </c>
      <c r="F388" t="s">
        <v>246</v>
      </c>
    </row>
    <row r="389" spans="2:6" x14ac:dyDescent="0.15">
      <c r="B389" t="s">
        <v>247</v>
      </c>
      <c r="C389">
        <v>-11.97</v>
      </c>
      <c r="D389">
        <v>-47.09</v>
      </c>
      <c r="E389">
        <v>-35.119999999999997</v>
      </c>
      <c r="F389" t="s">
        <v>247</v>
      </c>
    </row>
    <row r="390" spans="2:6" x14ac:dyDescent="0.15">
      <c r="B390" t="s">
        <v>256</v>
      </c>
      <c r="C390">
        <v>-2.1800000000000002</v>
      </c>
      <c r="D390">
        <v>-13.68</v>
      </c>
      <c r="E390">
        <v>-11.5</v>
      </c>
      <c r="F390" t="s">
        <v>256</v>
      </c>
    </row>
    <row r="391" spans="2:6" x14ac:dyDescent="0.15">
      <c r="B391" t="s">
        <v>134</v>
      </c>
      <c r="C391">
        <v>-24.49</v>
      </c>
      <c r="D391">
        <v>-33.909999999999997</v>
      </c>
      <c r="E391">
        <v>-9.42</v>
      </c>
      <c r="F391" t="s">
        <v>836</v>
      </c>
    </row>
    <row r="392" spans="2:6" x14ac:dyDescent="0.15">
      <c r="B392" t="s">
        <v>135</v>
      </c>
      <c r="C392">
        <v>-2.35</v>
      </c>
      <c r="D392">
        <v>-15.54</v>
      </c>
      <c r="E392">
        <v>-13.19</v>
      </c>
      <c r="F392" t="s">
        <v>135</v>
      </c>
    </row>
    <row r="393" spans="2:6" x14ac:dyDescent="0.15">
      <c r="B393" t="s">
        <v>136</v>
      </c>
      <c r="C393">
        <v>-15.22</v>
      </c>
      <c r="D393">
        <v>-3.64</v>
      </c>
      <c r="E393">
        <v>11.58</v>
      </c>
      <c r="F393" t="s">
        <v>136</v>
      </c>
    </row>
    <row r="394" spans="2:6" x14ac:dyDescent="0.15">
      <c r="B394" t="s">
        <v>137</v>
      </c>
      <c r="C394">
        <v>-23.38</v>
      </c>
      <c r="D394">
        <v>-23.63</v>
      </c>
      <c r="E394">
        <v>-0.26</v>
      </c>
      <c r="F394" t="s">
        <v>138</v>
      </c>
    </row>
    <row r="395" spans="2:6" x14ac:dyDescent="0.15">
      <c r="B395" t="s">
        <v>319</v>
      </c>
      <c r="C395">
        <v>-14.91</v>
      </c>
      <c r="D395">
        <v>-11.29</v>
      </c>
      <c r="E395">
        <v>3.62</v>
      </c>
      <c r="F395" t="s">
        <v>319</v>
      </c>
    </row>
    <row r="396" spans="2:6" x14ac:dyDescent="0.15">
      <c r="B396" t="s">
        <v>139</v>
      </c>
      <c r="C396">
        <v>-7.99</v>
      </c>
      <c r="D396">
        <v>-10.130000000000001</v>
      </c>
      <c r="E396">
        <v>-2.14</v>
      </c>
      <c r="F396" t="s">
        <v>140</v>
      </c>
    </row>
    <row r="397" spans="2:6" x14ac:dyDescent="0.15">
      <c r="B397" t="s">
        <v>141</v>
      </c>
      <c r="C397">
        <v>-0.86</v>
      </c>
      <c r="D397">
        <v>-5.48</v>
      </c>
      <c r="E397">
        <v>-4.62</v>
      </c>
      <c r="F397" t="s">
        <v>142</v>
      </c>
    </row>
    <row r="398" spans="2:6" x14ac:dyDescent="0.15">
      <c r="B398" t="s">
        <v>329</v>
      </c>
      <c r="C398">
        <v>-9.8699999999999992</v>
      </c>
      <c r="D398">
        <v>-23.2</v>
      </c>
      <c r="E398">
        <v>-13.33</v>
      </c>
      <c r="F398" t="s">
        <v>329</v>
      </c>
    </row>
    <row r="399" spans="2:6" x14ac:dyDescent="0.15">
      <c r="B399" t="s">
        <v>143</v>
      </c>
      <c r="C399">
        <v>-6.55</v>
      </c>
      <c r="D399">
        <v>-4.9800000000000004</v>
      </c>
      <c r="E399">
        <v>1.57</v>
      </c>
      <c r="F399" t="s">
        <v>144</v>
      </c>
    </row>
    <row r="400" spans="2:6" x14ac:dyDescent="0.15">
      <c r="B400" t="s">
        <v>248</v>
      </c>
      <c r="C400">
        <v>6.61</v>
      </c>
      <c r="D400">
        <v>-37.72</v>
      </c>
      <c r="E400">
        <v>-44.33</v>
      </c>
      <c r="F400" t="s">
        <v>249</v>
      </c>
    </row>
    <row r="401" spans="2:6" x14ac:dyDescent="0.15">
      <c r="B401" t="s">
        <v>145</v>
      </c>
      <c r="C401">
        <v>-7.35</v>
      </c>
      <c r="D401">
        <v>11.68</v>
      </c>
      <c r="E401">
        <v>19.03</v>
      </c>
      <c r="F401" t="s">
        <v>146</v>
      </c>
    </row>
    <row r="402" spans="2:6" x14ac:dyDescent="0.15">
      <c r="B402" t="s">
        <v>147</v>
      </c>
      <c r="C402">
        <v>-21.02</v>
      </c>
      <c r="D402">
        <v>13.47</v>
      </c>
      <c r="E402">
        <v>34.5</v>
      </c>
      <c r="F402" t="s">
        <v>148</v>
      </c>
    </row>
    <row r="403" spans="2:6" x14ac:dyDescent="0.15">
      <c r="B403" t="s">
        <v>149</v>
      </c>
      <c r="C403">
        <v>-0.01</v>
      </c>
      <c r="D403">
        <v>-6.03</v>
      </c>
      <c r="E403">
        <v>-6.01</v>
      </c>
      <c r="F403" t="s">
        <v>150</v>
      </c>
    </row>
    <row r="404" spans="2:6" x14ac:dyDescent="0.15">
      <c r="B404" t="s">
        <v>151</v>
      </c>
      <c r="C404">
        <v>-20.6</v>
      </c>
      <c r="D404">
        <v>-13.75</v>
      </c>
      <c r="E404">
        <v>6.85</v>
      </c>
      <c r="F404" t="s">
        <v>278</v>
      </c>
    </row>
    <row r="405" spans="2:6" x14ac:dyDescent="0.15">
      <c r="B405" t="s">
        <v>152</v>
      </c>
      <c r="C405">
        <v>-5.66</v>
      </c>
      <c r="D405">
        <v>-7.51</v>
      </c>
      <c r="E405">
        <v>-1.85</v>
      </c>
      <c r="F405" t="s">
        <v>153</v>
      </c>
    </row>
    <row r="406" spans="2:6" x14ac:dyDescent="0.15">
      <c r="B406" t="s">
        <v>154</v>
      </c>
      <c r="C406">
        <v>-15.2</v>
      </c>
      <c r="D406">
        <v>-23.2</v>
      </c>
      <c r="E406">
        <v>-8</v>
      </c>
      <c r="F406" t="s">
        <v>154</v>
      </c>
    </row>
    <row r="407" spans="2:6" x14ac:dyDescent="0.15">
      <c r="B407" t="s">
        <v>155</v>
      </c>
      <c r="C407">
        <v>-8.81</v>
      </c>
      <c r="D407">
        <v>-11.06</v>
      </c>
      <c r="E407">
        <v>-2.2599999999999998</v>
      </c>
      <c r="F407" t="s">
        <v>156</v>
      </c>
    </row>
    <row r="408" spans="2:6" x14ac:dyDescent="0.15">
      <c r="B408" t="s">
        <v>157</v>
      </c>
      <c r="C408">
        <v>-17.829999999999998</v>
      </c>
      <c r="D408">
        <v>-34.950000000000003</v>
      </c>
      <c r="E408">
        <v>-17.12</v>
      </c>
      <c r="F408" t="s">
        <v>157</v>
      </c>
    </row>
    <row r="409" spans="2:6" x14ac:dyDescent="0.15">
      <c r="B409" t="s">
        <v>158</v>
      </c>
      <c r="C409">
        <v>-13.34</v>
      </c>
      <c r="D409">
        <v>-11.75</v>
      </c>
      <c r="E409">
        <v>1.58</v>
      </c>
      <c r="F409" t="s">
        <v>158</v>
      </c>
    </row>
    <row r="410" spans="2:6" x14ac:dyDescent="0.15">
      <c r="B410" t="s">
        <v>159</v>
      </c>
      <c r="C410">
        <v>-12.98</v>
      </c>
      <c r="D410">
        <v>-11.75</v>
      </c>
      <c r="E410">
        <v>1.22</v>
      </c>
      <c r="F410" t="s">
        <v>159</v>
      </c>
    </row>
    <row r="411" spans="2:6" x14ac:dyDescent="0.15">
      <c r="B411" t="s">
        <v>160</v>
      </c>
      <c r="C411">
        <v>-15.39</v>
      </c>
      <c r="D411">
        <v>-22.52</v>
      </c>
      <c r="E411">
        <v>-7.13</v>
      </c>
      <c r="F411" t="s">
        <v>284</v>
      </c>
    </row>
    <row r="412" spans="2:6" x14ac:dyDescent="0.15">
      <c r="B412" t="s">
        <v>161</v>
      </c>
      <c r="C412">
        <v>-7.97</v>
      </c>
      <c r="D412">
        <v>-9.9</v>
      </c>
      <c r="E412">
        <v>-1.92</v>
      </c>
      <c r="F412" t="s">
        <v>162</v>
      </c>
    </row>
    <row r="413" spans="2:6" x14ac:dyDescent="0.15">
      <c r="B413" t="s">
        <v>106</v>
      </c>
      <c r="C413">
        <v>-5.8</v>
      </c>
      <c r="D413">
        <v>7.89</v>
      </c>
      <c r="E413">
        <v>13.68</v>
      </c>
      <c r="F413" t="s">
        <v>106</v>
      </c>
    </row>
    <row r="414" spans="2:6" x14ac:dyDescent="0.15">
      <c r="B414" t="s">
        <v>250</v>
      </c>
      <c r="C414">
        <v>-15.1</v>
      </c>
      <c r="D414">
        <v>-46.4</v>
      </c>
      <c r="E414">
        <v>-31.3</v>
      </c>
      <c r="F414" t="s">
        <v>250</v>
      </c>
    </row>
    <row r="415" spans="2:6" x14ac:dyDescent="0.15">
      <c r="B415" t="s">
        <v>163</v>
      </c>
      <c r="C415">
        <v>-19.399999999999999</v>
      </c>
      <c r="D415">
        <v>12.6</v>
      </c>
      <c r="E415">
        <v>32</v>
      </c>
      <c r="F415" t="s">
        <v>163</v>
      </c>
    </row>
    <row r="416" spans="2:6" x14ac:dyDescent="0.15">
      <c r="B416" t="s">
        <v>258</v>
      </c>
      <c r="C416">
        <v>-6.97</v>
      </c>
      <c r="D416">
        <v>-13.45</v>
      </c>
      <c r="E416">
        <v>-6.48</v>
      </c>
      <c r="F416" t="s">
        <v>258</v>
      </c>
    </row>
    <row r="417" spans="2:6" x14ac:dyDescent="0.15">
      <c r="B417" t="s">
        <v>164</v>
      </c>
      <c r="C417">
        <v>-4.1500000000000004</v>
      </c>
      <c r="D417">
        <v>-15.31</v>
      </c>
      <c r="E417">
        <v>-11.15</v>
      </c>
      <c r="F417" t="s">
        <v>164</v>
      </c>
    </row>
    <row r="418" spans="2:6" x14ac:dyDescent="0.15">
      <c r="B418" t="s">
        <v>461</v>
      </c>
      <c r="C418">
        <v>0</v>
      </c>
      <c r="D418">
        <v>88.39</v>
      </c>
      <c r="E418">
        <v>88.39</v>
      </c>
      <c r="F418" t="s">
        <v>109</v>
      </c>
    </row>
    <row r="419" spans="2:6" x14ac:dyDescent="0.15">
      <c r="B419" t="s">
        <v>165</v>
      </c>
      <c r="C419">
        <v>-10.52</v>
      </c>
      <c r="D419">
        <v>13.47</v>
      </c>
      <c r="E419">
        <v>24</v>
      </c>
      <c r="F419" t="s">
        <v>166</v>
      </c>
    </row>
    <row r="420" spans="2:6" x14ac:dyDescent="0.15">
      <c r="B420" t="s">
        <v>167</v>
      </c>
      <c r="C420">
        <v>-8.98</v>
      </c>
      <c r="D420">
        <v>-11.06</v>
      </c>
      <c r="E420">
        <v>-2.08</v>
      </c>
      <c r="F420" t="s">
        <v>168</v>
      </c>
    </row>
    <row r="421" spans="2:6" x14ac:dyDescent="0.15">
      <c r="B421" t="s">
        <v>169</v>
      </c>
      <c r="C421">
        <v>-2.67</v>
      </c>
      <c r="D421">
        <v>-12.52</v>
      </c>
      <c r="E421">
        <v>-9.85</v>
      </c>
      <c r="F421" t="s">
        <v>257</v>
      </c>
    </row>
    <row r="422" spans="2:6" x14ac:dyDescent="0.15">
      <c r="B422" t="s">
        <v>170</v>
      </c>
      <c r="C422">
        <v>-0.59</v>
      </c>
      <c r="D422">
        <v>7.66</v>
      </c>
      <c r="E422">
        <v>8.25</v>
      </c>
      <c r="F422" t="s">
        <v>171</v>
      </c>
    </row>
    <row r="423" spans="2:6" x14ac:dyDescent="0.15">
      <c r="B423" t="s">
        <v>172</v>
      </c>
      <c r="C423">
        <v>-7.91</v>
      </c>
      <c r="D423">
        <v>-7.51</v>
      </c>
      <c r="E423">
        <v>0.41</v>
      </c>
      <c r="F423" t="s">
        <v>173</v>
      </c>
    </row>
    <row r="424" spans="2:6" x14ac:dyDescent="0.15">
      <c r="B424" t="s">
        <v>174</v>
      </c>
      <c r="C424">
        <v>-10.63</v>
      </c>
      <c r="D424">
        <v>-9.9</v>
      </c>
      <c r="E424">
        <v>0.73</v>
      </c>
      <c r="F424" t="s">
        <v>175</v>
      </c>
    </row>
    <row r="425" spans="2:6" x14ac:dyDescent="0.15">
      <c r="B425" t="s">
        <v>176</v>
      </c>
      <c r="C425">
        <v>-3.34</v>
      </c>
      <c r="D425">
        <v>8.82</v>
      </c>
      <c r="E425">
        <v>12.17</v>
      </c>
      <c r="F425" t="s">
        <v>177</v>
      </c>
    </row>
    <row r="426" spans="2:6" x14ac:dyDescent="0.15">
      <c r="B426" t="s">
        <v>178</v>
      </c>
      <c r="C426">
        <v>-14.83</v>
      </c>
      <c r="D426">
        <v>-10.130000000000001</v>
      </c>
      <c r="E426">
        <v>4.7</v>
      </c>
      <c r="F426" t="s">
        <v>111</v>
      </c>
    </row>
    <row r="427" spans="2:6" x14ac:dyDescent="0.15">
      <c r="B427" t="s">
        <v>179</v>
      </c>
      <c r="C427">
        <v>-17.350000000000001</v>
      </c>
      <c r="D427">
        <v>-14.26</v>
      </c>
      <c r="E427">
        <v>3.09</v>
      </c>
      <c r="F427" t="s">
        <v>179</v>
      </c>
    </row>
    <row r="428" spans="2:6" x14ac:dyDescent="0.15">
      <c r="B428" t="s">
        <v>116</v>
      </c>
      <c r="C428">
        <v>-3.38</v>
      </c>
      <c r="D428">
        <v>8.82</v>
      </c>
      <c r="E428">
        <v>12.2</v>
      </c>
      <c r="F428" t="s">
        <v>116</v>
      </c>
    </row>
    <row r="429" spans="2:6" x14ac:dyDescent="0.15">
      <c r="B429" t="s">
        <v>180</v>
      </c>
      <c r="C429">
        <v>-4.4000000000000004</v>
      </c>
      <c r="D429">
        <v>8.82</v>
      </c>
      <c r="E429">
        <v>13.22</v>
      </c>
      <c r="F429" t="s">
        <v>116</v>
      </c>
    </row>
    <row r="430" spans="2:6" x14ac:dyDescent="0.15">
      <c r="B430" t="s">
        <v>181</v>
      </c>
      <c r="C430">
        <v>-3.7</v>
      </c>
      <c r="D430">
        <v>8.82</v>
      </c>
      <c r="E430">
        <v>12.53</v>
      </c>
      <c r="F430" t="s">
        <v>116</v>
      </c>
    </row>
    <row r="431" spans="2:6" x14ac:dyDescent="0.15">
      <c r="B431" t="s">
        <v>182</v>
      </c>
      <c r="C431">
        <v>-3.47</v>
      </c>
      <c r="D431">
        <v>8.82</v>
      </c>
      <c r="E431">
        <v>12.29</v>
      </c>
      <c r="F431" t="s">
        <v>116</v>
      </c>
    </row>
    <row r="432" spans="2:6" x14ac:dyDescent="0.15">
      <c r="B432" t="s">
        <v>183</v>
      </c>
      <c r="C432">
        <v>-2.91</v>
      </c>
      <c r="D432">
        <v>8.82</v>
      </c>
      <c r="E432">
        <v>11.73</v>
      </c>
      <c r="F432" t="s">
        <v>116</v>
      </c>
    </row>
    <row r="433" spans="1:6" x14ac:dyDescent="0.15">
      <c r="B433" t="s">
        <v>184</v>
      </c>
      <c r="C433">
        <v>-8.81</v>
      </c>
      <c r="D433">
        <v>-1.31</v>
      </c>
      <c r="E433">
        <v>7.5</v>
      </c>
      <c r="F433" t="s">
        <v>184</v>
      </c>
    </row>
    <row r="434" spans="1:6" x14ac:dyDescent="0.15">
      <c r="B434" t="s">
        <v>185</v>
      </c>
      <c r="C434">
        <v>-8.25</v>
      </c>
      <c r="D434">
        <v>6.94</v>
      </c>
      <c r="E434">
        <v>15.19</v>
      </c>
      <c r="F434" t="s">
        <v>185</v>
      </c>
    </row>
    <row r="435" spans="1:6" x14ac:dyDescent="0.15">
      <c r="B435" t="s">
        <v>251</v>
      </c>
      <c r="C435">
        <v>-8.18</v>
      </c>
      <c r="D435">
        <v>-43.6</v>
      </c>
      <c r="E435">
        <v>-35.42</v>
      </c>
      <c r="F435" t="s">
        <v>251</v>
      </c>
    </row>
    <row r="436" spans="1:6" x14ac:dyDescent="0.15">
      <c r="B436" t="s">
        <v>186</v>
      </c>
      <c r="C436">
        <v>-32.75</v>
      </c>
      <c r="D436">
        <v>-11.44</v>
      </c>
      <c r="E436">
        <v>21.31</v>
      </c>
      <c r="F436" t="s">
        <v>186</v>
      </c>
    </row>
    <row r="437" spans="1:6" x14ac:dyDescent="0.15">
      <c r="B437" t="s">
        <v>187</v>
      </c>
      <c r="C437">
        <v>-12.07</v>
      </c>
      <c r="D437">
        <v>16.329999999999998</v>
      </c>
      <c r="E437">
        <v>28.4</v>
      </c>
      <c r="F437" t="s">
        <v>187</v>
      </c>
    </row>
    <row r="438" spans="1:6" x14ac:dyDescent="0.15">
      <c r="B438" t="s">
        <v>188</v>
      </c>
      <c r="C438">
        <v>-15.8</v>
      </c>
      <c r="D438">
        <v>22.7</v>
      </c>
      <c r="E438">
        <v>38.5</v>
      </c>
      <c r="F438" t="s">
        <v>188</v>
      </c>
    </row>
    <row r="439" spans="1:6" x14ac:dyDescent="0.15">
      <c r="B439" t="s">
        <v>277</v>
      </c>
      <c r="C439">
        <v>-20.309999999999999</v>
      </c>
      <c r="D439">
        <v>-12.59</v>
      </c>
      <c r="E439">
        <v>7.72</v>
      </c>
      <c r="F439" t="s">
        <v>277</v>
      </c>
    </row>
    <row r="440" spans="1:6" x14ac:dyDescent="0.15">
      <c r="B440" t="s">
        <v>189</v>
      </c>
      <c r="C440">
        <v>-2.2599999999999998</v>
      </c>
      <c r="D440">
        <v>-12.52</v>
      </c>
      <c r="E440">
        <v>-10.26</v>
      </c>
      <c r="F440" t="s">
        <v>189</v>
      </c>
    </row>
    <row r="441" spans="1:6" x14ac:dyDescent="0.15">
      <c r="B441" t="s">
        <v>190</v>
      </c>
      <c r="C441">
        <v>-62.59</v>
      </c>
      <c r="D441">
        <v>-35.380000000000003</v>
      </c>
      <c r="E441">
        <v>27.21</v>
      </c>
      <c r="F441" t="s">
        <v>847</v>
      </c>
    </row>
    <row r="442" spans="1:6" x14ac:dyDescent="0.15">
      <c r="B442" t="s">
        <v>191</v>
      </c>
      <c r="C442">
        <v>-4.3499999999999996</v>
      </c>
      <c r="D442">
        <v>-14.38</v>
      </c>
      <c r="E442">
        <v>-10.029999999999999</v>
      </c>
      <c r="F442" t="s">
        <v>191</v>
      </c>
    </row>
    <row r="443" spans="1:6" x14ac:dyDescent="0.15">
      <c r="B443" t="s">
        <v>192</v>
      </c>
      <c r="C443">
        <v>-3.19</v>
      </c>
      <c r="D443">
        <v>8.82</v>
      </c>
      <c r="E443">
        <v>12.01</v>
      </c>
      <c r="F443" t="s">
        <v>177</v>
      </c>
    </row>
    <row r="444" spans="1:6" x14ac:dyDescent="0.15">
      <c r="B444" t="s">
        <v>193</v>
      </c>
      <c r="C444">
        <v>-9.9</v>
      </c>
      <c r="D444">
        <v>-10.130000000000001</v>
      </c>
      <c r="E444">
        <v>-0.23</v>
      </c>
      <c r="F444" t="s">
        <v>193</v>
      </c>
    </row>
    <row r="447" spans="1:6" x14ac:dyDescent="0.15">
      <c r="A447" t="s">
        <v>484</v>
      </c>
      <c r="B447" t="s">
        <v>482</v>
      </c>
      <c r="C447">
        <v>2</v>
      </c>
      <c r="D447" t="s">
        <v>230</v>
      </c>
    </row>
    <row r="449" spans="1:6" x14ac:dyDescent="0.15">
      <c r="A449" t="e">
        <f>-----------------------------Solution</f>
        <v>#NAME?</v>
      </c>
      <c r="B449" t="s">
        <v>204</v>
      </c>
    </row>
    <row r="451" spans="1:6" x14ac:dyDescent="0.15">
      <c r="B451" t="s">
        <v>205</v>
      </c>
      <c r="C451" t="s">
        <v>206</v>
      </c>
      <c r="D451" t="s">
        <v>207</v>
      </c>
    </row>
    <row r="453" spans="1:6" x14ac:dyDescent="0.15">
      <c r="B453" t="s">
        <v>466</v>
      </c>
      <c r="C453" s="169">
        <v>5.0000000000000001E-4</v>
      </c>
      <c r="D453" s="169">
        <v>5.0000000000000001E-4</v>
      </c>
    </row>
    <row r="454" spans="1:6" x14ac:dyDescent="0.15">
      <c r="B454" t="s">
        <v>664</v>
      </c>
      <c r="C454" s="169">
        <v>1.996E-4</v>
      </c>
      <c r="D454" s="169">
        <v>1.996E-4</v>
      </c>
    </row>
    <row r="455" spans="1:6" x14ac:dyDescent="0.15">
      <c r="B455" t="s">
        <v>658</v>
      </c>
      <c r="C455" s="169">
        <v>1.4100000000000001E-4</v>
      </c>
      <c r="D455" s="169">
        <v>1.4100000000000001E-4</v>
      </c>
    </row>
    <row r="456" spans="1:6" x14ac:dyDescent="0.15">
      <c r="B456" t="s">
        <v>671</v>
      </c>
      <c r="C456" s="169">
        <v>1.697E-9</v>
      </c>
      <c r="D456" s="169">
        <v>1.697E-9</v>
      </c>
    </row>
    <row r="457" spans="1:6" x14ac:dyDescent="0.15">
      <c r="B457" t="s">
        <v>836</v>
      </c>
      <c r="C457" s="169">
        <v>7.8679999999999997E-9</v>
      </c>
      <c r="D457" s="169">
        <v>7.8679999999999997E-9</v>
      </c>
    </row>
    <row r="458" spans="1:6" x14ac:dyDescent="0.15">
      <c r="B458" t="s">
        <v>837</v>
      </c>
      <c r="C458" s="169">
        <v>1.0419999999999999E-9</v>
      </c>
      <c r="D458" s="169">
        <v>1.0419999999999999E-9</v>
      </c>
    </row>
    <row r="459" spans="1:6" x14ac:dyDescent="0.15">
      <c r="B459" t="s">
        <v>468</v>
      </c>
      <c r="C459" s="169">
        <v>7.1390000000000003E-9</v>
      </c>
      <c r="D459" s="169">
        <v>7.1390000000000003E-9</v>
      </c>
    </row>
    <row r="460" spans="1:6" x14ac:dyDescent="0.15">
      <c r="B460" t="s">
        <v>469</v>
      </c>
      <c r="C460" s="169">
        <v>7.1389999999999995E-7</v>
      </c>
      <c r="D460" s="169">
        <v>7.1389999999999995E-7</v>
      </c>
    </row>
    <row r="461" spans="1:6" x14ac:dyDescent="0.15">
      <c r="B461" t="s">
        <v>667</v>
      </c>
      <c r="C461" s="169">
        <v>2.633E-4</v>
      </c>
      <c r="D461" s="169">
        <v>2.633E-4</v>
      </c>
      <c r="E461" t="s">
        <v>208</v>
      </c>
      <c r="F461" t="s">
        <v>209</v>
      </c>
    </row>
    <row r="462" spans="1:6" x14ac:dyDescent="0.15">
      <c r="B462" t="s">
        <v>838</v>
      </c>
      <c r="C462" s="169">
        <v>1.7039999999999999E-9</v>
      </c>
      <c r="D462" s="169">
        <v>1.7039999999999999E-9</v>
      </c>
    </row>
    <row r="463" spans="1:6" x14ac:dyDescent="0.15">
      <c r="B463" t="s">
        <v>471</v>
      </c>
      <c r="C463" s="169">
        <v>6.2500000000000001E-4</v>
      </c>
      <c r="D463" s="169">
        <v>6.2500000000000001E-4</v>
      </c>
    </row>
    <row r="464" spans="1:6" x14ac:dyDescent="0.15">
      <c r="B464" t="s">
        <v>472</v>
      </c>
      <c r="C464" s="169">
        <v>1.041E-5</v>
      </c>
      <c r="D464" s="169">
        <v>1.041E-5</v>
      </c>
    </row>
    <row r="465" spans="1:7" x14ac:dyDescent="0.15">
      <c r="B465" t="s">
        <v>847</v>
      </c>
      <c r="C465" s="169">
        <v>1.529E-9</v>
      </c>
      <c r="D465" s="169">
        <v>1.529E-9</v>
      </c>
    </row>
    <row r="467" spans="1:7" x14ac:dyDescent="0.15">
      <c r="A467" t="e">
        <f>----------------------------Description</f>
        <v>#NAME?</v>
      </c>
      <c r="B467" t="s">
        <v>480</v>
      </c>
      <c r="C467" t="s">
        <v>210</v>
      </c>
    </row>
    <row r="469" spans="1:7" x14ac:dyDescent="0.15">
      <c r="B469" t="s">
        <v>698</v>
      </c>
      <c r="C469" t="s">
        <v>211</v>
      </c>
      <c r="D469">
        <v>6.8</v>
      </c>
    </row>
    <row r="470" spans="1:7" x14ac:dyDescent="0.15">
      <c r="B470" t="s">
        <v>460</v>
      </c>
      <c r="C470" t="s">
        <v>211</v>
      </c>
      <c r="D470">
        <v>15.298999999999999</v>
      </c>
      <c r="E470" t="s">
        <v>212</v>
      </c>
      <c r="F470" t="s">
        <v>213</v>
      </c>
      <c r="G470" t="s">
        <v>461</v>
      </c>
    </row>
    <row r="471" spans="1:7" x14ac:dyDescent="0.15">
      <c r="B471" t="s">
        <v>214</v>
      </c>
      <c r="C471" t="s">
        <v>480</v>
      </c>
      <c r="D471" t="s">
        <v>473</v>
      </c>
      <c r="E471" t="s">
        <v>211</v>
      </c>
      <c r="F471">
        <v>1</v>
      </c>
    </row>
    <row r="472" spans="1:7" x14ac:dyDescent="0.15">
      <c r="B472" t="s">
        <v>215</v>
      </c>
      <c r="C472" t="s">
        <v>216</v>
      </c>
      <c r="D472" t="s">
        <v>211</v>
      </c>
      <c r="E472" s="169">
        <v>8.6939999999999999E-4</v>
      </c>
    </row>
    <row r="473" spans="1:7" x14ac:dyDescent="0.15">
      <c r="B473" t="s">
        <v>217</v>
      </c>
      <c r="C473" t="s">
        <v>480</v>
      </c>
      <c r="D473" t="s">
        <v>473</v>
      </c>
      <c r="E473" t="s">
        <v>218</v>
      </c>
      <c r="F473" t="s">
        <v>211</v>
      </c>
      <c r="G473" s="169">
        <v>1</v>
      </c>
    </row>
    <row r="474" spans="1:7" x14ac:dyDescent="0.15">
      <c r="B474" t="s">
        <v>1228</v>
      </c>
      <c r="C474" t="s">
        <v>219</v>
      </c>
      <c r="D474" t="s">
        <v>220</v>
      </c>
      <c r="E474" t="s">
        <v>211</v>
      </c>
      <c r="F474" s="169">
        <v>7.094E-4</v>
      </c>
    </row>
    <row r="475" spans="1:7" x14ac:dyDescent="0.15">
      <c r="B475" t="s">
        <v>1228</v>
      </c>
      <c r="C475" t="s">
        <v>221</v>
      </c>
      <c r="D475" t="s">
        <v>220</v>
      </c>
      <c r="E475" t="s">
        <v>211</v>
      </c>
      <c r="F475" s="169">
        <v>7.094E-4</v>
      </c>
    </row>
    <row r="476" spans="1:7" x14ac:dyDescent="0.15">
      <c r="B476" t="s">
        <v>222</v>
      </c>
      <c r="C476" t="s">
        <v>223</v>
      </c>
      <c r="D476" t="s">
        <v>224</v>
      </c>
      <c r="E476" t="s">
        <v>211</v>
      </c>
      <c r="F476">
        <v>10</v>
      </c>
    </row>
    <row r="477" spans="1:7" x14ac:dyDescent="0.15">
      <c r="B477" t="s">
        <v>225</v>
      </c>
      <c r="C477" t="s">
        <v>209</v>
      </c>
      <c r="D477" t="s">
        <v>226</v>
      </c>
      <c r="E477" t="s">
        <v>211</v>
      </c>
      <c r="F477" s="169">
        <v>-2.3260000000000002E-18</v>
      </c>
    </row>
    <row r="478" spans="1:7" x14ac:dyDescent="0.15">
      <c r="B478" t="s">
        <v>227</v>
      </c>
      <c r="C478" t="s">
        <v>228</v>
      </c>
      <c r="D478" t="s">
        <v>229</v>
      </c>
      <c r="E478" t="s">
        <v>211</v>
      </c>
      <c r="F478">
        <v>0</v>
      </c>
    </row>
    <row r="479" spans="1:7" x14ac:dyDescent="0.15">
      <c r="B479" t="s">
        <v>497</v>
      </c>
      <c r="C479" t="s">
        <v>211</v>
      </c>
      <c r="D479">
        <v>11</v>
      </c>
    </row>
    <row r="480" spans="1:7" x14ac:dyDescent="0.15">
      <c r="B480" t="s">
        <v>1228</v>
      </c>
      <c r="C480" t="s">
        <v>498</v>
      </c>
      <c r="D480" t="s">
        <v>211</v>
      </c>
      <c r="E480" s="169">
        <v>111.0146</v>
      </c>
    </row>
    <row r="481" spans="1:7" x14ac:dyDescent="0.15">
      <c r="B481" t="s">
        <v>1228</v>
      </c>
      <c r="C481" t="s">
        <v>499</v>
      </c>
      <c r="D481" t="s">
        <v>211</v>
      </c>
      <c r="E481" s="169">
        <v>55.509630000000001</v>
      </c>
    </row>
    <row r="483" spans="1:7" x14ac:dyDescent="0.15">
      <c r="A483" t="e">
        <f>---------------------------------Redox</f>
        <v>#NAME?</v>
      </c>
      <c r="B483" t="s">
        <v>500</v>
      </c>
    </row>
    <row r="485" spans="1:7" x14ac:dyDescent="0.15">
      <c r="B485" t="s">
        <v>501</v>
      </c>
      <c r="C485" t="s">
        <v>502</v>
      </c>
      <c r="D485" t="s">
        <v>460</v>
      </c>
      <c r="E485" t="s">
        <v>503</v>
      </c>
      <c r="F485" t="s">
        <v>504</v>
      </c>
    </row>
    <row r="487" spans="1:7" x14ac:dyDescent="0.15">
      <c r="B487" t="s">
        <v>505</v>
      </c>
      <c r="C487">
        <v>7.5430999999999999</v>
      </c>
      <c r="D487">
        <v>0.42380000000000001</v>
      </c>
    </row>
    <row r="488" spans="1:7" x14ac:dyDescent="0.15">
      <c r="B488" t="s">
        <v>506</v>
      </c>
      <c r="C488">
        <v>14.938499999999999</v>
      </c>
      <c r="D488">
        <v>0.83919999999999995</v>
      </c>
    </row>
    <row r="490" spans="1:7" x14ac:dyDescent="0.15">
      <c r="A490" t="e">
        <f>----------------------------Distribution</f>
        <v>#NAME?</v>
      </c>
      <c r="B490" t="s">
        <v>480</v>
      </c>
      <c r="C490" t="s">
        <v>507</v>
      </c>
    </row>
    <row r="492" spans="1:7" x14ac:dyDescent="0.15">
      <c r="B492" t="s">
        <v>508</v>
      </c>
      <c r="C492" t="s">
        <v>508</v>
      </c>
      <c r="D492" t="s">
        <v>508</v>
      </c>
      <c r="E492" t="s">
        <v>509</v>
      </c>
      <c r="F492" t="s">
        <v>548</v>
      </c>
    </row>
    <row r="493" spans="1:7" x14ac:dyDescent="0.15">
      <c r="B493" t="s">
        <v>510</v>
      </c>
      <c r="C493" t="s">
        <v>206</v>
      </c>
      <c r="D493" t="s">
        <v>214</v>
      </c>
      <c r="E493" t="s">
        <v>206</v>
      </c>
      <c r="F493" t="s">
        <v>214</v>
      </c>
      <c r="G493" t="s">
        <v>511</v>
      </c>
    </row>
    <row r="495" spans="1:7" x14ac:dyDescent="0.15">
      <c r="B495" t="s">
        <v>514</v>
      </c>
      <c r="C495" s="169">
        <v>1.6369999999999999E-7</v>
      </c>
      <c r="D495" s="169">
        <v>1.585E-7</v>
      </c>
      <c r="E495">
        <v>-6.7859999999999996</v>
      </c>
      <c r="F495">
        <v>-6.8</v>
      </c>
      <c r="G495">
        <v>-1.4E-2</v>
      </c>
    </row>
    <row r="496" spans="1:7" x14ac:dyDescent="0.15">
      <c r="B496" t="s">
        <v>513</v>
      </c>
      <c r="C496" s="169">
        <v>1.9919999999999999E-8</v>
      </c>
      <c r="D496" s="169">
        <v>1.9280000000000001E-8</v>
      </c>
      <c r="E496">
        <v>-7.7009999999999996</v>
      </c>
      <c r="F496">
        <v>-7.7149999999999999</v>
      </c>
      <c r="G496">
        <v>-1.4E-2</v>
      </c>
    </row>
    <row r="497" spans="1:7" x14ac:dyDescent="0.15">
      <c r="B497" t="s">
        <v>515</v>
      </c>
      <c r="C497" s="169">
        <v>55.51</v>
      </c>
      <c r="D497" s="169">
        <v>1</v>
      </c>
      <c r="E497">
        <v>1.744</v>
      </c>
      <c r="F497">
        <v>0</v>
      </c>
      <c r="G497">
        <v>0</v>
      </c>
    </row>
    <row r="498" spans="1:7" x14ac:dyDescent="0.15">
      <c r="A498" t="s">
        <v>516</v>
      </c>
      <c r="B498" s="169">
        <v>7.094E-4</v>
      </c>
    </row>
    <row r="499" spans="1:7" x14ac:dyDescent="0.15">
      <c r="B499" t="s">
        <v>517</v>
      </c>
      <c r="C499" s="169">
        <v>4.9870000000000003E-4</v>
      </c>
      <c r="D499" s="169">
        <v>4.8289999999999997E-4</v>
      </c>
      <c r="E499">
        <v>-3.302</v>
      </c>
      <c r="F499">
        <v>-3.3159999999999998</v>
      </c>
      <c r="G499">
        <v>-1.4E-2</v>
      </c>
    </row>
    <row r="500" spans="1:7" x14ac:dyDescent="0.15">
      <c r="B500" t="s">
        <v>519</v>
      </c>
      <c r="C500" s="169">
        <v>2.0939999999999999E-4</v>
      </c>
      <c r="D500" s="169">
        <v>2.0939999999999999E-4</v>
      </c>
      <c r="E500">
        <v>-3.6789999999999998</v>
      </c>
      <c r="F500">
        <v>-3.6789999999999998</v>
      </c>
      <c r="G500">
        <v>0</v>
      </c>
    </row>
    <row r="501" spans="1:7" x14ac:dyDescent="0.15">
      <c r="B501" t="s">
        <v>518</v>
      </c>
      <c r="C501" s="169">
        <v>1.054E-6</v>
      </c>
      <c r="D501" s="169">
        <v>1.0210000000000001E-6</v>
      </c>
      <c r="E501">
        <v>-5.9770000000000003</v>
      </c>
      <c r="F501">
        <v>-5.9909999999999997</v>
      </c>
      <c r="G501">
        <v>-1.4E-2</v>
      </c>
    </row>
    <row r="502" spans="1:7" x14ac:dyDescent="0.15">
      <c r="B502" t="s">
        <v>521</v>
      </c>
      <c r="C502" s="169">
        <v>1.191E-7</v>
      </c>
      <c r="D502" s="169">
        <v>1.046E-7</v>
      </c>
      <c r="E502">
        <v>-6.9240000000000004</v>
      </c>
      <c r="F502">
        <v>-6.9809999999999999</v>
      </c>
      <c r="G502">
        <v>-5.7000000000000002E-2</v>
      </c>
    </row>
    <row r="503" spans="1:7" x14ac:dyDescent="0.15">
      <c r="B503" t="s">
        <v>522</v>
      </c>
      <c r="C503" s="169">
        <v>9.2789999999999999E-8</v>
      </c>
      <c r="D503" s="169">
        <v>9.2789999999999999E-8</v>
      </c>
      <c r="E503">
        <v>-7.0330000000000004</v>
      </c>
      <c r="F503">
        <v>-7.0330000000000004</v>
      </c>
      <c r="G503">
        <v>0</v>
      </c>
    </row>
    <row r="504" spans="1:7" x14ac:dyDescent="0.15">
      <c r="B504" t="s">
        <v>520</v>
      </c>
      <c r="C504" s="169">
        <v>2.049E-8</v>
      </c>
      <c r="D504" s="169">
        <v>2.049E-8</v>
      </c>
      <c r="E504">
        <v>-7.6879999999999997</v>
      </c>
      <c r="F504">
        <v>-7.6879999999999997</v>
      </c>
      <c r="G504">
        <v>0</v>
      </c>
    </row>
    <row r="505" spans="1:7" x14ac:dyDescent="0.15">
      <c r="B505" t="s">
        <v>256</v>
      </c>
      <c r="C505" s="169">
        <v>2.578E-9</v>
      </c>
      <c r="D505" s="169">
        <v>2.578E-9</v>
      </c>
      <c r="E505">
        <v>-8.5890000000000004</v>
      </c>
      <c r="F505">
        <v>-8.5890000000000004</v>
      </c>
      <c r="G505">
        <v>0</v>
      </c>
    </row>
    <row r="506" spans="1:7" x14ac:dyDescent="0.15">
      <c r="B506" t="s">
        <v>255</v>
      </c>
      <c r="C506" s="169">
        <v>7.9139999999999998E-10</v>
      </c>
      <c r="D506" s="169">
        <v>7.6630000000000003E-10</v>
      </c>
      <c r="E506">
        <v>-9.1020000000000003</v>
      </c>
      <c r="F506">
        <v>-9.1159999999999997</v>
      </c>
      <c r="G506">
        <v>-1.4E-2</v>
      </c>
    </row>
    <row r="507" spans="1:7" x14ac:dyDescent="0.15">
      <c r="B507" t="s">
        <v>264</v>
      </c>
      <c r="C507" s="169">
        <v>9.6610000000000003E-11</v>
      </c>
      <c r="D507" s="169">
        <v>9.3399999999999995E-11</v>
      </c>
      <c r="E507">
        <v>-10.015000000000001</v>
      </c>
      <c r="F507">
        <v>-10.029999999999999</v>
      </c>
      <c r="G507">
        <v>-1.4999999999999999E-2</v>
      </c>
    </row>
    <row r="508" spans="1:7" x14ac:dyDescent="0.15">
      <c r="B508" t="s">
        <v>260</v>
      </c>
      <c r="C508" s="169">
        <v>6.4540000000000004E-11</v>
      </c>
      <c r="D508" s="169">
        <v>6.2390000000000004E-11</v>
      </c>
      <c r="E508">
        <v>-10.19</v>
      </c>
      <c r="F508">
        <v>-10.205</v>
      </c>
      <c r="G508">
        <v>-1.4999999999999999E-2</v>
      </c>
    </row>
    <row r="509" spans="1:7" x14ac:dyDescent="0.15">
      <c r="B509" t="s">
        <v>261</v>
      </c>
      <c r="C509" s="169">
        <v>4.096E-11</v>
      </c>
      <c r="D509" s="169">
        <v>3.9599999999999998E-11</v>
      </c>
      <c r="E509">
        <v>-10.388</v>
      </c>
      <c r="F509">
        <v>-10.401999999999999</v>
      </c>
      <c r="G509">
        <v>-1.4999999999999999E-2</v>
      </c>
    </row>
    <row r="510" spans="1:7" x14ac:dyDescent="0.15">
      <c r="B510" t="s">
        <v>263</v>
      </c>
      <c r="C510" s="169">
        <v>1.524E-11</v>
      </c>
      <c r="D510" s="169">
        <v>1.473E-11</v>
      </c>
      <c r="E510">
        <v>-10.817</v>
      </c>
      <c r="F510">
        <v>-10.832000000000001</v>
      </c>
      <c r="G510">
        <v>-1.4999999999999999E-2</v>
      </c>
    </row>
    <row r="511" spans="1:7" x14ac:dyDescent="0.15">
      <c r="B511" t="s">
        <v>257</v>
      </c>
      <c r="C511" s="169">
        <v>7.9279999999999993E-12</v>
      </c>
      <c r="D511" s="169">
        <v>7.9279999999999993E-12</v>
      </c>
      <c r="E511">
        <v>-11.101000000000001</v>
      </c>
      <c r="F511">
        <v>-11.101000000000001</v>
      </c>
      <c r="G511">
        <v>0</v>
      </c>
    </row>
    <row r="512" spans="1:7" x14ac:dyDescent="0.15">
      <c r="B512" t="s">
        <v>258</v>
      </c>
      <c r="C512" s="169">
        <v>5.5850000000000001E-12</v>
      </c>
      <c r="D512" s="169">
        <v>5.5850000000000001E-12</v>
      </c>
      <c r="E512">
        <v>-11.253</v>
      </c>
      <c r="F512">
        <v>-11.253</v>
      </c>
      <c r="G512">
        <v>0</v>
      </c>
    </row>
    <row r="513" spans="1:7" x14ac:dyDescent="0.15">
      <c r="B513" t="s">
        <v>259</v>
      </c>
      <c r="C513" s="169">
        <v>2.5459999999999999E-12</v>
      </c>
      <c r="D513" s="169">
        <v>2.5459999999999999E-12</v>
      </c>
      <c r="E513">
        <v>-11.593999999999999</v>
      </c>
      <c r="F513">
        <v>-11.593999999999999</v>
      </c>
      <c r="G513">
        <v>0</v>
      </c>
    </row>
    <row r="514" spans="1:7" x14ac:dyDescent="0.15">
      <c r="B514" t="s">
        <v>262</v>
      </c>
      <c r="C514" s="169">
        <v>8.3079999999999995E-13</v>
      </c>
      <c r="D514" s="169">
        <v>7.2570000000000003E-13</v>
      </c>
      <c r="E514">
        <v>-12.081</v>
      </c>
      <c r="F514">
        <v>-12.138999999999999</v>
      </c>
      <c r="G514">
        <v>-5.8999999999999997E-2</v>
      </c>
    </row>
    <row r="515" spans="1:7" x14ac:dyDescent="0.15">
      <c r="A515" t="s">
        <v>664</v>
      </c>
      <c r="B515" s="169">
        <v>1.996E-4</v>
      </c>
    </row>
    <row r="516" spans="1:7" x14ac:dyDescent="0.15">
      <c r="B516" t="s">
        <v>265</v>
      </c>
      <c r="C516" s="169">
        <v>1.9819999999999999E-4</v>
      </c>
      <c r="D516" s="169">
        <v>1.74E-4</v>
      </c>
      <c r="E516">
        <v>-3.7029999999999998</v>
      </c>
      <c r="F516">
        <v>-3.7589999999999999</v>
      </c>
      <c r="G516">
        <v>-5.7000000000000002E-2</v>
      </c>
    </row>
    <row r="517" spans="1:7" x14ac:dyDescent="0.15">
      <c r="B517" t="s">
        <v>518</v>
      </c>
      <c r="C517" s="169">
        <v>1.054E-6</v>
      </c>
      <c r="D517" s="169">
        <v>1.0210000000000001E-6</v>
      </c>
      <c r="E517">
        <v>-5.9770000000000003</v>
      </c>
      <c r="F517">
        <v>-5.9909999999999997</v>
      </c>
      <c r="G517">
        <v>-1.4E-2</v>
      </c>
    </row>
    <row r="518" spans="1:7" x14ac:dyDescent="0.15">
      <c r="B518" t="s">
        <v>266</v>
      </c>
      <c r="C518" s="169">
        <v>3.0359999999999999E-7</v>
      </c>
      <c r="D518" s="169">
        <v>3.0359999999999999E-7</v>
      </c>
      <c r="E518">
        <v>-6.5179999999999998</v>
      </c>
      <c r="F518">
        <v>-6.5179999999999998</v>
      </c>
      <c r="G518">
        <v>0</v>
      </c>
    </row>
    <row r="519" spans="1:7" x14ac:dyDescent="0.15">
      <c r="B519" t="s">
        <v>520</v>
      </c>
      <c r="C519" s="169">
        <v>2.049E-8</v>
      </c>
      <c r="D519" s="169">
        <v>2.049E-8</v>
      </c>
      <c r="E519">
        <v>-7.6879999999999997</v>
      </c>
      <c r="F519">
        <v>-7.6879999999999997</v>
      </c>
      <c r="G519">
        <v>0</v>
      </c>
    </row>
    <row r="520" spans="1:7" x14ac:dyDescent="0.15">
      <c r="B520" t="s">
        <v>267</v>
      </c>
      <c r="C520" s="169">
        <v>4.4130000000000002E-10</v>
      </c>
      <c r="D520" s="169">
        <v>4.2660000000000001E-10</v>
      </c>
      <c r="E520">
        <v>-9.3550000000000004</v>
      </c>
      <c r="F520">
        <v>-9.3699999999999992</v>
      </c>
      <c r="G520">
        <v>-1.4999999999999999E-2</v>
      </c>
    </row>
    <row r="521" spans="1:7" x14ac:dyDescent="0.15">
      <c r="B521" t="s">
        <v>269</v>
      </c>
      <c r="C521" s="169">
        <v>5.7879999999999998E-11</v>
      </c>
      <c r="D521" s="169">
        <v>5.6059999999999998E-11</v>
      </c>
      <c r="E521">
        <v>-10.237</v>
      </c>
      <c r="F521">
        <v>-10.250999999999999</v>
      </c>
      <c r="G521">
        <v>-1.4E-2</v>
      </c>
    </row>
    <row r="522" spans="1:7" x14ac:dyDescent="0.15">
      <c r="B522" t="s">
        <v>268</v>
      </c>
      <c r="C522" s="169">
        <v>6.1670000000000002E-15</v>
      </c>
      <c r="D522" s="169">
        <v>5.3870000000000002E-15</v>
      </c>
      <c r="E522">
        <v>-14.21</v>
      </c>
      <c r="F522">
        <v>-14.269</v>
      </c>
      <c r="G522">
        <v>-5.8999999999999997E-2</v>
      </c>
    </row>
    <row r="523" spans="1:7" x14ac:dyDescent="0.15">
      <c r="B523" t="s">
        <v>270</v>
      </c>
      <c r="C523" s="169">
        <v>6.0369999999999999E-26</v>
      </c>
      <c r="D523" s="169">
        <v>5.2730000000000002E-26</v>
      </c>
      <c r="E523">
        <v>-25.219000000000001</v>
      </c>
      <c r="F523">
        <v>-25.277999999999999</v>
      </c>
      <c r="G523">
        <v>-5.8999999999999997E-2</v>
      </c>
    </row>
    <row r="524" spans="1:7" x14ac:dyDescent="0.15">
      <c r="A524" t="s">
        <v>658</v>
      </c>
      <c r="B524" s="169">
        <v>1.4100000000000001E-4</v>
      </c>
    </row>
    <row r="525" spans="1:7" x14ac:dyDescent="0.15">
      <c r="B525" t="s">
        <v>271</v>
      </c>
      <c r="C525" s="169">
        <v>1.4100000000000001E-4</v>
      </c>
      <c r="D525" s="169">
        <v>1.3650000000000001E-4</v>
      </c>
      <c r="E525">
        <v>-3.851</v>
      </c>
      <c r="F525">
        <v>-3.8650000000000002</v>
      </c>
      <c r="G525">
        <v>-1.4E-2</v>
      </c>
    </row>
    <row r="526" spans="1:7" x14ac:dyDescent="0.15">
      <c r="B526" t="s">
        <v>276</v>
      </c>
      <c r="C526" s="169">
        <v>7.8390000000000002E-13</v>
      </c>
      <c r="D526" s="169">
        <v>7.5879999999999996E-13</v>
      </c>
      <c r="E526">
        <v>-12.106</v>
      </c>
      <c r="F526">
        <v>-12.12</v>
      </c>
      <c r="G526">
        <v>-1.4E-2</v>
      </c>
    </row>
    <row r="527" spans="1:7" x14ac:dyDescent="0.15">
      <c r="B527" t="s">
        <v>272</v>
      </c>
      <c r="C527" s="169">
        <v>6.7399999999999996E-13</v>
      </c>
      <c r="D527" s="169">
        <v>6.5159999999999997E-13</v>
      </c>
      <c r="E527">
        <v>-12.170999999999999</v>
      </c>
      <c r="F527">
        <v>-12.186</v>
      </c>
      <c r="G527">
        <v>-1.4999999999999999E-2</v>
      </c>
    </row>
    <row r="528" spans="1:7" x14ac:dyDescent="0.15">
      <c r="B528" t="s">
        <v>275</v>
      </c>
      <c r="C528" s="169">
        <v>4.9560000000000003E-13</v>
      </c>
      <c r="D528" s="169">
        <v>4.7910000000000005E-13</v>
      </c>
      <c r="E528">
        <v>-12.305</v>
      </c>
      <c r="F528">
        <v>-12.32</v>
      </c>
      <c r="G528">
        <v>-1.4999999999999999E-2</v>
      </c>
    </row>
    <row r="529" spans="1:7" x14ac:dyDescent="0.15">
      <c r="B529" t="s">
        <v>274</v>
      </c>
      <c r="C529" s="169">
        <v>4.1590000000000003E-13</v>
      </c>
      <c r="D529" s="169">
        <v>4.0260000000000002E-13</v>
      </c>
      <c r="E529">
        <v>-12.381</v>
      </c>
      <c r="F529">
        <v>-12.395</v>
      </c>
      <c r="G529">
        <v>-1.4E-2</v>
      </c>
    </row>
    <row r="530" spans="1:7" x14ac:dyDescent="0.15">
      <c r="B530" t="s">
        <v>273</v>
      </c>
      <c r="C530" s="169">
        <v>3.7580000000000002E-14</v>
      </c>
      <c r="D530" s="169">
        <v>3.7580000000000002E-14</v>
      </c>
      <c r="E530">
        <v>-13.425000000000001</v>
      </c>
      <c r="F530">
        <v>-13.425000000000001</v>
      </c>
      <c r="G530">
        <v>0</v>
      </c>
    </row>
    <row r="531" spans="1:7" x14ac:dyDescent="0.15">
      <c r="B531" t="s">
        <v>277</v>
      </c>
      <c r="C531" s="169">
        <v>4.4340000000000003E-17</v>
      </c>
      <c r="D531" s="169">
        <v>4.4340000000000003E-17</v>
      </c>
      <c r="E531">
        <v>-16.353000000000002</v>
      </c>
      <c r="F531">
        <v>-16.353000000000002</v>
      </c>
      <c r="G531">
        <v>0</v>
      </c>
    </row>
    <row r="532" spans="1:7" x14ac:dyDescent="0.15">
      <c r="B532" t="s">
        <v>278</v>
      </c>
      <c r="C532" s="169">
        <v>1.6680000000000001E-17</v>
      </c>
      <c r="D532" s="169">
        <v>1.6680000000000001E-17</v>
      </c>
      <c r="E532">
        <v>-16.777999999999999</v>
      </c>
      <c r="F532">
        <v>-16.777999999999999</v>
      </c>
      <c r="G532">
        <v>0</v>
      </c>
    </row>
    <row r="533" spans="1:7" x14ac:dyDescent="0.15">
      <c r="B533" t="s">
        <v>279</v>
      </c>
      <c r="C533" s="169">
        <v>3.437E-19</v>
      </c>
      <c r="D533" s="169">
        <v>3.437E-19</v>
      </c>
      <c r="E533">
        <v>-18.463999999999999</v>
      </c>
      <c r="F533">
        <v>-18.463999999999999</v>
      </c>
      <c r="G533">
        <v>0</v>
      </c>
    </row>
    <row r="534" spans="1:7" x14ac:dyDescent="0.15">
      <c r="B534" t="s">
        <v>280</v>
      </c>
      <c r="C534" s="169">
        <v>4.659E-21</v>
      </c>
      <c r="D534" s="169">
        <v>4.5100000000000003E-21</v>
      </c>
      <c r="E534">
        <v>-20.332000000000001</v>
      </c>
      <c r="F534">
        <v>-20.346</v>
      </c>
      <c r="G534">
        <v>-1.4E-2</v>
      </c>
    </row>
    <row r="535" spans="1:7" x14ac:dyDescent="0.15">
      <c r="B535" t="s">
        <v>284</v>
      </c>
      <c r="C535" s="169">
        <v>1.5289999999999999E-22</v>
      </c>
      <c r="D535" s="169">
        <v>1.5289999999999999E-22</v>
      </c>
      <c r="E535">
        <v>-21.815999999999999</v>
      </c>
      <c r="F535">
        <v>-21.815999999999999</v>
      </c>
      <c r="G535">
        <v>0</v>
      </c>
    </row>
    <row r="536" spans="1:7" x14ac:dyDescent="0.15">
      <c r="B536" t="s">
        <v>282</v>
      </c>
      <c r="C536" s="169">
        <v>1.6599999999999999E-23</v>
      </c>
      <c r="D536" s="169">
        <v>1.607E-23</v>
      </c>
      <c r="E536">
        <v>-22.78</v>
      </c>
      <c r="F536">
        <v>-22.794</v>
      </c>
      <c r="G536">
        <v>-1.4E-2</v>
      </c>
    </row>
    <row r="537" spans="1:7" x14ac:dyDescent="0.15">
      <c r="B537" t="s">
        <v>283</v>
      </c>
      <c r="C537" s="169">
        <v>4.6780000000000003E-24</v>
      </c>
      <c r="D537" s="169">
        <v>4.5279999999999997E-24</v>
      </c>
      <c r="E537">
        <v>-23.33</v>
      </c>
      <c r="F537">
        <v>-23.344000000000001</v>
      </c>
      <c r="G537">
        <v>-1.4E-2</v>
      </c>
    </row>
    <row r="538" spans="1:7" x14ac:dyDescent="0.15">
      <c r="B538" t="s">
        <v>281</v>
      </c>
      <c r="C538" s="169">
        <v>3.09E-25</v>
      </c>
      <c r="D538" s="169">
        <v>2.7160000000000001E-25</v>
      </c>
      <c r="E538">
        <v>-24.51</v>
      </c>
      <c r="F538">
        <v>-24.565999999999999</v>
      </c>
      <c r="G538">
        <v>-5.6000000000000001E-2</v>
      </c>
    </row>
    <row r="539" spans="1:7" x14ac:dyDescent="0.15">
      <c r="B539" t="s">
        <v>287</v>
      </c>
      <c r="C539" s="169">
        <v>2.5760000000000002E-28</v>
      </c>
      <c r="D539" s="169">
        <v>2.2499999999999999E-28</v>
      </c>
      <c r="E539">
        <v>-27.588999999999999</v>
      </c>
      <c r="F539">
        <v>-27.648</v>
      </c>
      <c r="G539">
        <v>-5.8999999999999997E-2</v>
      </c>
    </row>
    <row r="540" spans="1:7" x14ac:dyDescent="0.15">
      <c r="B540" t="s">
        <v>285</v>
      </c>
      <c r="C540" s="169">
        <v>1.4149999999999999E-28</v>
      </c>
      <c r="D540" s="169">
        <v>1.244E-28</v>
      </c>
      <c r="E540">
        <v>-27.849</v>
      </c>
      <c r="F540">
        <v>-27.905000000000001</v>
      </c>
      <c r="G540">
        <v>-5.6000000000000001E-2</v>
      </c>
    </row>
    <row r="541" spans="1:7" x14ac:dyDescent="0.15">
      <c r="B541" t="s">
        <v>286</v>
      </c>
      <c r="C541" s="169">
        <v>2.1209999999999999E-29</v>
      </c>
      <c r="D541" s="169">
        <v>1.865E-29</v>
      </c>
      <c r="E541">
        <v>-28.672999999999998</v>
      </c>
      <c r="F541">
        <v>-28.728999999999999</v>
      </c>
      <c r="G541">
        <v>-5.6000000000000001E-2</v>
      </c>
    </row>
    <row r="542" spans="1:7" x14ac:dyDescent="0.15">
      <c r="B542" t="s">
        <v>288</v>
      </c>
      <c r="C542" s="169">
        <v>0</v>
      </c>
      <c r="D542" s="169">
        <v>0</v>
      </c>
      <c r="E542">
        <v>-55.585999999999999</v>
      </c>
      <c r="F542">
        <v>-55.645000000000003</v>
      </c>
      <c r="G542">
        <v>-5.8999999999999997E-2</v>
      </c>
    </row>
    <row r="543" spans="1:7" x14ac:dyDescent="0.15">
      <c r="B543" t="s">
        <v>289</v>
      </c>
      <c r="C543" s="169">
        <v>0</v>
      </c>
      <c r="D543" s="169">
        <v>0</v>
      </c>
      <c r="E543">
        <v>-72.826999999999998</v>
      </c>
      <c r="F543">
        <v>-72.885999999999996</v>
      </c>
      <c r="G543">
        <v>-5.8999999999999997E-2</v>
      </c>
    </row>
    <row r="544" spans="1:7" x14ac:dyDescent="0.15">
      <c r="A544" t="s">
        <v>290</v>
      </c>
      <c r="B544" s="169">
        <v>1.697E-9</v>
      </c>
    </row>
    <row r="545" spans="2:7" x14ac:dyDescent="0.15">
      <c r="B545" t="s">
        <v>291</v>
      </c>
      <c r="C545" s="169">
        <v>1.649E-9</v>
      </c>
      <c r="D545" s="169">
        <v>1.44E-9</v>
      </c>
      <c r="E545">
        <v>-8.7829999999999995</v>
      </c>
      <c r="F545">
        <v>-8.8420000000000005</v>
      </c>
      <c r="G545">
        <v>-5.8999999999999997E-2</v>
      </c>
    </row>
    <row r="546" spans="2:7" x14ac:dyDescent="0.15">
      <c r="B546" t="s">
        <v>261</v>
      </c>
      <c r="C546" s="169">
        <v>4.096E-11</v>
      </c>
      <c r="D546" s="169">
        <v>3.9599999999999998E-11</v>
      </c>
      <c r="E546">
        <v>-10.388</v>
      </c>
      <c r="F546">
        <v>-10.401999999999999</v>
      </c>
      <c r="G546">
        <v>-1.4999999999999999E-2</v>
      </c>
    </row>
    <row r="547" spans="2:7" x14ac:dyDescent="0.15">
      <c r="B547" t="s">
        <v>259</v>
      </c>
      <c r="C547" s="169">
        <v>2.5459999999999999E-12</v>
      </c>
      <c r="D547" s="169">
        <v>2.5459999999999999E-12</v>
      </c>
      <c r="E547">
        <v>-11.593999999999999</v>
      </c>
      <c r="F547">
        <v>-11.593999999999999</v>
      </c>
      <c r="G547">
        <v>0</v>
      </c>
    </row>
    <row r="548" spans="2:7" x14ac:dyDescent="0.15">
      <c r="B548" t="s">
        <v>292</v>
      </c>
      <c r="C548" s="169">
        <v>2.23E-12</v>
      </c>
      <c r="D548" s="169">
        <v>2.23E-12</v>
      </c>
      <c r="E548">
        <v>-11.651999999999999</v>
      </c>
      <c r="F548">
        <v>-11.651999999999999</v>
      </c>
      <c r="G548">
        <v>0</v>
      </c>
    </row>
    <row r="549" spans="2:7" x14ac:dyDescent="0.15">
      <c r="B549" t="s">
        <v>293</v>
      </c>
      <c r="C549" s="169">
        <v>1.888E-12</v>
      </c>
      <c r="D549" s="169">
        <v>1.825E-12</v>
      </c>
      <c r="E549">
        <v>-11.724</v>
      </c>
      <c r="F549">
        <v>-11.739000000000001</v>
      </c>
      <c r="G549">
        <v>-1.4999999999999999E-2</v>
      </c>
    </row>
    <row r="550" spans="2:7" x14ac:dyDescent="0.15">
      <c r="B550" t="s">
        <v>272</v>
      </c>
      <c r="C550" s="169">
        <v>6.7399999999999996E-13</v>
      </c>
      <c r="D550" s="169">
        <v>6.5159999999999997E-13</v>
      </c>
      <c r="E550">
        <v>-12.170999999999999</v>
      </c>
      <c r="F550">
        <v>-12.186</v>
      </c>
      <c r="G550">
        <v>-1.4999999999999999E-2</v>
      </c>
    </row>
    <row r="551" spans="2:7" x14ac:dyDescent="0.15">
      <c r="B551" t="s">
        <v>295</v>
      </c>
      <c r="C551" s="169">
        <v>9.2120000000000006E-15</v>
      </c>
      <c r="D551" s="169">
        <v>9.2120000000000006E-15</v>
      </c>
      <c r="E551">
        <v>-14.036</v>
      </c>
      <c r="F551">
        <v>-14.036</v>
      </c>
      <c r="G551">
        <v>0</v>
      </c>
    </row>
    <row r="552" spans="2:7" x14ac:dyDescent="0.15">
      <c r="B552" t="s">
        <v>296</v>
      </c>
      <c r="C552" s="169">
        <v>1.6310000000000001E-15</v>
      </c>
      <c r="D552" s="169">
        <v>1.576E-15</v>
      </c>
      <c r="E552">
        <v>-14.788</v>
      </c>
      <c r="F552">
        <v>-14.802</v>
      </c>
      <c r="G552">
        <v>-1.4999999999999999E-2</v>
      </c>
    </row>
    <row r="553" spans="2:7" x14ac:dyDescent="0.15">
      <c r="B553" t="s">
        <v>294</v>
      </c>
      <c r="C553" s="169">
        <v>1.9550000000000002E-17</v>
      </c>
      <c r="D553" s="169">
        <v>1.7069999999999999E-17</v>
      </c>
      <c r="E553">
        <v>-16.709</v>
      </c>
      <c r="F553">
        <v>-16.768000000000001</v>
      </c>
      <c r="G553">
        <v>-5.8999999999999997E-2</v>
      </c>
    </row>
    <row r="554" spans="2:7" x14ac:dyDescent="0.15">
      <c r="B554" t="s">
        <v>299</v>
      </c>
      <c r="C554" s="169">
        <v>1.208E-20</v>
      </c>
      <c r="D554" s="169">
        <v>1.168E-20</v>
      </c>
      <c r="E554">
        <v>-19.917999999999999</v>
      </c>
      <c r="F554">
        <v>-19.933</v>
      </c>
      <c r="G554">
        <v>-1.4999999999999999E-2</v>
      </c>
    </row>
    <row r="555" spans="2:7" x14ac:dyDescent="0.15">
      <c r="B555" t="s">
        <v>297</v>
      </c>
      <c r="C555" s="169">
        <v>2.2149999999999999E-21</v>
      </c>
      <c r="D555" s="169">
        <v>2.2149999999999999E-21</v>
      </c>
      <c r="E555">
        <v>-20.655000000000001</v>
      </c>
      <c r="F555">
        <v>-20.655000000000001</v>
      </c>
      <c r="G555">
        <v>0</v>
      </c>
    </row>
    <row r="556" spans="2:7" x14ac:dyDescent="0.15">
      <c r="B556" t="s">
        <v>300</v>
      </c>
      <c r="C556" s="169">
        <v>1.786E-22</v>
      </c>
      <c r="D556" s="169">
        <v>1.3169999999999999E-22</v>
      </c>
      <c r="E556">
        <v>-21.748000000000001</v>
      </c>
      <c r="F556">
        <v>-21.88</v>
      </c>
      <c r="G556">
        <v>-0.13200000000000001</v>
      </c>
    </row>
    <row r="557" spans="2:7" x14ac:dyDescent="0.15">
      <c r="B557" t="s">
        <v>301</v>
      </c>
      <c r="C557" s="169">
        <v>1.1599999999999999E-23</v>
      </c>
      <c r="D557" s="169">
        <v>1.1209999999999999E-23</v>
      </c>
      <c r="E557">
        <v>-22.936</v>
      </c>
      <c r="F557">
        <v>-22.95</v>
      </c>
      <c r="G557">
        <v>-1.4999999999999999E-2</v>
      </c>
    </row>
    <row r="558" spans="2:7" x14ac:dyDescent="0.15">
      <c r="B558" t="s">
        <v>298</v>
      </c>
      <c r="C558" s="169">
        <v>5.1110000000000001E-27</v>
      </c>
      <c r="D558" s="169">
        <v>4.465E-27</v>
      </c>
      <c r="E558">
        <v>-26.291</v>
      </c>
      <c r="F558">
        <v>-26.35</v>
      </c>
      <c r="G558">
        <v>-5.8999999999999997E-2</v>
      </c>
    </row>
    <row r="559" spans="2:7" x14ac:dyDescent="0.15">
      <c r="B559" t="s">
        <v>303</v>
      </c>
      <c r="C559" s="169">
        <v>1.3460000000000001E-28</v>
      </c>
      <c r="D559" s="169">
        <v>1.1760000000000001E-28</v>
      </c>
      <c r="E559">
        <v>-27.870999999999999</v>
      </c>
      <c r="F559">
        <v>-27.93</v>
      </c>
      <c r="G559">
        <v>-5.8999999999999997E-2</v>
      </c>
    </row>
    <row r="560" spans="2:7" x14ac:dyDescent="0.15">
      <c r="B560" t="s">
        <v>302</v>
      </c>
      <c r="C560" s="169">
        <v>1.5819999999999999E-36</v>
      </c>
      <c r="D560" s="169">
        <v>1.382E-36</v>
      </c>
      <c r="E560">
        <v>-35.801000000000002</v>
      </c>
      <c r="F560">
        <v>-35.859000000000002</v>
      </c>
      <c r="G560">
        <v>-5.8999999999999997E-2</v>
      </c>
    </row>
    <row r="561" spans="1:7" x14ac:dyDescent="0.15">
      <c r="B561" t="s">
        <v>305</v>
      </c>
      <c r="C561" s="169">
        <v>3.8049999999999999E-39</v>
      </c>
      <c r="D561" s="169">
        <v>2.2150000000000001E-39</v>
      </c>
      <c r="E561">
        <v>-38.42</v>
      </c>
      <c r="F561">
        <v>-38.655000000000001</v>
      </c>
      <c r="G561">
        <v>-0.23499999999999999</v>
      </c>
    </row>
    <row r="562" spans="1:7" x14ac:dyDescent="0.15">
      <c r="B562" t="s">
        <v>304</v>
      </c>
      <c r="C562" s="169">
        <v>0</v>
      </c>
      <c r="D562" s="169">
        <v>0</v>
      </c>
      <c r="E562">
        <v>-45.69</v>
      </c>
      <c r="F562">
        <v>-45.749000000000002</v>
      </c>
      <c r="G562">
        <v>-5.8999999999999997E-2</v>
      </c>
    </row>
    <row r="563" spans="1:7" x14ac:dyDescent="0.15">
      <c r="B563" t="s">
        <v>306</v>
      </c>
      <c r="C563" s="169">
        <v>0</v>
      </c>
      <c r="D563" s="169">
        <v>0</v>
      </c>
      <c r="E563">
        <v>-56.079000000000001</v>
      </c>
      <c r="F563">
        <v>-56.137999999999998</v>
      </c>
      <c r="G563">
        <v>-5.8999999999999997E-2</v>
      </c>
    </row>
    <row r="564" spans="1:7" x14ac:dyDescent="0.15">
      <c r="A564" t="s">
        <v>307</v>
      </c>
      <c r="B564" s="169">
        <v>4.2149999999999997E-21</v>
      </c>
    </row>
    <row r="565" spans="1:7" x14ac:dyDescent="0.15">
      <c r="B565" t="s">
        <v>308</v>
      </c>
      <c r="C565" s="169">
        <v>4.2149999999999997E-21</v>
      </c>
      <c r="D565" s="169">
        <v>3.6819999999999998E-21</v>
      </c>
      <c r="E565">
        <v>-20.375</v>
      </c>
      <c r="F565">
        <v>-20.434000000000001</v>
      </c>
      <c r="G565">
        <v>-5.8999999999999997E-2</v>
      </c>
    </row>
    <row r="566" spans="1:7" x14ac:dyDescent="0.15">
      <c r="B566" t="s">
        <v>309</v>
      </c>
      <c r="C566" s="169">
        <v>1.5279999999999999E-26</v>
      </c>
      <c r="D566" s="169">
        <v>1.1399999999999999E-26</v>
      </c>
      <c r="E566">
        <v>-25.815999999999999</v>
      </c>
      <c r="F566">
        <v>-25.943000000000001</v>
      </c>
      <c r="G566">
        <v>-0.127</v>
      </c>
    </row>
    <row r="567" spans="1:7" x14ac:dyDescent="0.15">
      <c r="B567" t="s">
        <v>287</v>
      </c>
      <c r="C567" s="169">
        <v>2.5760000000000002E-28</v>
      </c>
      <c r="D567" s="169">
        <v>2.2499999999999999E-28</v>
      </c>
      <c r="E567">
        <v>-27.588999999999999</v>
      </c>
      <c r="F567">
        <v>-27.648</v>
      </c>
      <c r="G567">
        <v>-5.8999999999999997E-2</v>
      </c>
    </row>
    <row r="568" spans="1:7" x14ac:dyDescent="0.15">
      <c r="B568" t="s">
        <v>288</v>
      </c>
      <c r="C568" s="169">
        <v>0</v>
      </c>
      <c r="D568" s="169">
        <v>0</v>
      </c>
      <c r="E568">
        <v>-55.585999999999999</v>
      </c>
      <c r="F568">
        <v>-55.645000000000003</v>
      </c>
      <c r="G568">
        <v>-5.8999999999999997E-2</v>
      </c>
    </row>
    <row r="569" spans="1:7" x14ac:dyDescent="0.15">
      <c r="B569" t="s">
        <v>310</v>
      </c>
      <c r="C569" s="169">
        <v>0</v>
      </c>
      <c r="D569" s="169">
        <v>0</v>
      </c>
      <c r="E569">
        <v>-69.319999999999993</v>
      </c>
      <c r="F569">
        <v>-69.334999999999994</v>
      </c>
      <c r="G569">
        <v>-1.4999999999999999E-2</v>
      </c>
    </row>
    <row r="570" spans="1:7" x14ac:dyDescent="0.15">
      <c r="B570" t="s">
        <v>311</v>
      </c>
      <c r="C570" s="169">
        <v>0</v>
      </c>
      <c r="D570" s="169">
        <v>0</v>
      </c>
      <c r="E570">
        <v>-70.991</v>
      </c>
      <c r="F570">
        <v>-71.049000000000007</v>
      </c>
      <c r="G570">
        <v>-5.8999999999999997E-2</v>
      </c>
    </row>
    <row r="571" spans="1:7" x14ac:dyDescent="0.15">
      <c r="B571" t="s">
        <v>289</v>
      </c>
      <c r="C571" s="169">
        <v>0</v>
      </c>
      <c r="D571" s="169">
        <v>0</v>
      </c>
      <c r="E571">
        <v>-72.826999999999998</v>
      </c>
      <c r="F571">
        <v>-72.885999999999996</v>
      </c>
      <c r="G571">
        <v>-5.8999999999999997E-2</v>
      </c>
    </row>
    <row r="572" spans="1:7" x14ac:dyDescent="0.15">
      <c r="A572" t="s">
        <v>312</v>
      </c>
      <c r="B572" s="169">
        <v>1.078E-21</v>
      </c>
    </row>
    <row r="573" spans="1:7" x14ac:dyDescent="0.15">
      <c r="B573" t="s">
        <v>313</v>
      </c>
      <c r="C573" s="169">
        <v>9.2029999999999994E-22</v>
      </c>
      <c r="D573" s="169">
        <v>8.8970000000000007E-22</v>
      </c>
      <c r="E573">
        <v>-21.036000000000001</v>
      </c>
      <c r="F573">
        <v>-21.050999999999998</v>
      </c>
      <c r="G573">
        <v>-1.4999999999999999E-2</v>
      </c>
    </row>
    <row r="574" spans="1:7" x14ac:dyDescent="0.15">
      <c r="B574" t="s">
        <v>284</v>
      </c>
      <c r="C574" s="169">
        <v>1.5289999999999999E-22</v>
      </c>
      <c r="D574" s="169">
        <v>1.5289999999999999E-22</v>
      </c>
      <c r="E574">
        <v>-21.815999999999999</v>
      </c>
      <c r="F574">
        <v>-21.815999999999999</v>
      </c>
      <c r="G574">
        <v>0</v>
      </c>
    </row>
    <row r="575" spans="1:7" x14ac:dyDescent="0.15">
      <c r="B575" t="s">
        <v>283</v>
      </c>
      <c r="C575" s="169">
        <v>4.6780000000000003E-24</v>
      </c>
      <c r="D575" s="169">
        <v>4.5279999999999997E-24</v>
      </c>
      <c r="E575">
        <v>-23.33</v>
      </c>
      <c r="F575">
        <v>-23.344000000000001</v>
      </c>
      <c r="G575">
        <v>-1.4E-2</v>
      </c>
    </row>
    <row r="576" spans="1:7" x14ac:dyDescent="0.15">
      <c r="B576" t="s">
        <v>285</v>
      </c>
      <c r="C576" s="169">
        <v>1.4149999999999999E-28</v>
      </c>
      <c r="D576" s="169">
        <v>1.244E-28</v>
      </c>
      <c r="E576">
        <v>-27.849</v>
      </c>
      <c r="F576">
        <v>-27.905000000000001</v>
      </c>
      <c r="G576">
        <v>-5.6000000000000001E-2</v>
      </c>
    </row>
    <row r="577" spans="1:7" x14ac:dyDescent="0.15">
      <c r="A577" t="s">
        <v>314</v>
      </c>
      <c r="B577" s="169">
        <v>7.8679999999999997E-9</v>
      </c>
    </row>
    <row r="578" spans="1:7" x14ac:dyDescent="0.15">
      <c r="B578" t="s">
        <v>316</v>
      </c>
      <c r="C578" s="169">
        <v>4.7699999999999999E-9</v>
      </c>
      <c r="D578" s="169">
        <v>4.188E-9</v>
      </c>
      <c r="E578">
        <v>-8.3219999999999992</v>
      </c>
      <c r="F578">
        <v>-8.3780000000000001</v>
      </c>
      <c r="G578">
        <v>-5.7000000000000002E-2</v>
      </c>
    </row>
    <row r="579" spans="1:7" x14ac:dyDescent="0.15">
      <c r="B579" t="s">
        <v>256</v>
      </c>
      <c r="C579" s="169">
        <v>2.578E-9</v>
      </c>
      <c r="D579" s="169">
        <v>2.578E-9</v>
      </c>
      <c r="E579">
        <v>-8.5890000000000004</v>
      </c>
      <c r="F579">
        <v>-8.5890000000000004</v>
      </c>
      <c r="G579">
        <v>0</v>
      </c>
    </row>
    <row r="580" spans="1:7" x14ac:dyDescent="0.15">
      <c r="B580" t="s">
        <v>315</v>
      </c>
      <c r="C580" s="169">
        <v>4.0429999999999999E-10</v>
      </c>
      <c r="D580" s="169">
        <v>3.9140000000000001E-10</v>
      </c>
      <c r="E580">
        <v>-9.3930000000000007</v>
      </c>
      <c r="F580">
        <v>-9.407</v>
      </c>
      <c r="G580">
        <v>-1.4E-2</v>
      </c>
    </row>
    <row r="581" spans="1:7" x14ac:dyDescent="0.15">
      <c r="B581" t="s">
        <v>264</v>
      </c>
      <c r="C581" s="169">
        <v>9.6610000000000003E-11</v>
      </c>
      <c r="D581" s="169">
        <v>9.3399999999999995E-11</v>
      </c>
      <c r="E581">
        <v>-10.015000000000001</v>
      </c>
      <c r="F581">
        <v>-10.029999999999999</v>
      </c>
      <c r="G581">
        <v>-1.4999999999999999E-2</v>
      </c>
    </row>
    <row r="582" spans="1:7" x14ac:dyDescent="0.15">
      <c r="B582" t="s">
        <v>317</v>
      </c>
      <c r="C582" s="169">
        <v>1.066E-11</v>
      </c>
      <c r="D582" s="169">
        <v>1.066E-11</v>
      </c>
      <c r="E582">
        <v>-10.972</v>
      </c>
      <c r="F582">
        <v>-10.972</v>
      </c>
      <c r="G582">
        <v>0</v>
      </c>
    </row>
    <row r="583" spans="1:7" x14ac:dyDescent="0.15">
      <c r="B583" t="s">
        <v>319</v>
      </c>
      <c r="C583" s="169">
        <v>7.0589999999999997E-12</v>
      </c>
      <c r="D583" s="169">
        <v>7.0589999999999997E-12</v>
      </c>
      <c r="E583">
        <v>-11.151</v>
      </c>
      <c r="F583">
        <v>-11.151</v>
      </c>
      <c r="G583">
        <v>0</v>
      </c>
    </row>
    <row r="584" spans="1:7" x14ac:dyDescent="0.15">
      <c r="B584" t="s">
        <v>262</v>
      </c>
      <c r="C584" s="169">
        <v>8.3079999999999995E-13</v>
      </c>
      <c r="D584" s="169">
        <v>7.2570000000000003E-13</v>
      </c>
      <c r="E584">
        <v>-12.081</v>
      </c>
      <c r="F584">
        <v>-12.138999999999999</v>
      </c>
      <c r="G584">
        <v>-5.8999999999999997E-2</v>
      </c>
    </row>
    <row r="585" spans="1:7" x14ac:dyDescent="0.15">
      <c r="B585" t="s">
        <v>276</v>
      </c>
      <c r="C585" s="169">
        <v>7.8390000000000002E-13</v>
      </c>
      <c r="D585" s="169">
        <v>7.5879999999999996E-13</v>
      </c>
      <c r="E585">
        <v>-12.106</v>
      </c>
      <c r="F585">
        <v>-12.12</v>
      </c>
      <c r="G585">
        <v>-1.4E-2</v>
      </c>
    </row>
    <row r="586" spans="1:7" x14ac:dyDescent="0.15">
      <c r="B586" t="s">
        <v>321</v>
      </c>
      <c r="C586" s="169">
        <v>1.033E-14</v>
      </c>
      <c r="D586" s="169">
        <v>9.9829999999999999E-15</v>
      </c>
      <c r="E586">
        <v>-13.986000000000001</v>
      </c>
      <c r="F586">
        <v>-14.000999999999999</v>
      </c>
      <c r="G586">
        <v>-1.4999999999999999E-2</v>
      </c>
    </row>
    <row r="587" spans="1:7" x14ac:dyDescent="0.15">
      <c r="B587" t="s">
        <v>318</v>
      </c>
      <c r="C587" s="169">
        <v>5.6180000000000002E-15</v>
      </c>
      <c r="D587" s="169">
        <v>4.9080000000000001E-15</v>
      </c>
      <c r="E587">
        <v>-14.25</v>
      </c>
      <c r="F587">
        <v>-14.308999999999999</v>
      </c>
      <c r="G587">
        <v>-5.8999999999999997E-2</v>
      </c>
    </row>
    <row r="588" spans="1:7" x14ac:dyDescent="0.15">
      <c r="B588" t="s">
        <v>322</v>
      </c>
      <c r="C588" s="169">
        <v>3.9589999999999998E-15</v>
      </c>
      <c r="D588" s="169">
        <v>3.4580000000000002E-15</v>
      </c>
      <c r="E588">
        <v>-14.401999999999999</v>
      </c>
      <c r="F588">
        <v>-14.461</v>
      </c>
      <c r="G588">
        <v>-5.8999999999999997E-2</v>
      </c>
    </row>
    <row r="589" spans="1:7" x14ac:dyDescent="0.15">
      <c r="B589" t="s">
        <v>320</v>
      </c>
      <c r="C589" s="169">
        <v>1.4370000000000001E-15</v>
      </c>
      <c r="D589" s="169">
        <v>1.3899999999999999E-15</v>
      </c>
      <c r="E589">
        <v>-14.842000000000001</v>
      </c>
      <c r="F589">
        <v>-14.856999999999999</v>
      </c>
      <c r="G589">
        <v>-1.4999999999999999E-2</v>
      </c>
    </row>
    <row r="590" spans="1:7" x14ac:dyDescent="0.15">
      <c r="B590" t="s">
        <v>278</v>
      </c>
      <c r="C590" s="169">
        <v>1.6680000000000001E-17</v>
      </c>
      <c r="D590" s="169">
        <v>1.6680000000000001E-17</v>
      </c>
      <c r="E590">
        <v>-16.777999999999999</v>
      </c>
      <c r="F590">
        <v>-16.777999999999999</v>
      </c>
      <c r="G590">
        <v>0</v>
      </c>
    </row>
    <row r="591" spans="1:7" x14ac:dyDescent="0.15">
      <c r="B591" t="s">
        <v>324</v>
      </c>
      <c r="C591" s="169">
        <v>7.9550000000000004E-22</v>
      </c>
      <c r="D591" s="169">
        <v>6.9489999999999997E-22</v>
      </c>
      <c r="E591">
        <v>-21.099</v>
      </c>
      <c r="F591">
        <v>-21.158000000000001</v>
      </c>
      <c r="G591">
        <v>-5.8999999999999997E-2</v>
      </c>
    </row>
    <row r="592" spans="1:7" x14ac:dyDescent="0.15">
      <c r="B592" t="s">
        <v>323</v>
      </c>
      <c r="C592" s="169">
        <v>7.9520000000000002E-22</v>
      </c>
      <c r="D592" s="169">
        <v>7.9520000000000002E-22</v>
      </c>
      <c r="E592">
        <v>-21.1</v>
      </c>
      <c r="F592">
        <v>-21.1</v>
      </c>
      <c r="G592">
        <v>0</v>
      </c>
    </row>
    <row r="593" spans="1:7" x14ac:dyDescent="0.15">
      <c r="B593" t="s">
        <v>282</v>
      </c>
      <c r="C593" s="169">
        <v>1.6599999999999999E-23</v>
      </c>
      <c r="D593" s="169">
        <v>1.607E-23</v>
      </c>
      <c r="E593">
        <v>-22.78</v>
      </c>
      <c r="F593">
        <v>-22.794</v>
      </c>
      <c r="G593">
        <v>-1.4E-2</v>
      </c>
    </row>
    <row r="594" spans="1:7" x14ac:dyDescent="0.15">
      <c r="B594" t="s">
        <v>286</v>
      </c>
      <c r="C594" s="169">
        <v>2.1209999999999999E-29</v>
      </c>
      <c r="D594" s="169">
        <v>1.865E-29</v>
      </c>
      <c r="E594">
        <v>-28.672999999999998</v>
      </c>
      <c r="F594">
        <v>-28.728999999999999</v>
      </c>
      <c r="G594">
        <v>-5.6000000000000001E-2</v>
      </c>
    </row>
    <row r="595" spans="1:7" x14ac:dyDescent="0.15">
      <c r="A595" t="s">
        <v>325</v>
      </c>
      <c r="B595" s="169">
        <v>0</v>
      </c>
    </row>
    <row r="596" spans="1:7" x14ac:dyDescent="0.15">
      <c r="B596" t="s">
        <v>326</v>
      </c>
      <c r="C596" s="169">
        <v>0</v>
      </c>
      <c r="D596" s="169">
        <v>0</v>
      </c>
      <c r="E596">
        <v>-47.279000000000003</v>
      </c>
      <c r="F596">
        <v>-47.279000000000003</v>
      </c>
      <c r="G596">
        <v>0</v>
      </c>
    </row>
    <row r="597" spans="1:7" x14ac:dyDescent="0.15">
      <c r="A597" t="s">
        <v>837</v>
      </c>
      <c r="B597" s="169">
        <v>1.0419999999999999E-9</v>
      </c>
    </row>
    <row r="598" spans="1:7" x14ac:dyDescent="0.15">
      <c r="B598" t="s">
        <v>327</v>
      </c>
      <c r="C598" s="169">
        <v>1.0399999999999999E-9</v>
      </c>
      <c r="D598" s="169">
        <v>9.1339999999999997E-10</v>
      </c>
      <c r="E598">
        <v>-8.9830000000000005</v>
      </c>
      <c r="F598">
        <v>-9.0389999999999997</v>
      </c>
      <c r="G598">
        <v>-5.7000000000000002E-2</v>
      </c>
    </row>
    <row r="599" spans="1:7" x14ac:dyDescent="0.15">
      <c r="B599" t="s">
        <v>328</v>
      </c>
      <c r="C599" s="169">
        <v>1.9430000000000001E-12</v>
      </c>
      <c r="D599" s="169">
        <v>1.879E-12</v>
      </c>
      <c r="E599">
        <v>-11.711</v>
      </c>
      <c r="F599">
        <v>-11.726000000000001</v>
      </c>
      <c r="G599">
        <v>-1.4999999999999999E-2</v>
      </c>
    </row>
    <row r="600" spans="1:7" x14ac:dyDescent="0.15">
      <c r="B600" t="s">
        <v>329</v>
      </c>
      <c r="C600" s="169">
        <v>5.8289999999999999E-15</v>
      </c>
      <c r="D600" s="169">
        <v>5.8289999999999999E-15</v>
      </c>
      <c r="E600">
        <v>-14.234</v>
      </c>
      <c r="F600">
        <v>-14.234</v>
      </c>
      <c r="G600">
        <v>0</v>
      </c>
    </row>
    <row r="601" spans="1:7" x14ac:dyDescent="0.15">
      <c r="B601" t="s">
        <v>330</v>
      </c>
      <c r="C601" s="169">
        <v>0</v>
      </c>
      <c r="D601" s="169">
        <v>0</v>
      </c>
      <c r="E601">
        <v>-62.040999999999997</v>
      </c>
      <c r="F601">
        <v>-62.569000000000003</v>
      </c>
      <c r="G601">
        <v>-0.52800000000000002</v>
      </c>
    </row>
    <row r="602" spans="1:7" x14ac:dyDescent="0.15">
      <c r="B602" t="s">
        <v>331</v>
      </c>
      <c r="C602" s="169">
        <v>0</v>
      </c>
      <c r="D602" s="169">
        <v>0</v>
      </c>
      <c r="E602">
        <v>-62.707999999999998</v>
      </c>
      <c r="F602">
        <v>-63.075000000000003</v>
      </c>
      <c r="G602">
        <v>-0.36699999999999999</v>
      </c>
    </row>
    <row r="603" spans="1:7" x14ac:dyDescent="0.15">
      <c r="B603" t="s">
        <v>332</v>
      </c>
      <c r="C603" s="169">
        <v>0</v>
      </c>
      <c r="D603" s="169">
        <v>0</v>
      </c>
      <c r="E603">
        <v>-64.885999999999996</v>
      </c>
      <c r="F603">
        <v>-65.120999999999995</v>
      </c>
      <c r="G603">
        <v>-0.23499999999999999</v>
      </c>
    </row>
    <row r="604" spans="1:7" x14ac:dyDescent="0.15">
      <c r="B604" t="s">
        <v>333</v>
      </c>
      <c r="C604" s="169">
        <v>0</v>
      </c>
      <c r="D604" s="169">
        <v>0</v>
      </c>
      <c r="E604">
        <v>-68.524000000000001</v>
      </c>
      <c r="F604">
        <v>-68.656000000000006</v>
      </c>
      <c r="G604">
        <v>-0.13200000000000001</v>
      </c>
    </row>
    <row r="605" spans="1:7" x14ac:dyDescent="0.15">
      <c r="A605" t="s">
        <v>468</v>
      </c>
      <c r="B605" s="169">
        <v>7.1390000000000003E-9</v>
      </c>
    </row>
    <row r="606" spans="1:7" x14ac:dyDescent="0.15">
      <c r="B606" t="s">
        <v>334</v>
      </c>
      <c r="C606" s="169">
        <v>7.0639999999999996E-9</v>
      </c>
      <c r="D606" s="169">
        <v>6.8349999999999997E-9</v>
      </c>
      <c r="E606">
        <v>-8.1509999999999998</v>
      </c>
      <c r="F606">
        <v>-8.1649999999999991</v>
      </c>
      <c r="G606">
        <v>-1.4E-2</v>
      </c>
    </row>
    <row r="607" spans="1:7" x14ac:dyDescent="0.15">
      <c r="B607" t="s">
        <v>335</v>
      </c>
      <c r="C607" s="169">
        <v>7.4699999999999998E-11</v>
      </c>
      <c r="D607" s="169">
        <v>7.4699999999999998E-11</v>
      </c>
      <c r="E607">
        <v>-10.127000000000001</v>
      </c>
      <c r="F607">
        <v>-10.127000000000001</v>
      </c>
      <c r="G607">
        <v>0</v>
      </c>
    </row>
    <row r="608" spans="1:7" x14ac:dyDescent="0.15">
      <c r="B608" t="s">
        <v>336</v>
      </c>
      <c r="C608" s="169">
        <v>6.7029999999999998E-13</v>
      </c>
      <c r="D608" s="169">
        <v>6.4899999999999996E-13</v>
      </c>
      <c r="E608">
        <v>-12.173999999999999</v>
      </c>
      <c r="F608">
        <v>-12.188000000000001</v>
      </c>
      <c r="G608">
        <v>-1.4E-2</v>
      </c>
    </row>
    <row r="609" spans="1:7" x14ac:dyDescent="0.15">
      <c r="B609" t="s">
        <v>268</v>
      </c>
      <c r="C609" s="169">
        <v>6.1670000000000002E-15</v>
      </c>
      <c r="D609" s="169">
        <v>5.3870000000000002E-15</v>
      </c>
      <c r="E609">
        <v>-14.21</v>
      </c>
      <c r="F609">
        <v>-14.269</v>
      </c>
      <c r="G609">
        <v>-5.8999999999999997E-2</v>
      </c>
    </row>
    <row r="610" spans="1:7" x14ac:dyDescent="0.15">
      <c r="B610" t="s">
        <v>318</v>
      </c>
      <c r="C610" s="169">
        <v>5.6180000000000002E-15</v>
      </c>
      <c r="D610" s="169">
        <v>4.9080000000000001E-15</v>
      </c>
      <c r="E610">
        <v>-14.25</v>
      </c>
      <c r="F610">
        <v>-14.308999999999999</v>
      </c>
      <c r="G610">
        <v>-5.8999999999999997E-2</v>
      </c>
    </row>
    <row r="611" spans="1:7" x14ac:dyDescent="0.15">
      <c r="B611" t="s">
        <v>337</v>
      </c>
      <c r="C611" s="169">
        <v>9.0589999999999996E-17</v>
      </c>
      <c r="D611" s="169">
        <v>7.9130000000000003E-17</v>
      </c>
      <c r="E611">
        <v>-16.042999999999999</v>
      </c>
      <c r="F611">
        <v>-16.102</v>
      </c>
      <c r="G611">
        <v>-5.8999999999999997E-2</v>
      </c>
    </row>
    <row r="612" spans="1:7" x14ac:dyDescent="0.15">
      <c r="B612" t="s">
        <v>294</v>
      </c>
      <c r="C612" s="169">
        <v>1.9550000000000002E-17</v>
      </c>
      <c r="D612" s="169">
        <v>1.7069999999999999E-17</v>
      </c>
      <c r="E612">
        <v>-16.709</v>
      </c>
      <c r="F612">
        <v>-16.768000000000001</v>
      </c>
      <c r="G612">
        <v>-5.8999999999999997E-2</v>
      </c>
    </row>
    <row r="613" spans="1:7" x14ac:dyDescent="0.15">
      <c r="B613" t="s">
        <v>338</v>
      </c>
      <c r="C613" s="169">
        <v>8.3500000000000002E-25</v>
      </c>
      <c r="D613" s="169">
        <v>7.2939999999999996E-25</v>
      </c>
      <c r="E613">
        <v>-24.077999999999999</v>
      </c>
      <c r="F613">
        <v>-24.137</v>
      </c>
      <c r="G613">
        <v>-5.8999999999999997E-2</v>
      </c>
    </row>
    <row r="614" spans="1:7" x14ac:dyDescent="0.15">
      <c r="B614" t="s">
        <v>270</v>
      </c>
      <c r="C614" s="169">
        <v>6.0369999999999999E-26</v>
      </c>
      <c r="D614" s="169">
        <v>5.2730000000000002E-26</v>
      </c>
      <c r="E614">
        <v>-25.219000000000001</v>
      </c>
      <c r="F614">
        <v>-25.277999999999999</v>
      </c>
      <c r="G614">
        <v>-5.8999999999999997E-2</v>
      </c>
    </row>
    <row r="615" spans="1:7" x14ac:dyDescent="0.15">
      <c r="B615" t="s">
        <v>298</v>
      </c>
      <c r="C615" s="169">
        <v>5.1110000000000001E-27</v>
      </c>
      <c r="D615" s="169">
        <v>4.465E-27</v>
      </c>
      <c r="E615">
        <v>-26.291</v>
      </c>
      <c r="F615">
        <v>-26.35</v>
      </c>
      <c r="G615">
        <v>-5.8999999999999997E-2</v>
      </c>
    </row>
    <row r="616" spans="1:7" x14ac:dyDescent="0.15">
      <c r="B616" t="s">
        <v>302</v>
      </c>
      <c r="C616" s="169">
        <v>1.5819999999999999E-36</v>
      </c>
      <c r="D616" s="169">
        <v>1.382E-36</v>
      </c>
      <c r="E616">
        <v>-35.801000000000002</v>
      </c>
      <c r="F616">
        <v>-35.859000000000002</v>
      </c>
      <c r="G616">
        <v>-5.8999999999999997E-2</v>
      </c>
    </row>
    <row r="617" spans="1:7" x14ac:dyDescent="0.15">
      <c r="B617" t="s">
        <v>304</v>
      </c>
      <c r="C617" s="169">
        <v>0</v>
      </c>
      <c r="D617" s="169">
        <v>0</v>
      </c>
      <c r="E617">
        <v>-45.69</v>
      </c>
      <c r="F617">
        <v>-45.749000000000002</v>
      </c>
      <c r="G617">
        <v>-5.8999999999999997E-2</v>
      </c>
    </row>
    <row r="618" spans="1:7" x14ac:dyDescent="0.15">
      <c r="B618" t="s">
        <v>288</v>
      </c>
      <c r="C618" s="169">
        <v>0</v>
      </c>
      <c r="D618" s="169">
        <v>0</v>
      </c>
      <c r="E618">
        <v>-55.585999999999999</v>
      </c>
      <c r="F618">
        <v>-55.645000000000003</v>
      </c>
      <c r="G618">
        <v>-5.8999999999999997E-2</v>
      </c>
    </row>
    <row r="619" spans="1:7" x14ac:dyDescent="0.15">
      <c r="B619" t="s">
        <v>306</v>
      </c>
      <c r="C619" s="169">
        <v>0</v>
      </c>
      <c r="D619" s="169">
        <v>0</v>
      </c>
      <c r="E619">
        <v>-56.079000000000001</v>
      </c>
      <c r="F619">
        <v>-56.137999999999998</v>
      </c>
      <c r="G619">
        <v>-5.8999999999999997E-2</v>
      </c>
    </row>
    <row r="620" spans="1:7" x14ac:dyDescent="0.15">
      <c r="B620" t="s">
        <v>310</v>
      </c>
      <c r="C620" s="169">
        <v>0</v>
      </c>
      <c r="D620" s="169">
        <v>0</v>
      </c>
      <c r="E620">
        <v>-69.319999999999993</v>
      </c>
      <c r="F620">
        <v>-69.334999999999994</v>
      </c>
      <c r="G620">
        <v>-1.4999999999999999E-2</v>
      </c>
    </row>
    <row r="621" spans="1:7" x14ac:dyDescent="0.15">
      <c r="B621" t="s">
        <v>311</v>
      </c>
      <c r="C621" s="169">
        <v>0</v>
      </c>
      <c r="D621" s="169">
        <v>0</v>
      </c>
      <c r="E621">
        <v>-70.991</v>
      </c>
      <c r="F621">
        <v>-71.049000000000007</v>
      </c>
      <c r="G621">
        <v>-5.8999999999999997E-2</v>
      </c>
    </row>
    <row r="622" spans="1:7" x14ac:dyDescent="0.15">
      <c r="B622" t="s">
        <v>289</v>
      </c>
      <c r="C622" s="169">
        <v>0</v>
      </c>
      <c r="D622" s="169">
        <v>0</v>
      </c>
      <c r="E622">
        <v>-72.826999999999998</v>
      </c>
      <c r="F622">
        <v>-72.885999999999996</v>
      </c>
      <c r="G622">
        <v>-5.8999999999999997E-2</v>
      </c>
    </row>
    <row r="623" spans="1:7" x14ac:dyDescent="0.15">
      <c r="A623" t="s">
        <v>469</v>
      </c>
      <c r="B623" s="169">
        <v>7.1389999999999995E-7</v>
      </c>
    </row>
    <row r="624" spans="1:7" x14ac:dyDescent="0.15">
      <c r="B624" t="s">
        <v>339</v>
      </c>
      <c r="C624" s="169">
        <v>7.1350000000000003E-7</v>
      </c>
      <c r="D624" s="169">
        <v>6.9070000000000001E-7</v>
      </c>
      <c r="E624">
        <v>-6.1470000000000002</v>
      </c>
      <c r="F624">
        <v>-6.1609999999999996</v>
      </c>
      <c r="G624">
        <v>-1.4E-2</v>
      </c>
    </row>
    <row r="625" spans="1:7" x14ac:dyDescent="0.15">
      <c r="B625" t="s">
        <v>267</v>
      </c>
      <c r="C625" s="169">
        <v>4.4130000000000002E-10</v>
      </c>
      <c r="D625" s="169">
        <v>4.2660000000000001E-10</v>
      </c>
      <c r="E625">
        <v>-9.3550000000000004</v>
      </c>
      <c r="F625">
        <v>-9.3699999999999992</v>
      </c>
      <c r="G625">
        <v>-1.4999999999999999E-2</v>
      </c>
    </row>
    <row r="626" spans="1:7" x14ac:dyDescent="0.15">
      <c r="B626" t="s">
        <v>321</v>
      </c>
      <c r="C626" s="169">
        <v>1.033E-14</v>
      </c>
      <c r="D626" s="169">
        <v>9.9829999999999999E-15</v>
      </c>
      <c r="E626">
        <v>-13.986000000000001</v>
      </c>
      <c r="F626">
        <v>-14.000999999999999</v>
      </c>
      <c r="G626">
        <v>-1.4999999999999999E-2</v>
      </c>
    </row>
    <row r="627" spans="1:7" x14ac:dyDescent="0.15">
      <c r="B627" t="s">
        <v>340</v>
      </c>
      <c r="C627" s="169">
        <v>2.609E-15</v>
      </c>
      <c r="D627" s="169">
        <v>2.522E-15</v>
      </c>
      <c r="E627">
        <v>-14.584</v>
      </c>
      <c r="F627">
        <v>-14.598000000000001</v>
      </c>
      <c r="G627">
        <v>-1.4999999999999999E-2</v>
      </c>
    </row>
    <row r="628" spans="1:7" x14ac:dyDescent="0.15">
      <c r="B628" t="s">
        <v>341</v>
      </c>
      <c r="C628" s="169">
        <v>2.5690000000000001E-15</v>
      </c>
      <c r="D628" s="169">
        <v>2.4840000000000001E-15</v>
      </c>
      <c r="E628">
        <v>-14.59</v>
      </c>
      <c r="F628">
        <v>-14.605</v>
      </c>
      <c r="G628">
        <v>-1.4999999999999999E-2</v>
      </c>
    </row>
    <row r="629" spans="1:7" x14ac:dyDescent="0.15">
      <c r="B629" t="s">
        <v>296</v>
      </c>
      <c r="C629" s="169">
        <v>1.6310000000000001E-15</v>
      </c>
      <c r="D629" s="169">
        <v>1.576E-15</v>
      </c>
      <c r="E629">
        <v>-14.788</v>
      </c>
      <c r="F629">
        <v>-14.802</v>
      </c>
      <c r="G629">
        <v>-1.4999999999999999E-2</v>
      </c>
    </row>
    <row r="630" spans="1:7" x14ac:dyDescent="0.15">
      <c r="B630" t="s">
        <v>297</v>
      </c>
      <c r="C630" s="169">
        <v>2.2149999999999999E-21</v>
      </c>
      <c r="D630" s="169">
        <v>2.2149999999999999E-21</v>
      </c>
      <c r="E630">
        <v>-20.655000000000001</v>
      </c>
      <c r="F630">
        <v>-20.655000000000001</v>
      </c>
      <c r="G630">
        <v>0</v>
      </c>
    </row>
    <row r="631" spans="1:7" x14ac:dyDescent="0.15">
      <c r="B631" t="s">
        <v>323</v>
      </c>
      <c r="C631" s="169">
        <v>7.9520000000000002E-22</v>
      </c>
      <c r="D631" s="169">
        <v>7.9520000000000002E-22</v>
      </c>
      <c r="E631">
        <v>-21.1</v>
      </c>
      <c r="F631">
        <v>-21.1</v>
      </c>
      <c r="G631">
        <v>0</v>
      </c>
    </row>
    <row r="632" spans="1:7" x14ac:dyDescent="0.15">
      <c r="B632" t="s">
        <v>342</v>
      </c>
      <c r="C632" s="169">
        <v>3.15E-22</v>
      </c>
      <c r="D632" s="169">
        <v>3.15E-22</v>
      </c>
      <c r="E632">
        <v>-21.501999999999999</v>
      </c>
      <c r="F632">
        <v>-21.501999999999999</v>
      </c>
      <c r="G632">
        <v>0</v>
      </c>
    </row>
    <row r="633" spans="1:7" x14ac:dyDescent="0.15">
      <c r="A633" t="s">
        <v>667</v>
      </c>
      <c r="B633" s="169">
        <v>2.633E-4</v>
      </c>
    </row>
    <row r="634" spans="1:7" x14ac:dyDescent="0.15">
      <c r="B634" t="s">
        <v>343</v>
      </c>
      <c r="C634" s="169">
        <v>2.632E-4</v>
      </c>
      <c r="D634" s="169">
        <v>2.5480000000000001E-4</v>
      </c>
      <c r="E634">
        <v>-3.58</v>
      </c>
      <c r="F634">
        <v>-3.5939999999999999</v>
      </c>
      <c r="G634">
        <v>-1.4E-2</v>
      </c>
    </row>
    <row r="635" spans="1:7" x14ac:dyDescent="0.15">
      <c r="B635" t="s">
        <v>522</v>
      </c>
      <c r="C635" s="169">
        <v>9.2789999999999999E-8</v>
      </c>
      <c r="D635" s="169">
        <v>9.2789999999999999E-8</v>
      </c>
      <c r="E635">
        <v>-7.0330000000000004</v>
      </c>
      <c r="F635">
        <v>-7.0330000000000004</v>
      </c>
      <c r="G635">
        <v>0</v>
      </c>
    </row>
    <row r="636" spans="1:7" x14ac:dyDescent="0.15">
      <c r="B636" t="s">
        <v>344</v>
      </c>
      <c r="C636" s="169">
        <v>1.226E-8</v>
      </c>
      <c r="D636" s="169">
        <v>1.187E-8</v>
      </c>
      <c r="E636">
        <v>-7.9119999999999999</v>
      </c>
      <c r="F636">
        <v>-7.9260000000000002</v>
      </c>
      <c r="G636">
        <v>-1.4E-2</v>
      </c>
    </row>
    <row r="637" spans="1:7" x14ac:dyDescent="0.15">
      <c r="B637" t="s">
        <v>255</v>
      </c>
      <c r="C637" s="169">
        <v>7.9139999999999998E-10</v>
      </c>
      <c r="D637" s="169">
        <v>7.6630000000000003E-10</v>
      </c>
      <c r="E637">
        <v>-9.1020000000000003</v>
      </c>
      <c r="F637">
        <v>-9.1159999999999997</v>
      </c>
      <c r="G637">
        <v>-1.4E-2</v>
      </c>
    </row>
    <row r="638" spans="1:7" x14ac:dyDescent="0.15">
      <c r="A638" t="s">
        <v>838</v>
      </c>
      <c r="B638" s="169">
        <v>1.7039999999999999E-9</v>
      </c>
    </row>
    <row r="639" spans="1:7" x14ac:dyDescent="0.15">
      <c r="B639" t="s">
        <v>345</v>
      </c>
      <c r="C639" s="169">
        <v>1.6310000000000001E-9</v>
      </c>
      <c r="D639" s="169">
        <v>1.432E-9</v>
      </c>
      <c r="E639">
        <v>-8.7880000000000003</v>
      </c>
      <c r="F639">
        <v>-8.8439999999999994</v>
      </c>
      <c r="G639">
        <v>-5.7000000000000002E-2</v>
      </c>
    </row>
    <row r="640" spans="1:7" x14ac:dyDescent="0.15">
      <c r="B640" t="s">
        <v>260</v>
      </c>
      <c r="C640" s="169">
        <v>6.4540000000000004E-11</v>
      </c>
      <c r="D640" s="169">
        <v>6.2390000000000004E-11</v>
      </c>
      <c r="E640">
        <v>-10.19</v>
      </c>
      <c r="F640">
        <v>-10.205</v>
      </c>
      <c r="G640">
        <v>-1.4999999999999999E-2</v>
      </c>
    </row>
    <row r="641" spans="1:7" x14ac:dyDescent="0.15">
      <c r="B641" t="s">
        <v>258</v>
      </c>
      <c r="C641" s="169">
        <v>5.5850000000000001E-12</v>
      </c>
      <c r="D641" s="169">
        <v>5.5850000000000001E-12</v>
      </c>
      <c r="E641">
        <v>-11.253</v>
      </c>
      <c r="F641">
        <v>-11.253</v>
      </c>
      <c r="G641">
        <v>0</v>
      </c>
    </row>
    <row r="642" spans="1:7" x14ac:dyDescent="0.15">
      <c r="B642" t="s">
        <v>104</v>
      </c>
      <c r="C642" s="169">
        <v>2.2360000000000002E-12</v>
      </c>
      <c r="D642" s="169">
        <v>2.2360000000000002E-12</v>
      </c>
      <c r="E642">
        <v>-11.65</v>
      </c>
      <c r="F642">
        <v>-11.65</v>
      </c>
      <c r="G642">
        <v>0</v>
      </c>
    </row>
    <row r="643" spans="1:7" x14ac:dyDescent="0.15">
      <c r="B643" t="s">
        <v>275</v>
      </c>
      <c r="C643" s="169">
        <v>4.9560000000000003E-13</v>
      </c>
      <c r="D643" s="169">
        <v>4.7910000000000005E-13</v>
      </c>
      <c r="E643">
        <v>-12.305</v>
      </c>
      <c r="F643">
        <v>-12.32</v>
      </c>
      <c r="G643">
        <v>-1.4999999999999999E-2</v>
      </c>
    </row>
    <row r="644" spans="1:7" x14ac:dyDescent="0.15">
      <c r="B644" t="s">
        <v>105</v>
      </c>
      <c r="C644" s="169">
        <v>3.9139999999999998E-13</v>
      </c>
      <c r="D644" s="169">
        <v>3.7839999999999998E-13</v>
      </c>
      <c r="E644">
        <v>-12.407</v>
      </c>
      <c r="F644">
        <v>-12.422000000000001</v>
      </c>
      <c r="G644">
        <v>-1.4999999999999999E-2</v>
      </c>
    </row>
    <row r="645" spans="1:7" x14ac:dyDescent="0.15">
      <c r="B645" t="s">
        <v>106</v>
      </c>
      <c r="C645" s="169">
        <v>5.7779999999999996E-15</v>
      </c>
      <c r="D645" s="169">
        <v>5.7779999999999996E-15</v>
      </c>
      <c r="E645">
        <v>-14.238</v>
      </c>
      <c r="F645">
        <v>-14.238</v>
      </c>
      <c r="G645">
        <v>0</v>
      </c>
    </row>
    <row r="646" spans="1:7" x14ac:dyDescent="0.15">
      <c r="B646" t="s">
        <v>341</v>
      </c>
      <c r="C646" s="169">
        <v>2.5690000000000001E-15</v>
      </c>
      <c r="D646" s="169">
        <v>2.4840000000000001E-15</v>
      </c>
      <c r="E646">
        <v>-14.59</v>
      </c>
      <c r="F646">
        <v>-14.605</v>
      </c>
      <c r="G646">
        <v>-1.4999999999999999E-2</v>
      </c>
    </row>
    <row r="647" spans="1:7" x14ac:dyDescent="0.15">
      <c r="B647" t="s">
        <v>337</v>
      </c>
      <c r="C647" s="169">
        <v>9.0589999999999996E-17</v>
      </c>
      <c r="D647" s="169">
        <v>7.9130000000000003E-17</v>
      </c>
      <c r="E647">
        <v>-16.042999999999999</v>
      </c>
      <c r="F647">
        <v>-16.102</v>
      </c>
      <c r="G647">
        <v>-5.8999999999999997E-2</v>
      </c>
    </row>
    <row r="648" spans="1:7" x14ac:dyDescent="0.15">
      <c r="B648" t="s">
        <v>107</v>
      </c>
      <c r="C648" s="169">
        <v>8.5040000000000002E-19</v>
      </c>
      <c r="D648" s="169">
        <v>7.4280000000000001E-19</v>
      </c>
      <c r="E648">
        <v>-18.07</v>
      </c>
      <c r="F648">
        <v>-18.129000000000001</v>
      </c>
      <c r="G648">
        <v>-5.8999999999999997E-2</v>
      </c>
    </row>
    <row r="649" spans="1:7" x14ac:dyDescent="0.15">
      <c r="B649" t="s">
        <v>108</v>
      </c>
      <c r="C649" s="169">
        <v>3.7969999999999999E-19</v>
      </c>
      <c r="D649" s="169">
        <v>3.6710000000000001E-19</v>
      </c>
      <c r="E649">
        <v>-18.420999999999999</v>
      </c>
      <c r="F649">
        <v>-18.434999999999999</v>
      </c>
      <c r="G649">
        <v>-1.4999999999999999E-2</v>
      </c>
    </row>
    <row r="650" spans="1:7" x14ac:dyDescent="0.15">
      <c r="B650" t="s">
        <v>279</v>
      </c>
      <c r="C650" s="169">
        <v>3.437E-19</v>
      </c>
      <c r="D650" s="169">
        <v>3.437E-19</v>
      </c>
      <c r="E650">
        <v>-18.463999999999999</v>
      </c>
      <c r="F650">
        <v>-18.463999999999999</v>
      </c>
      <c r="G650">
        <v>0</v>
      </c>
    </row>
    <row r="651" spans="1:7" x14ac:dyDescent="0.15">
      <c r="B651" t="s">
        <v>338</v>
      </c>
      <c r="C651" s="169">
        <v>8.3500000000000002E-25</v>
      </c>
      <c r="D651" s="169">
        <v>7.2939999999999996E-25</v>
      </c>
      <c r="E651">
        <v>-24.077999999999999</v>
      </c>
      <c r="F651">
        <v>-24.137</v>
      </c>
      <c r="G651">
        <v>-5.8999999999999997E-2</v>
      </c>
    </row>
    <row r="652" spans="1:7" x14ac:dyDescent="0.15">
      <c r="A652" t="s">
        <v>471</v>
      </c>
      <c r="B652" s="169">
        <v>6.2500000000000001E-4</v>
      </c>
    </row>
    <row r="653" spans="1:7" x14ac:dyDescent="0.15">
      <c r="B653" t="s">
        <v>109</v>
      </c>
      <c r="C653" s="169">
        <v>3.1250000000000001E-4</v>
      </c>
      <c r="D653" s="169">
        <v>3.1260000000000001E-4</v>
      </c>
      <c r="E653">
        <v>-3.5049999999999999</v>
      </c>
      <c r="F653">
        <v>-3.5049999999999999</v>
      </c>
      <c r="G653">
        <v>0</v>
      </c>
    </row>
    <row r="654" spans="1:7" x14ac:dyDescent="0.15">
      <c r="A654" t="s">
        <v>472</v>
      </c>
      <c r="B654" s="169">
        <v>1.041E-5</v>
      </c>
    </row>
    <row r="655" spans="1:7" x14ac:dyDescent="0.15">
      <c r="B655" t="s">
        <v>110</v>
      </c>
      <c r="C655" s="169">
        <v>1.009E-5</v>
      </c>
      <c r="D655" s="169">
        <v>8.8619999999999992E-6</v>
      </c>
      <c r="E655">
        <v>-4.9960000000000004</v>
      </c>
      <c r="F655">
        <v>-5.0519999999999996</v>
      </c>
      <c r="G655">
        <v>-5.7000000000000002E-2</v>
      </c>
    </row>
    <row r="656" spans="1:7" x14ac:dyDescent="0.15">
      <c r="B656" t="s">
        <v>266</v>
      </c>
      <c r="C656" s="169">
        <v>3.0359999999999999E-7</v>
      </c>
      <c r="D656" s="169">
        <v>3.0359999999999999E-7</v>
      </c>
      <c r="E656">
        <v>-6.5179999999999998</v>
      </c>
      <c r="F656">
        <v>-6.5179999999999998</v>
      </c>
      <c r="G656">
        <v>0</v>
      </c>
    </row>
    <row r="657" spans="1:7" x14ac:dyDescent="0.15">
      <c r="B657" t="s">
        <v>344</v>
      </c>
      <c r="C657" s="169">
        <v>1.226E-8</v>
      </c>
      <c r="D657" s="169">
        <v>1.187E-8</v>
      </c>
      <c r="E657">
        <v>-7.9119999999999999</v>
      </c>
      <c r="F657">
        <v>-7.9260000000000002</v>
      </c>
      <c r="G657">
        <v>-1.4E-2</v>
      </c>
    </row>
    <row r="658" spans="1:7" x14ac:dyDescent="0.15">
      <c r="B658" t="s">
        <v>112</v>
      </c>
      <c r="C658" s="169">
        <v>8.8599999999999996E-11</v>
      </c>
      <c r="D658" s="169">
        <v>8.5770000000000005E-11</v>
      </c>
      <c r="E658">
        <v>-10.053000000000001</v>
      </c>
      <c r="F658">
        <v>-10.067</v>
      </c>
      <c r="G658">
        <v>-1.4E-2</v>
      </c>
    </row>
    <row r="659" spans="1:7" x14ac:dyDescent="0.15">
      <c r="B659" t="s">
        <v>319</v>
      </c>
      <c r="C659" s="169">
        <v>7.0589999999999997E-12</v>
      </c>
      <c r="D659" s="169">
        <v>7.0589999999999997E-12</v>
      </c>
      <c r="E659">
        <v>-11.151</v>
      </c>
      <c r="F659">
        <v>-11.151</v>
      </c>
      <c r="G659">
        <v>0</v>
      </c>
    </row>
    <row r="660" spans="1:7" x14ac:dyDescent="0.15">
      <c r="B660" t="s">
        <v>111</v>
      </c>
      <c r="C660" s="169">
        <v>2.238E-12</v>
      </c>
      <c r="D660" s="169">
        <v>2.238E-12</v>
      </c>
      <c r="E660">
        <v>-11.65</v>
      </c>
      <c r="F660">
        <v>-11.65</v>
      </c>
      <c r="G660">
        <v>0</v>
      </c>
    </row>
    <row r="661" spans="1:7" x14ac:dyDescent="0.15">
      <c r="B661" t="s">
        <v>104</v>
      </c>
      <c r="C661" s="169">
        <v>2.2360000000000002E-12</v>
      </c>
      <c r="D661" s="169">
        <v>2.2360000000000002E-12</v>
      </c>
      <c r="E661">
        <v>-11.65</v>
      </c>
      <c r="F661">
        <v>-11.65</v>
      </c>
      <c r="G661">
        <v>0</v>
      </c>
    </row>
    <row r="662" spans="1:7" x14ac:dyDescent="0.15">
      <c r="B662" t="s">
        <v>292</v>
      </c>
      <c r="C662" s="169">
        <v>2.23E-12</v>
      </c>
      <c r="D662" s="169">
        <v>2.23E-12</v>
      </c>
      <c r="E662">
        <v>-11.651999999999999</v>
      </c>
      <c r="F662">
        <v>-11.651999999999999</v>
      </c>
      <c r="G662">
        <v>0</v>
      </c>
    </row>
    <row r="663" spans="1:7" x14ac:dyDescent="0.15">
      <c r="B663" t="s">
        <v>336</v>
      </c>
      <c r="C663" s="169">
        <v>6.7029999999999998E-13</v>
      </c>
      <c r="D663" s="169">
        <v>6.4899999999999996E-13</v>
      </c>
      <c r="E663">
        <v>-12.173999999999999</v>
      </c>
      <c r="F663">
        <v>-12.188000000000001</v>
      </c>
      <c r="G663">
        <v>-1.4E-2</v>
      </c>
    </row>
    <row r="664" spans="1:7" x14ac:dyDescent="0.15">
      <c r="B664" t="s">
        <v>113</v>
      </c>
      <c r="C664" s="169">
        <v>2.257E-16</v>
      </c>
      <c r="D664" s="169">
        <v>1.972E-16</v>
      </c>
      <c r="E664">
        <v>-15.646000000000001</v>
      </c>
      <c r="F664">
        <v>-15.705</v>
      </c>
      <c r="G664">
        <v>-5.8999999999999997E-2</v>
      </c>
    </row>
    <row r="665" spans="1:7" x14ac:dyDescent="0.15">
      <c r="B665" t="s">
        <v>107</v>
      </c>
      <c r="C665" s="169">
        <v>8.5040000000000002E-19</v>
      </c>
      <c r="D665" s="169">
        <v>7.4280000000000001E-19</v>
      </c>
      <c r="E665">
        <v>-18.07</v>
      </c>
      <c r="F665">
        <v>-18.129000000000001</v>
      </c>
      <c r="G665">
        <v>-5.8999999999999997E-2</v>
      </c>
    </row>
    <row r="666" spans="1:7" x14ac:dyDescent="0.15">
      <c r="B666" t="s">
        <v>310</v>
      </c>
      <c r="C666" s="169">
        <v>0</v>
      </c>
      <c r="D666" s="169">
        <v>0</v>
      </c>
      <c r="E666">
        <v>-69.319999999999993</v>
      </c>
      <c r="F666">
        <v>-69.334999999999994</v>
      </c>
      <c r="G666">
        <v>-1.4999999999999999E-2</v>
      </c>
    </row>
    <row r="667" spans="1:7" x14ac:dyDescent="0.15">
      <c r="A667" t="s">
        <v>847</v>
      </c>
      <c r="B667" s="169">
        <v>1.529E-9</v>
      </c>
    </row>
    <row r="668" spans="1:7" x14ac:dyDescent="0.15">
      <c r="B668" t="s">
        <v>114</v>
      </c>
      <c r="C668" s="169">
        <v>1.5010000000000001E-9</v>
      </c>
      <c r="D668" s="169">
        <v>1.318E-9</v>
      </c>
      <c r="E668">
        <v>-8.8239999999999998</v>
      </c>
      <c r="F668">
        <v>-8.8800000000000008</v>
      </c>
      <c r="G668">
        <v>-5.7000000000000002E-2</v>
      </c>
    </row>
    <row r="669" spans="1:7" x14ac:dyDescent="0.15">
      <c r="B669" t="s">
        <v>263</v>
      </c>
      <c r="C669" s="169">
        <v>1.524E-11</v>
      </c>
      <c r="D669" s="169">
        <v>1.473E-11</v>
      </c>
      <c r="E669">
        <v>-10.817</v>
      </c>
      <c r="F669">
        <v>-10.832000000000001</v>
      </c>
      <c r="G669">
        <v>-1.4999999999999999E-2</v>
      </c>
    </row>
    <row r="670" spans="1:7" x14ac:dyDescent="0.15">
      <c r="B670" t="s">
        <v>257</v>
      </c>
      <c r="C670" s="169">
        <v>7.9279999999999993E-12</v>
      </c>
      <c r="D670" s="169">
        <v>7.9279999999999993E-12</v>
      </c>
      <c r="E670">
        <v>-11.101000000000001</v>
      </c>
      <c r="F670">
        <v>-11.101000000000001</v>
      </c>
      <c r="G670">
        <v>0</v>
      </c>
    </row>
    <row r="671" spans="1:7" x14ac:dyDescent="0.15">
      <c r="B671" t="s">
        <v>115</v>
      </c>
      <c r="C671" s="169">
        <v>2.627E-12</v>
      </c>
      <c r="D671" s="169">
        <v>2.5400000000000001E-12</v>
      </c>
      <c r="E671">
        <v>-11.581</v>
      </c>
      <c r="F671">
        <v>-11.595000000000001</v>
      </c>
      <c r="G671">
        <v>-1.4999999999999999E-2</v>
      </c>
    </row>
    <row r="672" spans="1:7" x14ac:dyDescent="0.15">
      <c r="B672" t="s">
        <v>111</v>
      </c>
      <c r="C672" s="169">
        <v>2.238E-12</v>
      </c>
      <c r="D672" s="169">
        <v>2.238E-12</v>
      </c>
      <c r="E672">
        <v>-11.65</v>
      </c>
      <c r="F672">
        <v>-11.65</v>
      </c>
      <c r="G672">
        <v>0</v>
      </c>
    </row>
    <row r="673" spans="1:10" x14ac:dyDescent="0.15">
      <c r="B673" t="s">
        <v>274</v>
      </c>
      <c r="C673" s="169">
        <v>4.1590000000000003E-13</v>
      </c>
      <c r="D673" s="169">
        <v>4.0260000000000002E-13</v>
      </c>
      <c r="E673">
        <v>-12.381</v>
      </c>
      <c r="F673">
        <v>-12.395</v>
      </c>
      <c r="G673">
        <v>-1.4E-2</v>
      </c>
    </row>
    <row r="674" spans="1:10" x14ac:dyDescent="0.15">
      <c r="B674" t="s">
        <v>116</v>
      </c>
      <c r="C674" s="169">
        <v>8.429E-14</v>
      </c>
      <c r="D674" s="169">
        <v>8.429E-14</v>
      </c>
      <c r="E674">
        <v>-13.074</v>
      </c>
      <c r="F674">
        <v>-13.074</v>
      </c>
      <c r="G674">
        <v>0</v>
      </c>
    </row>
    <row r="675" spans="1:10" x14ac:dyDescent="0.15">
      <c r="B675" t="s">
        <v>273</v>
      </c>
      <c r="C675" s="169">
        <v>3.7580000000000002E-14</v>
      </c>
      <c r="D675" s="169">
        <v>3.7580000000000002E-14</v>
      </c>
      <c r="E675">
        <v>-13.425000000000001</v>
      </c>
      <c r="F675">
        <v>-13.425000000000001</v>
      </c>
      <c r="G675">
        <v>0</v>
      </c>
    </row>
    <row r="676" spans="1:10" x14ac:dyDescent="0.15">
      <c r="B676" t="s">
        <v>340</v>
      </c>
      <c r="C676" s="169">
        <v>2.609E-15</v>
      </c>
      <c r="D676" s="169">
        <v>2.522E-15</v>
      </c>
      <c r="E676">
        <v>-14.584</v>
      </c>
      <c r="F676">
        <v>-14.598000000000001</v>
      </c>
      <c r="G676">
        <v>-1.4999999999999999E-2</v>
      </c>
    </row>
    <row r="677" spans="1:10" x14ac:dyDescent="0.15">
      <c r="B677" t="s">
        <v>113</v>
      </c>
      <c r="C677" s="169">
        <v>2.257E-16</v>
      </c>
      <c r="D677" s="169">
        <v>1.972E-16</v>
      </c>
      <c r="E677">
        <v>-15.646000000000001</v>
      </c>
      <c r="F677">
        <v>-15.705</v>
      </c>
      <c r="G677">
        <v>-5.8999999999999997E-2</v>
      </c>
    </row>
    <row r="678" spans="1:10" x14ac:dyDescent="0.15">
      <c r="B678" t="s">
        <v>277</v>
      </c>
      <c r="C678" s="169">
        <v>4.4340000000000003E-17</v>
      </c>
      <c r="D678" s="169">
        <v>4.4340000000000003E-17</v>
      </c>
      <c r="E678">
        <v>-16.353000000000002</v>
      </c>
      <c r="F678">
        <v>-16.353000000000002</v>
      </c>
      <c r="G678">
        <v>0</v>
      </c>
    </row>
    <row r="679" spans="1:10" x14ac:dyDescent="0.15">
      <c r="B679" t="s">
        <v>117</v>
      </c>
      <c r="C679" s="169">
        <v>2.776E-17</v>
      </c>
      <c r="D679" s="169">
        <v>2.6839999999999999E-17</v>
      </c>
      <c r="E679">
        <v>-16.556999999999999</v>
      </c>
      <c r="F679">
        <v>-16.571000000000002</v>
      </c>
      <c r="G679">
        <v>-1.4999999999999999E-2</v>
      </c>
    </row>
    <row r="680" spans="1:10" x14ac:dyDescent="0.15">
      <c r="B680" t="s">
        <v>280</v>
      </c>
      <c r="C680" s="169">
        <v>4.659E-21</v>
      </c>
      <c r="D680" s="169">
        <v>4.5100000000000003E-21</v>
      </c>
      <c r="E680">
        <v>-20.332000000000001</v>
      </c>
      <c r="F680">
        <v>-20.346</v>
      </c>
      <c r="G680">
        <v>-1.4E-2</v>
      </c>
    </row>
    <row r="681" spans="1:10" x14ac:dyDescent="0.15">
      <c r="B681" t="s">
        <v>342</v>
      </c>
      <c r="C681" s="169">
        <v>3.15E-22</v>
      </c>
      <c r="D681" s="169">
        <v>3.15E-22</v>
      </c>
      <c r="E681">
        <v>-21.501999999999999</v>
      </c>
      <c r="F681">
        <v>-21.501999999999999</v>
      </c>
      <c r="G681">
        <v>0</v>
      </c>
    </row>
    <row r="682" spans="1:10" x14ac:dyDescent="0.15">
      <c r="B682" t="s">
        <v>118</v>
      </c>
      <c r="C682" s="169">
        <v>7.771E-23</v>
      </c>
      <c r="D682" s="169">
        <v>6.7880000000000003E-23</v>
      </c>
      <c r="E682">
        <v>-22.11</v>
      </c>
      <c r="F682">
        <v>-22.167999999999999</v>
      </c>
      <c r="G682">
        <v>-5.8999999999999997E-2</v>
      </c>
    </row>
    <row r="683" spans="1:10" x14ac:dyDescent="0.15">
      <c r="B683" t="s">
        <v>281</v>
      </c>
      <c r="C683" s="169">
        <v>3.09E-25</v>
      </c>
      <c r="D683" s="169">
        <v>2.7160000000000001E-25</v>
      </c>
      <c r="E683">
        <v>-24.51</v>
      </c>
      <c r="F683">
        <v>-24.565999999999999</v>
      </c>
      <c r="G683">
        <v>-5.6000000000000001E-2</v>
      </c>
    </row>
    <row r="685" spans="1:10" x14ac:dyDescent="0.15">
      <c r="A685" t="e">
        <f>------------------------------Saturation</f>
        <v>#NAME?</v>
      </c>
      <c r="B685" t="s">
        <v>119</v>
      </c>
    </row>
    <row r="687" spans="1:10" x14ac:dyDescent="0.15">
      <c r="B687" t="s">
        <v>120</v>
      </c>
      <c r="C687" t="s">
        <v>121</v>
      </c>
      <c r="D687" t="s">
        <v>122</v>
      </c>
      <c r="E687" t="s">
        <v>123</v>
      </c>
      <c r="F687" t="s">
        <v>122</v>
      </c>
      <c r="G687" t="s">
        <v>124</v>
      </c>
      <c r="I687">
        <v>1</v>
      </c>
      <c r="J687" t="s">
        <v>126</v>
      </c>
    </row>
    <row r="689" spans="2:6" x14ac:dyDescent="0.15">
      <c r="B689" t="s">
        <v>127</v>
      </c>
      <c r="C689">
        <v>-55.18</v>
      </c>
      <c r="D689">
        <v>-48.96</v>
      </c>
      <c r="E689">
        <v>6.23</v>
      </c>
      <c r="F689" t="s">
        <v>127</v>
      </c>
    </row>
    <row r="690" spans="2:6" x14ac:dyDescent="0.15">
      <c r="B690" t="s">
        <v>128</v>
      </c>
      <c r="C690">
        <v>-48.97</v>
      </c>
      <c r="D690">
        <v>-44.36</v>
      </c>
      <c r="E690">
        <v>4.6100000000000003</v>
      </c>
      <c r="F690" t="s">
        <v>128</v>
      </c>
    </row>
    <row r="691" spans="2:6" x14ac:dyDescent="0.15">
      <c r="B691" t="s">
        <v>129</v>
      </c>
      <c r="C691">
        <v>-56.33</v>
      </c>
      <c r="D691">
        <v>-44.36</v>
      </c>
      <c r="E691">
        <v>11.97</v>
      </c>
      <c r="F691" t="s">
        <v>129</v>
      </c>
    </row>
    <row r="692" spans="2:6" x14ac:dyDescent="0.15">
      <c r="B692" t="s">
        <v>130</v>
      </c>
      <c r="C692">
        <v>-70.540000000000006</v>
      </c>
      <c r="D692">
        <v>-52.62</v>
      </c>
      <c r="E692">
        <v>17.920000000000002</v>
      </c>
      <c r="F692" t="s">
        <v>130</v>
      </c>
    </row>
    <row r="693" spans="2:6" x14ac:dyDescent="0.15">
      <c r="B693" t="s">
        <v>131</v>
      </c>
      <c r="C693">
        <v>-66.069999999999993</v>
      </c>
      <c r="D693">
        <v>-45.73</v>
      </c>
      <c r="E693">
        <v>20.34</v>
      </c>
      <c r="F693" t="s">
        <v>131</v>
      </c>
    </row>
    <row r="694" spans="2:6" x14ac:dyDescent="0.15">
      <c r="B694" t="s">
        <v>376</v>
      </c>
      <c r="C694">
        <v>-4.5199999999999996</v>
      </c>
      <c r="D694">
        <v>-8.81</v>
      </c>
      <c r="E694">
        <v>-4.29</v>
      </c>
      <c r="F694" t="s">
        <v>266</v>
      </c>
    </row>
    <row r="695" spans="2:6" x14ac:dyDescent="0.15">
      <c r="B695" t="s">
        <v>377</v>
      </c>
      <c r="C695">
        <v>-11.77</v>
      </c>
      <c r="D695">
        <v>-2.99</v>
      </c>
      <c r="E695">
        <v>8.7899999999999991</v>
      </c>
      <c r="F695" t="s">
        <v>378</v>
      </c>
    </row>
    <row r="696" spans="2:6" x14ac:dyDescent="0.15">
      <c r="B696" t="s">
        <v>379</v>
      </c>
      <c r="C696">
        <v>-2.5499999999999998</v>
      </c>
      <c r="D696">
        <v>-10.74</v>
      </c>
      <c r="E696">
        <v>-8.19</v>
      </c>
      <c r="F696" t="s">
        <v>520</v>
      </c>
    </row>
    <row r="697" spans="2:6" x14ac:dyDescent="0.15">
      <c r="B697" t="s">
        <v>380</v>
      </c>
      <c r="C697">
        <v>-8.48</v>
      </c>
      <c r="D697">
        <v>-0.22</v>
      </c>
      <c r="E697">
        <v>8.26</v>
      </c>
      <c r="F697" t="s">
        <v>381</v>
      </c>
    </row>
    <row r="698" spans="2:6" x14ac:dyDescent="0.15">
      <c r="B698" t="s">
        <v>382</v>
      </c>
      <c r="C698">
        <v>-9.4700000000000006</v>
      </c>
      <c r="D698">
        <v>-25.5</v>
      </c>
      <c r="E698">
        <v>-16.02</v>
      </c>
      <c r="F698" t="s">
        <v>383</v>
      </c>
    </row>
    <row r="699" spans="2:6" x14ac:dyDescent="0.15">
      <c r="B699" t="s">
        <v>384</v>
      </c>
      <c r="C699">
        <v>-12.17</v>
      </c>
      <c r="D699">
        <v>-13.93</v>
      </c>
      <c r="E699">
        <v>-1.76</v>
      </c>
      <c r="F699" t="s">
        <v>385</v>
      </c>
    </row>
    <row r="700" spans="2:6" x14ac:dyDescent="0.15">
      <c r="B700" t="s">
        <v>386</v>
      </c>
      <c r="C700">
        <v>-14.87</v>
      </c>
      <c r="D700">
        <v>2.2400000000000002</v>
      </c>
      <c r="E700">
        <v>17.100000000000001</v>
      </c>
      <c r="F700" t="s">
        <v>387</v>
      </c>
    </row>
    <row r="701" spans="2:6" x14ac:dyDescent="0.15">
      <c r="B701" t="s">
        <v>388</v>
      </c>
      <c r="C701">
        <v>-8.6199999999999992</v>
      </c>
      <c r="D701">
        <v>4.76</v>
      </c>
      <c r="E701">
        <v>13.37</v>
      </c>
      <c r="F701" t="s">
        <v>389</v>
      </c>
    </row>
    <row r="702" spans="2:6" x14ac:dyDescent="0.15">
      <c r="B702" t="s">
        <v>477</v>
      </c>
      <c r="C702">
        <v>-2.33</v>
      </c>
      <c r="D702">
        <v>-10.74</v>
      </c>
      <c r="E702">
        <v>-8.41</v>
      </c>
      <c r="F702" t="s">
        <v>520</v>
      </c>
    </row>
    <row r="703" spans="2:6" x14ac:dyDescent="0.15">
      <c r="B703" t="s">
        <v>390</v>
      </c>
      <c r="C703">
        <v>-4.87</v>
      </c>
      <c r="D703">
        <v>-12.8</v>
      </c>
      <c r="E703">
        <v>-7.93</v>
      </c>
      <c r="F703" t="s">
        <v>390</v>
      </c>
    </row>
    <row r="704" spans="2:6" x14ac:dyDescent="0.15">
      <c r="B704" t="s">
        <v>391</v>
      </c>
      <c r="C704">
        <v>-153.94</v>
      </c>
      <c r="D704">
        <v>-197.37</v>
      </c>
      <c r="E704">
        <v>-43.43</v>
      </c>
      <c r="F704" t="s">
        <v>392</v>
      </c>
    </row>
    <row r="705" spans="2:6" x14ac:dyDescent="0.15">
      <c r="B705" t="s">
        <v>393</v>
      </c>
      <c r="C705">
        <v>-10.73</v>
      </c>
      <c r="D705">
        <v>-13.43</v>
      </c>
      <c r="E705">
        <v>-2.7</v>
      </c>
      <c r="F705" t="s">
        <v>394</v>
      </c>
    </row>
    <row r="706" spans="2:6" x14ac:dyDescent="0.15">
      <c r="B706" t="s">
        <v>295</v>
      </c>
      <c r="C706">
        <v>-8.34</v>
      </c>
      <c r="D706">
        <v>4.76</v>
      </c>
      <c r="E706">
        <v>13.09</v>
      </c>
      <c r="F706" t="s">
        <v>295</v>
      </c>
    </row>
    <row r="707" spans="2:6" x14ac:dyDescent="0.15">
      <c r="B707" t="s">
        <v>395</v>
      </c>
      <c r="C707">
        <v>-4.09</v>
      </c>
      <c r="D707">
        <v>-5.54</v>
      </c>
      <c r="E707">
        <v>-1.45</v>
      </c>
      <c r="F707" t="s">
        <v>395</v>
      </c>
    </row>
    <row r="708" spans="2:6" x14ac:dyDescent="0.15">
      <c r="B708" t="s">
        <v>396</v>
      </c>
      <c r="C708">
        <v>-2.4</v>
      </c>
      <c r="D708">
        <v>-20.58</v>
      </c>
      <c r="E708">
        <v>-18.18</v>
      </c>
      <c r="F708" t="s">
        <v>221</v>
      </c>
    </row>
    <row r="709" spans="2:6" x14ac:dyDescent="0.15">
      <c r="B709" t="s">
        <v>397</v>
      </c>
      <c r="C709">
        <v>3.17</v>
      </c>
      <c r="D709">
        <v>-6.33</v>
      </c>
      <c r="E709">
        <v>-9.5</v>
      </c>
      <c r="F709" t="s">
        <v>397</v>
      </c>
    </row>
    <row r="710" spans="2:6" x14ac:dyDescent="0.15">
      <c r="B710" t="s">
        <v>398</v>
      </c>
      <c r="C710">
        <v>-25.58</v>
      </c>
      <c r="D710">
        <v>-16.57</v>
      </c>
      <c r="E710">
        <v>9.01</v>
      </c>
      <c r="F710" t="s">
        <v>398</v>
      </c>
    </row>
    <row r="711" spans="2:6" x14ac:dyDescent="0.15">
      <c r="B711" t="s">
        <v>399</v>
      </c>
      <c r="C711">
        <v>-19.03</v>
      </c>
      <c r="D711">
        <v>-16.57</v>
      </c>
      <c r="E711">
        <v>2.46</v>
      </c>
      <c r="F711" t="s">
        <v>399</v>
      </c>
    </row>
    <row r="712" spans="2:6" x14ac:dyDescent="0.15">
      <c r="B712" t="s">
        <v>259</v>
      </c>
      <c r="C712">
        <v>-5.96</v>
      </c>
      <c r="D712">
        <v>-15.82</v>
      </c>
      <c r="E712">
        <v>-9.86</v>
      </c>
      <c r="F712" t="s">
        <v>259</v>
      </c>
    </row>
    <row r="713" spans="2:6" x14ac:dyDescent="0.15">
      <c r="B713" t="s">
        <v>400</v>
      </c>
      <c r="C713">
        <v>-10.34</v>
      </c>
      <c r="D713">
        <v>-17.88</v>
      </c>
      <c r="E713">
        <v>-7.54</v>
      </c>
      <c r="F713" t="s">
        <v>400</v>
      </c>
    </row>
    <row r="714" spans="2:6" x14ac:dyDescent="0.15">
      <c r="B714" t="s">
        <v>401</v>
      </c>
      <c r="C714">
        <v>-9.81</v>
      </c>
      <c r="D714">
        <v>4.76</v>
      </c>
      <c r="E714">
        <v>14.57</v>
      </c>
      <c r="F714" t="s">
        <v>401</v>
      </c>
    </row>
    <row r="715" spans="2:6" x14ac:dyDescent="0.15">
      <c r="B715" t="s">
        <v>292</v>
      </c>
      <c r="C715">
        <v>-17.43</v>
      </c>
      <c r="D715">
        <v>-13.89</v>
      </c>
      <c r="E715">
        <v>3.54</v>
      </c>
      <c r="F715" t="s">
        <v>292</v>
      </c>
    </row>
    <row r="716" spans="2:6" x14ac:dyDescent="0.15">
      <c r="B716" t="s">
        <v>402</v>
      </c>
      <c r="C716">
        <v>-11.41</v>
      </c>
      <c r="D716">
        <v>-13.89</v>
      </c>
      <c r="E716">
        <v>-2.48</v>
      </c>
      <c r="F716" t="s">
        <v>402</v>
      </c>
    </row>
    <row r="717" spans="2:6" x14ac:dyDescent="0.15">
      <c r="B717" t="s">
        <v>317</v>
      </c>
      <c r="C717">
        <v>-3.98</v>
      </c>
      <c r="D717">
        <v>5.22</v>
      </c>
      <c r="E717">
        <v>9.1999999999999993</v>
      </c>
      <c r="F717" t="s">
        <v>317</v>
      </c>
    </row>
    <row r="718" spans="2:6" x14ac:dyDescent="0.15">
      <c r="B718" t="s">
        <v>403</v>
      </c>
      <c r="C718">
        <v>-12.44</v>
      </c>
      <c r="D718">
        <v>-2.52</v>
      </c>
      <c r="E718">
        <v>9.92</v>
      </c>
      <c r="F718" t="s">
        <v>403</v>
      </c>
    </row>
    <row r="719" spans="2:6" x14ac:dyDescent="0.15">
      <c r="B719" t="s">
        <v>133</v>
      </c>
      <c r="C719">
        <v>-45.38</v>
      </c>
      <c r="D719">
        <v>-47.15</v>
      </c>
      <c r="E719">
        <v>-1.77</v>
      </c>
      <c r="F719" t="s">
        <v>133</v>
      </c>
    </row>
    <row r="720" spans="2:6" x14ac:dyDescent="0.15">
      <c r="B720" t="s">
        <v>256</v>
      </c>
      <c r="C720">
        <v>-3.86</v>
      </c>
      <c r="D720">
        <v>-15.36</v>
      </c>
      <c r="E720">
        <v>-11.5</v>
      </c>
      <c r="F720" t="s">
        <v>256</v>
      </c>
    </row>
    <row r="721" spans="2:6" x14ac:dyDescent="0.15">
      <c r="B721" t="s">
        <v>134</v>
      </c>
      <c r="C721">
        <v>-26.93</v>
      </c>
      <c r="D721">
        <v>-36.35</v>
      </c>
      <c r="E721">
        <v>-9.42</v>
      </c>
      <c r="F721" t="s">
        <v>836</v>
      </c>
    </row>
    <row r="722" spans="2:6" x14ac:dyDescent="0.15">
      <c r="B722" t="s">
        <v>135</v>
      </c>
      <c r="C722">
        <v>-4.2300000000000004</v>
      </c>
      <c r="D722">
        <v>-17.420000000000002</v>
      </c>
      <c r="E722">
        <v>-13.19</v>
      </c>
      <c r="F722" t="s">
        <v>135</v>
      </c>
    </row>
    <row r="723" spans="2:6" x14ac:dyDescent="0.15">
      <c r="B723" t="s">
        <v>136</v>
      </c>
      <c r="C723">
        <v>-19.79</v>
      </c>
      <c r="D723">
        <v>-8.2100000000000009</v>
      </c>
      <c r="E723">
        <v>11.58</v>
      </c>
      <c r="F723" t="s">
        <v>136</v>
      </c>
    </row>
    <row r="724" spans="2:6" x14ac:dyDescent="0.15">
      <c r="B724" t="s">
        <v>137</v>
      </c>
      <c r="C724">
        <v>-28.25</v>
      </c>
      <c r="D724">
        <v>-28.5</v>
      </c>
      <c r="E724">
        <v>-0.26</v>
      </c>
      <c r="F724" t="s">
        <v>138</v>
      </c>
    </row>
    <row r="725" spans="2:6" x14ac:dyDescent="0.15">
      <c r="B725" t="s">
        <v>319</v>
      </c>
      <c r="C725">
        <v>-17.05</v>
      </c>
      <c r="D725">
        <v>-13.43</v>
      </c>
      <c r="E725">
        <v>3.62</v>
      </c>
      <c r="F725" t="s">
        <v>319</v>
      </c>
    </row>
    <row r="726" spans="2:6" x14ac:dyDescent="0.15">
      <c r="B726" t="s">
        <v>139</v>
      </c>
      <c r="C726">
        <v>-11.79</v>
      </c>
      <c r="D726">
        <v>-13.93</v>
      </c>
      <c r="E726">
        <v>-2.14</v>
      </c>
      <c r="F726" t="s">
        <v>140</v>
      </c>
    </row>
    <row r="727" spans="2:6" x14ac:dyDescent="0.15">
      <c r="B727" t="s">
        <v>141</v>
      </c>
      <c r="C727">
        <v>-4.1900000000000004</v>
      </c>
      <c r="D727">
        <v>-8.81</v>
      </c>
      <c r="E727">
        <v>-4.62</v>
      </c>
      <c r="F727" t="s">
        <v>142</v>
      </c>
    </row>
    <row r="728" spans="2:6" x14ac:dyDescent="0.15">
      <c r="B728" t="s">
        <v>329</v>
      </c>
      <c r="C728">
        <v>-9.31</v>
      </c>
      <c r="D728">
        <v>-22.64</v>
      </c>
      <c r="E728">
        <v>-13.33</v>
      </c>
      <c r="F728" t="s">
        <v>329</v>
      </c>
    </row>
    <row r="729" spans="2:6" x14ac:dyDescent="0.15">
      <c r="B729" t="s">
        <v>143</v>
      </c>
      <c r="C729">
        <v>-9.0299999999999994</v>
      </c>
      <c r="D729">
        <v>-7.46</v>
      </c>
      <c r="E729">
        <v>1.57</v>
      </c>
      <c r="F729" t="s">
        <v>144</v>
      </c>
    </row>
    <row r="730" spans="2:6" x14ac:dyDescent="0.15">
      <c r="B730" t="s">
        <v>145</v>
      </c>
      <c r="C730">
        <v>-16.79</v>
      </c>
      <c r="D730">
        <v>2.2400000000000002</v>
      </c>
      <c r="E730">
        <v>19.03</v>
      </c>
      <c r="F730" t="s">
        <v>146</v>
      </c>
    </row>
    <row r="731" spans="2:6" x14ac:dyDescent="0.15">
      <c r="B731" t="s">
        <v>147</v>
      </c>
      <c r="C731">
        <v>-24.66</v>
      </c>
      <c r="D731">
        <v>9.84</v>
      </c>
      <c r="E731">
        <v>34.5</v>
      </c>
      <c r="F731" t="s">
        <v>148</v>
      </c>
    </row>
    <row r="732" spans="2:6" x14ac:dyDescent="0.15">
      <c r="B732" t="s">
        <v>149</v>
      </c>
      <c r="C732">
        <v>-4.12</v>
      </c>
      <c r="D732">
        <v>-10.14</v>
      </c>
      <c r="E732">
        <v>-6.01</v>
      </c>
      <c r="F732" t="s">
        <v>150</v>
      </c>
    </row>
    <row r="733" spans="2:6" x14ac:dyDescent="0.15">
      <c r="B733" t="s">
        <v>151</v>
      </c>
      <c r="C733">
        <v>-22.95</v>
      </c>
      <c r="D733">
        <v>-16.11</v>
      </c>
      <c r="E733">
        <v>6.85</v>
      </c>
      <c r="F733" t="s">
        <v>278</v>
      </c>
    </row>
    <row r="734" spans="2:6" x14ac:dyDescent="0.15">
      <c r="B734" t="s">
        <v>152</v>
      </c>
      <c r="C734">
        <v>-10.39</v>
      </c>
      <c r="D734">
        <v>-12.24</v>
      </c>
      <c r="E734">
        <v>-1.85</v>
      </c>
      <c r="F734" t="s">
        <v>153</v>
      </c>
    </row>
    <row r="735" spans="2:6" x14ac:dyDescent="0.15">
      <c r="B735" t="s">
        <v>154</v>
      </c>
      <c r="C735">
        <v>-14.64</v>
      </c>
      <c r="D735">
        <v>-22.64</v>
      </c>
      <c r="E735">
        <v>-8</v>
      </c>
      <c r="F735" t="s">
        <v>154</v>
      </c>
    </row>
    <row r="736" spans="2:6" x14ac:dyDescent="0.15">
      <c r="B736" t="s">
        <v>155</v>
      </c>
      <c r="C736">
        <v>-11.64</v>
      </c>
      <c r="D736">
        <v>-13.9</v>
      </c>
      <c r="E736">
        <v>-2.2599999999999998</v>
      </c>
      <c r="F736" t="s">
        <v>156</v>
      </c>
    </row>
    <row r="737" spans="2:6" x14ac:dyDescent="0.15">
      <c r="B737" t="s">
        <v>157</v>
      </c>
      <c r="C737">
        <v>-21.75</v>
      </c>
      <c r="D737">
        <v>-38.869999999999997</v>
      </c>
      <c r="E737">
        <v>-17.12</v>
      </c>
      <c r="F737" t="s">
        <v>157</v>
      </c>
    </row>
    <row r="738" spans="2:6" x14ac:dyDescent="0.15">
      <c r="B738" t="s">
        <v>158</v>
      </c>
      <c r="C738">
        <v>-17.809999999999999</v>
      </c>
      <c r="D738">
        <v>-16.23</v>
      </c>
      <c r="E738">
        <v>1.58</v>
      </c>
      <c r="F738" t="s">
        <v>158</v>
      </c>
    </row>
    <row r="739" spans="2:6" x14ac:dyDescent="0.15">
      <c r="B739" t="s">
        <v>159</v>
      </c>
      <c r="C739">
        <v>-17.45</v>
      </c>
      <c r="D739">
        <v>-16.23</v>
      </c>
      <c r="E739">
        <v>1.22</v>
      </c>
      <c r="F739" t="s">
        <v>159</v>
      </c>
    </row>
    <row r="740" spans="2:6" x14ac:dyDescent="0.15">
      <c r="B740" t="s">
        <v>160</v>
      </c>
      <c r="C740">
        <v>-17.79</v>
      </c>
      <c r="D740">
        <v>-24.92</v>
      </c>
      <c r="E740">
        <v>-7.13</v>
      </c>
      <c r="F740" t="s">
        <v>284</v>
      </c>
    </row>
    <row r="741" spans="2:6" x14ac:dyDescent="0.15">
      <c r="B741" t="s">
        <v>161</v>
      </c>
      <c r="C741">
        <v>-12.25</v>
      </c>
      <c r="D741">
        <v>-14.17</v>
      </c>
      <c r="E741">
        <v>-1.92</v>
      </c>
      <c r="F741" t="s">
        <v>162</v>
      </c>
    </row>
    <row r="742" spans="2:6" x14ac:dyDescent="0.15">
      <c r="B742" t="s">
        <v>106</v>
      </c>
      <c r="C742">
        <v>-8.93</v>
      </c>
      <c r="D742">
        <v>4.76</v>
      </c>
      <c r="E742">
        <v>13.68</v>
      </c>
      <c r="F742" t="s">
        <v>106</v>
      </c>
    </row>
    <row r="743" spans="2:6" x14ac:dyDescent="0.15">
      <c r="B743" t="s">
        <v>163</v>
      </c>
      <c r="C743">
        <v>-31.63</v>
      </c>
      <c r="D743">
        <v>0.37</v>
      </c>
      <c r="E743">
        <v>32</v>
      </c>
      <c r="F743" t="s">
        <v>163</v>
      </c>
    </row>
    <row r="744" spans="2:6" x14ac:dyDescent="0.15">
      <c r="B744" t="s">
        <v>258</v>
      </c>
      <c r="C744">
        <v>-9.34</v>
      </c>
      <c r="D744">
        <v>-15.82</v>
      </c>
      <c r="E744">
        <v>-6.48</v>
      </c>
      <c r="F744" t="s">
        <v>258</v>
      </c>
    </row>
    <row r="745" spans="2:6" x14ac:dyDescent="0.15">
      <c r="B745" t="s">
        <v>164</v>
      </c>
      <c r="C745">
        <v>-6.73</v>
      </c>
      <c r="D745">
        <v>-17.88</v>
      </c>
      <c r="E745">
        <v>-11.15</v>
      </c>
      <c r="F745" t="s">
        <v>164</v>
      </c>
    </row>
    <row r="746" spans="2:6" x14ac:dyDescent="0.15">
      <c r="B746" t="s">
        <v>461</v>
      </c>
      <c r="C746">
        <v>0</v>
      </c>
      <c r="D746">
        <v>88.39</v>
      </c>
      <c r="E746">
        <v>88.39</v>
      </c>
      <c r="F746" t="s">
        <v>109</v>
      </c>
    </row>
    <row r="747" spans="2:6" x14ac:dyDescent="0.15">
      <c r="B747" t="s">
        <v>165</v>
      </c>
      <c r="C747">
        <v>-14.16</v>
      </c>
      <c r="D747">
        <v>9.84</v>
      </c>
      <c r="E747">
        <v>24</v>
      </c>
      <c r="F747" t="s">
        <v>166</v>
      </c>
    </row>
    <row r="748" spans="2:6" x14ac:dyDescent="0.15">
      <c r="B748" t="s">
        <v>167</v>
      </c>
      <c r="C748">
        <v>-11.81</v>
      </c>
      <c r="D748">
        <v>-13.9</v>
      </c>
      <c r="E748">
        <v>-2.08</v>
      </c>
      <c r="F748" t="s">
        <v>168</v>
      </c>
    </row>
    <row r="749" spans="2:6" x14ac:dyDescent="0.15">
      <c r="B749" t="s">
        <v>169</v>
      </c>
      <c r="C749">
        <v>-6.01</v>
      </c>
      <c r="D749">
        <v>-15.86</v>
      </c>
      <c r="E749">
        <v>-9.85</v>
      </c>
      <c r="F749" t="s">
        <v>257</v>
      </c>
    </row>
    <row r="750" spans="2:6" x14ac:dyDescent="0.15">
      <c r="B750" t="s">
        <v>170</v>
      </c>
      <c r="C750">
        <v>-3.02</v>
      </c>
      <c r="D750">
        <v>5.22</v>
      </c>
      <c r="E750">
        <v>8.25</v>
      </c>
      <c r="F750" t="s">
        <v>171</v>
      </c>
    </row>
    <row r="751" spans="2:6" x14ac:dyDescent="0.15">
      <c r="B751" t="s">
        <v>172</v>
      </c>
      <c r="C751">
        <v>-12.65</v>
      </c>
      <c r="D751">
        <v>-12.24</v>
      </c>
      <c r="E751">
        <v>0.41</v>
      </c>
      <c r="F751" t="s">
        <v>173</v>
      </c>
    </row>
    <row r="752" spans="2:6" x14ac:dyDescent="0.15">
      <c r="B752" t="s">
        <v>174</v>
      </c>
      <c r="C752">
        <v>-14.9</v>
      </c>
      <c r="D752">
        <v>-14.17</v>
      </c>
      <c r="E752">
        <v>0.73</v>
      </c>
      <c r="F752" t="s">
        <v>175</v>
      </c>
    </row>
    <row r="753" spans="2:6" x14ac:dyDescent="0.15">
      <c r="B753" t="s">
        <v>176</v>
      </c>
      <c r="C753">
        <v>-7.45</v>
      </c>
      <c r="D753">
        <v>4.72</v>
      </c>
      <c r="E753">
        <v>12.17</v>
      </c>
      <c r="F753" t="s">
        <v>177</v>
      </c>
    </row>
    <row r="754" spans="2:6" x14ac:dyDescent="0.15">
      <c r="B754" t="s">
        <v>178</v>
      </c>
      <c r="C754">
        <v>-18.63</v>
      </c>
      <c r="D754">
        <v>-13.93</v>
      </c>
      <c r="E754">
        <v>4.7</v>
      </c>
      <c r="F754" t="s">
        <v>111</v>
      </c>
    </row>
    <row r="755" spans="2:6" x14ac:dyDescent="0.15">
      <c r="B755" t="s">
        <v>179</v>
      </c>
      <c r="C755">
        <v>-24.29</v>
      </c>
      <c r="D755">
        <v>-21.2</v>
      </c>
      <c r="E755">
        <v>3.09</v>
      </c>
      <c r="F755" t="s">
        <v>179</v>
      </c>
    </row>
    <row r="756" spans="2:6" x14ac:dyDescent="0.15">
      <c r="B756" t="s">
        <v>116</v>
      </c>
      <c r="C756">
        <v>-7.48</v>
      </c>
      <c r="D756">
        <v>4.72</v>
      </c>
      <c r="E756">
        <v>12.2</v>
      </c>
      <c r="F756" t="s">
        <v>116</v>
      </c>
    </row>
    <row r="757" spans="2:6" x14ac:dyDescent="0.15">
      <c r="B757" t="s">
        <v>180</v>
      </c>
      <c r="C757">
        <v>-8.5</v>
      </c>
      <c r="D757">
        <v>4.72</v>
      </c>
      <c r="E757">
        <v>13.22</v>
      </c>
      <c r="F757" t="s">
        <v>116</v>
      </c>
    </row>
    <row r="758" spans="2:6" x14ac:dyDescent="0.15">
      <c r="B758" t="s">
        <v>181</v>
      </c>
      <c r="C758">
        <v>-7.81</v>
      </c>
      <c r="D758">
        <v>4.72</v>
      </c>
      <c r="E758">
        <v>12.53</v>
      </c>
      <c r="F758" t="s">
        <v>116</v>
      </c>
    </row>
    <row r="759" spans="2:6" x14ac:dyDescent="0.15">
      <c r="B759" t="s">
        <v>182</v>
      </c>
      <c r="C759">
        <v>-7.57</v>
      </c>
      <c r="D759">
        <v>4.72</v>
      </c>
      <c r="E759">
        <v>12.29</v>
      </c>
      <c r="F759" t="s">
        <v>116</v>
      </c>
    </row>
    <row r="760" spans="2:6" x14ac:dyDescent="0.15">
      <c r="B760" t="s">
        <v>183</v>
      </c>
      <c r="C760">
        <v>-7.01</v>
      </c>
      <c r="D760">
        <v>4.72</v>
      </c>
      <c r="E760">
        <v>11.73</v>
      </c>
      <c r="F760" t="s">
        <v>116</v>
      </c>
    </row>
    <row r="761" spans="2:6" x14ac:dyDescent="0.15">
      <c r="B761" t="s">
        <v>184</v>
      </c>
      <c r="C761">
        <v>-16.71</v>
      </c>
      <c r="D761">
        <v>-9.2100000000000009</v>
      </c>
      <c r="E761">
        <v>7.5</v>
      </c>
      <c r="F761" t="s">
        <v>184</v>
      </c>
    </row>
    <row r="762" spans="2:6" x14ac:dyDescent="0.15">
      <c r="B762" t="s">
        <v>185</v>
      </c>
      <c r="C762">
        <v>-16.420000000000002</v>
      </c>
      <c r="D762">
        <v>-1.23</v>
      </c>
      <c r="E762">
        <v>15.19</v>
      </c>
      <c r="F762" t="s">
        <v>185</v>
      </c>
    </row>
    <row r="763" spans="2:6" x14ac:dyDescent="0.15">
      <c r="B763" t="s">
        <v>186</v>
      </c>
      <c r="C763">
        <v>-44.45</v>
      </c>
      <c r="D763">
        <v>-23.15</v>
      </c>
      <c r="E763">
        <v>21.31</v>
      </c>
      <c r="F763" t="s">
        <v>186</v>
      </c>
    </row>
    <row r="764" spans="2:6" x14ac:dyDescent="0.15">
      <c r="B764" t="s">
        <v>187</v>
      </c>
      <c r="C764">
        <v>-28.17</v>
      </c>
      <c r="D764">
        <v>0.23</v>
      </c>
      <c r="E764">
        <v>28.4</v>
      </c>
      <c r="F764" t="s">
        <v>187</v>
      </c>
    </row>
    <row r="765" spans="2:6" x14ac:dyDescent="0.15">
      <c r="B765" t="s">
        <v>188</v>
      </c>
      <c r="C765">
        <v>-36.229999999999997</v>
      </c>
      <c r="D765">
        <v>2.27</v>
      </c>
      <c r="E765">
        <v>38.5</v>
      </c>
      <c r="F765" t="s">
        <v>188</v>
      </c>
    </row>
    <row r="766" spans="2:6" x14ac:dyDescent="0.15">
      <c r="B766" t="s">
        <v>277</v>
      </c>
      <c r="C766">
        <v>-24.33</v>
      </c>
      <c r="D766">
        <v>-16.61</v>
      </c>
      <c r="E766">
        <v>7.72</v>
      </c>
      <c r="F766" t="s">
        <v>277</v>
      </c>
    </row>
    <row r="767" spans="2:6" x14ac:dyDescent="0.15">
      <c r="B767" t="s">
        <v>189</v>
      </c>
      <c r="C767">
        <v>-5.6</v>
      </c>
      <c r="D767">
        <v>-15.86</v>
      </c>
      <c r="E767">
        <v>-10.26</v>
      </c>
      <c r="F767" t="s">
        <v>189</v>
      </c>
    </row>
    <row r="768" spans="2:6" x14ac:dyDescent="0.15">
      <c r="B768" t="s">
        <v>190</v>
      </c>
      <c r="C768">
        <v>-66.69</v>
      </c>
      <c r="D768">
        <v>-39.479999999999997</v>
      </c>
      <c r="E768">
        <v>27.21</v>
      </c>
      <c r="F768" t="s">
        <v>847</v>
      </c>
    </row>
    <row r="769" spans="1:6" x14ac:dyDescent="0.15">
      <c r="B769" t="s">
        <v>191</v>
      </c>
      <c r="C769">
        <v>-7.89</v>
      </c>
      <c r="D769">
        <v>-17.920000000000002</v>
      </c>
      <c r="E769">
        <v>-10.029999999999999</v>
      </c>
      <c r="F769" t="s">
        <v>191</v>
      </c>
    </row>
    <row r="770" spans="1:6" x14ac:dyDescent="0.15">
      <c r="B770" t="s">
        <v>192</v>
      </c>
      <c r="C770">
        <v>-7.29</v>
      </c>
      <c r="D770">
        <v>4.72</v>
      </c>
      <c r="E770">
        <v>12.01</v>
      </c>
      <c r="F770" t="s">
        <v>177</v>
      </c>
    </row>
    <row r="771" spans="1:6" x14ac:dyDescent="0.15">
      <c r="B771" t="s">
        <v>193</v>
      </c>
      <c r="C771">
        <v>-13.7</v>
      </c>
      <c r="D771">
        <v>-13.93</v>
      </c>
      <c r="E771">
        <v>-0.23</v>
      </c>
      <c r="F771" t="s">
        <v>193</v>
      </c>
    </row>
    <row r="774" spans="1:6" x14ac:dyDescent="0.15">
      <c r="A774" t="s">
        <v>484</v>
      </c>
      <c r="B774" t="s">
        <v>482</v>
      </c>
      <c r="C774">
        <v>3</v>
      </c>
      <c r="D774" t="s">
        <v>202</v>
      </c>
      <c r="E774" t="s">
        <v>458</v>
      </c>
    </row>
    <row r="776" spans="1:6" x14ac:dyDescent="0.15">
      <c r="A776" t="e">
        <f>-----------------------------Solution</f>
        <v>#NAME?</v>
      </c>
      <c r="B776" t="s">
        <v>204</v>
      </c>
    </row>
    <row r="778" spans="1:6" x14ac:dyDescent="0.15">
      <c r="B778" t="s">
        <v>205</v>
      </c>
      <c r="C778" t="s">
        <v>206</v>
      </c>
      <c r="D778" t="s">
        <v>207</v>
      </c>
    </row>
    <row r="780" spans="1:6" x14ac:dyDescent="0.15">
      <c r="B780" t="s">
        <v>466</v>
      </c>
      <c r="C780" s="169">
        <v>2E-3</v>
      </c>
      <c r="D780" s="169">
        <v>2E-3</v>
      </c>
    </row>
    <row r="781" spans="1:6" x14ac:dyDescent="0.15">
      <c r="B781" t="s">
        <v>664</v>
      </c>
      <c r="C781" s="169">
        <v>3.8430000000000003E-6</v>
      </c>
      <c r="D781" s="169">
        <v>3.8430000000000003E-6</v>
      </c>
    </row>
    <row r="782" spans="1:6" x14ac:dyDescent="0.15">
      <c r="B782" t="s">
        <v>658</v>
      </c>
      <c r="C782" s="169">
        <v>2.8210000000000002E-6</v>
      </c>
      <c r="D782" s="169">
        <v>2.8210000000000002E-6</v>
      </c>
    </row>
    <row r="783" spans="1:6" x14ac:dyDescent="0.15">
      <c r="B783" t="s">
        <v>671</v>
      </c>
      <c r="C783" s="169">
        <v>1.0690000000000001E-11</v>
      </c>
      <c r="D783" s="169">
        <v>1.0690000000000001E-11</v>
      </c>
    </row>
    <row r="784" spans="1:6" x14ac:dyDescent="0.15">
      <c r="B784" t="s">
        <v>836</v>
      </c>
      <c r="C784" s="169">
        <v>1.4160000000000001E-10</v>
      </c>
      <c r="D784" s="169">
        <v>1.4160000000000001E-10</v>
      </c>
    </row>
    <row r="785" spans="1:7" x14ac:dyDescent="0.15">
      <c r="B785" t="s">
        <v>837</v>
      </c>
      <c r="C785" s="169">
        <v>1.6680000000000001E-10</v>
      </c>
      <c r="D785" s="169">
        <v>1.6680000000000001E-10</v>
      </c>
    </row>
    <row r="786" spans="1:7" x14ac:dyDescent="0.15">
      <c r="B786" t="s">
        <v>468</v>
      </c>
      <c r="C786" s="169">
        <v>2.4990000000000001E-8</v>
      </c>
      <c r="D786" s="169">
        <v>2.4990000000000001E-8</v>
      </c>
    </row>
    <row r="787" spans="1:7" x14ac:dyDescent="0.15">
      <c r="B787" t="s">
        <v>667</v>
      </c>
      <c r="C787" s="169">
        <v>2.0019999999999999E-3</v>
      </c>
      <c r="D787" s="169">
        <v>2.0019999999999999E-3</v>
      </c>
      <c r="E787" t="s">
        <v>208</v>
      </c>
      <c r="F787" t="s">
        <v>209</v>
      </c>
    </row>
    <row r="788" spans="1:7" x14ac:dyDescent="0.15">
      <c r="B788" t="s">
        <v>838</v>
      </c>
      <c r="C788" s="169">
        <v>1.1929999999999999E-11</v>
      </c>
      <c r="D788" s="169">
        <v>1.1929999999999999E-11</v>
      </c>
    </row>
    <row r="789" spans="1:7" x14ac:dyDescent="0.15">
      <c r="B789" t="s">
        <v>547</v>
      </c>
      <c r="C789" s="169">
        <v>1.291E-9</v>
      </c>
      <c r="D789" s="169">
        <v>1.291E-9</v>
      </c>
    </row>
    <row r="790" spans="1:7" x14ac:dyDescent="0.15">
      <c r="B790" t="s">
        <v>472</v>
      </c>
      <c r="C790" s="169">
        <v>3.6430000000000001E-6</v>
      </c>
      <c r="D790" s="169">
        <v>3.6430000000000001E-6</v>
      </c>
    </row>
    <row r="791" spans="1:7" x14ac:dyDescent="0.15">
      <c r="B791" t="s">
        <v>847</v>
      </c>
      <c r="C791" s="169">
        <v>1.071E-10</v>
      </c>
      <c r="D791" s="169">
        <v>1.071E-10</v>
      </c>
    </row>
    <row r="793" spans="1:7" x14ac:dyDescent="0.15">
      <c r="A793" t="e">
        <f>----------------------------Description</f>
        <v>#NAME?</v>
      </c>
      <c r="B793" t="s">
        <v>480</v>
      </c>
      <c r="C793" t="s">
        <v>210</v>
      </c>
    </row>
    <row r="795" spans="1:7" x14ac:dyDescent="0.15">
      <c r="B795" t="s">
        <v>698</v>
      </c>
      <c r="C795" t="s">
        <v>211</v>
      </c>
      <c r="D795">
        <v>8.1</v>
      </c>
    </row>
    <row r="796" spans="1:7" x14ac:dyDescent="0.15">
      <c r="B796" t="s">
        <v>460</v>
      </c>
      <c r="C796" t="s">
        <v>211</v>
      </c>
      <c r="D796">
        <v>4</v>
      </c>
    </row>
    <row r="797" spans="1:7" x14ac:dyDescent="0.15">
      <c r="B797" t="s">
        <v>214</v>
      </c>
      <c r="C797" t="s">
        <v>480</v>
      </c>
      <c r="D797" t="s">
        <v>473</v>
      </c>
      <c r="E797" t="s">
        <v>211</v>
      </c>
      <c r="F797">
        <v>1</v>
      </c>
    </row>
    <row r="798" spans="1:7" x14ac:dyDescent="0.15">
      <c r="B798" t="s">
        <v>215</v>
      </c>
      <c r="C798" t="s">
        <v>216</v>
      </c>
      <c r="D798" t="s">
        <v>211</v>
      </c>
      <c r="E798" s="169">
        <v>2.0240000000000002E-3</v>
      </c>
    </row>
    <row r="799" spans="1:7" x14ac:dyDescent="0.15">
      <c r="B799" t="s">
        <v>217</v>
      </c>
      <c r="C799" t="s">
        <v>480</v>
      </c>
      <c r="D799" t="s">
        <v>473</v>
      </c>
      <c r="E799" t="s">
        <v>218</v>
      </c>
      <c r="F799" t="s">
        <v>211</v>
      </c>
      <c r="G799" s="169">
        <v>1</v>
      </c>
    </row>
    <row r="800" spans="1:7" x14ac:dyDescent="0.15">
      <c r="B800" t="s">
        <v>1228</v>
      </c>
      <c r="C800" t="s">
        <v>219</v>
      </c>
      <c r="D800" t="s">
        <v>220</v>
      </c>
      <c r="E800" t="s">
        <v>211</v>
      </c>
      <c r="F800" s="169">
        <v>2.0300000000000001E-3</v>
      </c>
    </row>
    <row r="801" spans="1:7" x14ac:dyDescent="0.15">
      <c r="B801" t="s">
        <v>1228</v>
      </c>
      <c r="C801" t="s">
        <v>221</v>
      </c>
      <c r="D801" t="s">
        <v>220</v>
      </c>
      <c r="E801" t="s">
        <v>211</v>
      </c>
      <c r="F801" s="169">
        <v>2.0300000000000001E-3</v>
      </c>
    </row>
    <row r="802" spans="1:7" x14ac:dyDescent="0.15">
      <c r="B802" t="s">
        <v>222</v>
      </c>
      <c r="C802" t="s">
        <v>223</v>
      </c>
      <c r="D802" t="s">
        <v>224</v>
      </c>
      <c r="E802" t="s">
        <v>211</v>
      </c>
      <c r="F802">
        <v>10</v>
      </c>
    </row>
    <row r="803" spans="1:7" x14ac:dyDescent="0.15">
      <c r="B803" t="s">
        <v>225</v>
      </c>
      <c r="C803" t="s">
        <v>209</v>
      </c>
      <c r="D803" t="s">
        <v>226</v>
      </c>
      <c r="E803" t="s">
        <v>211</v>
      </c>
      <c r="F803" s="169">
        <v>9.8530000000000007E-19</v>
      </c>
    </row>
    <row r="804" spans="1:7" x14ac:dyDescent="0.15">
      <c r="B804" t="s">
        <v>227</v>
      </c>
      <c r="C804" t="s">
        <v>228</v>
      </c>
      <c r="D804" t="s">
        <v>229</v>
      </c>
      <c r="E804" t="s">
        <v>211</v>
      </c>
      <c r="F804">
        <v>0</v>
      </c>
    </row>
    <row r="805" spans="1:7" x14ac:dyDescent="0.15">
      <c r="B805" t="s">
        <v>497</v>
      </c>
      <c r="C805" t="s">
        <v>211</v>
      </c>
      <c r="D805">
        <v>12</v>
      </c>
    </row>
    <row r="806" spans="1:7" x14ac:dyDescent="0.15">
      <c r="B806" t="s">
        <v>1228</v>
      </c>
      <c r="C806" t="s">
        <v>498</v>
      </c>
      <c r="D806" t="s">
        <v>211</v>
      </c>
      <c r="E806" s="169">
        <v>111.0157</v>
      </c>
    </row>
    <row r="807" spans="1:7" x14ac:dyDescent="0.15">
      <c r="B807" t="s">
        <v>1228</v>
      </c>
      <c r="C807" t="s">
        <v>499</v>
      </c>
      <c r="D807" t="s">
        <v>211</v>
      </c>
      <c r="E807" s="169">
        <v>55.51294</v>
      </c>
    </row>
    <row r="809" spans="1:7" x14ac:dyDescent="0.15">
      <c r="A809" t="e">
        <f>----------------------------Distribution</f>
        <v>#NAME?</v>
      </c>
      <c r="B809" t="s">
        <v>480</v>
      </c>
      <c r="C809" t="s">
        <v>507</v>
      </c>
    </row>
    <row r="811" spans="1:7" x14ac:dyDescent="0.15">
      <c r="B811" t="s">
        <v>508</v>
      </c>
      <c r="C811" t="s">
        <v>508</v>
      </c>
      <c r="D811" t="s">
        <v>508</v>
      </c>
      <c r="E811" t="s">
        <v>509</v>
      </c>
      <c r="F811" t="s">
        <v>548</v>
      </c>
    </row>
    <row r="812" spans="1:7" x14ac:dyDescent="0.15">
      <c r="B812" t="s">
        <v>510</v>
      </c>
      <c r="C812" t="s">
        <v>206</v>
      </c>
      <c r="D812" t="s">
        <v>214</v>
      </c>
      <c r="E812" t="s">
        <v>206</v>
      </c>
      <c r="F812" t="s">
        <v>214</v>
      </c>
      <c r="G812" t="s">
        <v>511</v>
      </c>
    </row>
    <row r="814" spans="1:7" x14ac:dyDescent="0.15">
      <c r="B814" t="s">
        <v>513</v>
      </c>
      <c r="C814" s="169">
        <v>4.0390000000000001E-7</v>
      </c>
      <c r="D814" s="169">
        <v>3.8459999999999999E-7</v>
      </c>
      <c r="E814">
        <v>-6.3940000000000001</v>
      </c>
      <c r="F814">
        <v>-6.415</v>
      </c>
      <c r="G814">
        <v>-2.1000000000000001E-2</v>
      </c>
    </row>
    <row r="815" spans="1:7" x14ac:dyDescent="0.15">
      <c r="B815" t="s">
        <v>514</v>
      </c>
      <c r="C815" s="169">
        <v>8.3389999999999994E-9</v>
      </c>
      <c r="D815" s="169">
        <v>7.9430000000000004E-9</v>
      </c>
      <c r="E815">
        <v>-8.0790000000000006</v>
      </c>
      <c r="F815">
        <v>-8.1</v>
      </c>
      <c r="G815">
        <v>-2.1000000000000001E-2</v>
      </c>
    </row>
    <row r="816" spans="1:7" x14ac:dyDescent="0.15">
      <c r="B816" t="s">
        <v>515</v>
      </c>
      <c r="C816" s="169">
        <v>55.51</v>
      </c>
      <c r="D816" s="169">
        <v>0.99990000000000001</v>
      </c>
      <c r="E816">
        <v>1.744</v>
      </c>
      <c r="F816">
        <v>0</v>
      </c>
      <c r="G816">
        <v>0</v>
      </c>
    </row>
    <row r="817" spans="1:7" x14ac:dyDescent="0.15">
      <c r="A817" t="s">
        <v>516</v>
      </c>
      <c r="B817" s="169">
        <v>2.0300000000000001E-3</v>
      </c>
    </row>
    <row r="818" spans="1:7" x14ac:dyDescent="0.15">
      <c r="B818" t="s">
        <v>517</v>
      </c>
      <c r="C818" s="169">
        <v>1.9759999999999999E-3</v>
      </c>
      <c r="D818" s="169">
        <v>1.884E-3</v>
      </c>
      <c r="E818">
        <v>-2.7040000000000002</v>
      </c>
      <c r="F818">
        <v>-2.7250000000000001</v>
      </c>
      <c r="G818">
        <v>-2.1000000000000001E-2</v>
      </c>
    </row>
    <row r="819" spans="1:7" x14ac:dyDescent="0.15">
      <c r="B819" t="s">
        <v>519</v>
      </c>
      <c r="C819" s="169">
        <v>4.0930000000000003E-5</v>
      </c>
      <c r="D819" s="169">
        <v>4.0930000000000003E-5</v>
      </c>
      <c r="E819">
        <v>-4.3879999999999999</v>
      </c>
      <c r="F819">
        <v>-4.3879999999999999</v>
      </c>
      <c r="G819">
        <v>0</v>
      </c>
    </row>
    <row r="820" spans="1:7" x14ac:dyDescent="0.15">
      <c r="B820" t="s">
        <v>521</v>
      </c>
      <c r="C820" s="169">
        <v>9.8870000000000004E-6</v>
      </c>
      <c r="D820" s="169">
        <v>8.1389999999999995E-6</v>
      </c>
      <c r="E820">
        <v>-5.0049999999999999</v>
      </c>
      <c r="F820">
        <v>-5.0890000000000004</v>
      </c>
      <c r="G820">
        <v>-8.5000000000000006E-2</v>
      </c>
    </row>
    <row r="821" spans="1:7" x14ac:dyDescent="0.15">
      <c r="B821" t="s">
        <v>522</v>
      </c>
      <c r="C821" s="169">
        <v>2.7049999999999999E-6</v>
      </c>
      <c r="D821" s="169">
        <v>2.7049999999999999E-6</v>
      </c>
      <c r="E821">
        <v>-5.5679999999999996</v>
      </c>
      <c r="F821">
        <v>-5.5679999999999996</v>
      </c>
      <c r="G821">
        <v>0</v>
      </c>
    </row>
    <row r="822" spans="1:7" x14ac:dyDescent="0.15">
      <c r="B822" t="s">
        <v>255</v>
      </c>
      <c r="C822" s="169">
        <v>4.6759999999999998E-7</v>
      </c>
      <c r="D822" s="169">
        <v>4.4579999999999998E-7</v>
      </c>
      <c r="E822">
        <v>-6.33</v>
      </c>
      <c r="F822">
        <v>-6.351</v>
      </c>
      <c r="G822">
        <v>-2.1000000000000001E-2</v>
      </c>
    </row>
    <row r="823" spans="1:7" x14ac:dyDescent="0.15">
      <c r="B823" t="s">
        <v>518</v>
      </c>
      <c r="C823" s="169">
        <v>7.3829999999999993E-8</v>
      </c>
      <c r="D823" s="169">
        <v>7.0410000000000006E-8</v>
      </c>
      <c r="E823">
        <v>-7.1319999999999997</v>
      </c>
      <c r="F823">
        <v>-7.1520000000000001</v>
      </c>
      <c r="G823">
        <v>-2.1000000000000001E-2</v>
      </c>
    </row>
    <row r="824" spans="1:7" x14ac:dyDescent="0.15">
      <c r="B824" t="s">
        <v>520</v>
      </c>
      <c r="C824" s="169">
        <v>2.8200000000000001E-8</v>
      </c>
      <c r="D824" s="169">
        <v>2.8200000000000001E-8</v>
      </c>
      <c r="E824">
        <v>-7.55</v>
      </c>
      <c r="F824">
        <v>-7.55</v>
      </c>
      <c r="G824">
        <v>0</v>
      </c>
    </row>
    <row r="825" spans="1:7" x14ac:dyDescent="0.15">
      <c r="B825" t="s">
        <v>256</v>
      </c>
      <c r="C825" s="169">
        <v>1.2679999999999999E-10</v>
      </c>
      <c r="D825" s="169">
        <v>1.2679999999999999E-10</v>
      </c>
      <c r="E825">
        <v>-9.8970000000000002</v>
      </c>
      <c r="F825">
        <v>-9.8970000000000002</v>
      </c>
      <c r="G825">
        <v>0</v>
      </c>
    </row>
    <row r="826" spans="1:7" x14ac:dyDescent="0.15">
      <c r="B826" t="s">
        <v>257</v>
      </c>
      <c r="C826" s="169">
        <v>2.7919999999999999E-11</v>
      </c>
      <c r="D826" s="169">
        <v>2.7919999999999999E-11</v>
      </c>
      <c r="E826">
        <v>-10.554</v>
      </c>
      <c r="F826">
        <v>-10.554</v>
      </c>
      <c r="G826">
        <v>0</v>
      </c>
    </row>
    <row r="827" spans="1:7" x14ac:dyDescent="0.15">
      <c r="B827" t="s">
        <v>262</v>
      </c>
      <c r="C827" s="169">
        <v>3.4130000000000001E-12</v>
      </c>
      <c r="D827" s="169">
        <v>2.777E-12</v>
      </c>
      <c r="E827">
        <v>-11.467000000000001</v>
      </c>
      <c r="F827">
        <v>-11.555999999999999</v>
      </c>
      <c r="G827">
        <v>-0.09</v>
      </c>
    </row>
    <row r="828" spans="1:7" x14ac:dyDescent="0.15">
      <c r="B828" t="s">
        <v>263</v>
      </c>
      <c r="C828" s="169">
        <v>2.7370000000000002E-12</v>
      </c>
      <c r="D828" s="169">
        <v>2.5990000000000001E-12</v>
      </c>
      <c r="E828">
        <v>-11.563000000000001</v>
      </c>
      <c r="F828">
        <v>-11.585000000000001</v>
      </c>
      <c r="G828">
        <v>-2.1999999999999999E-2</v>
      </c>
    </row>
    <row r="829" spans="1:7" x14ac:dyDescent="0.15">
      <c r="B829" t="s">
        <v>258</v>
      </c>
      <c r="C829" s="169">
        <v>2.1239999999999998E-12</v>
      </c>
      <c r="D829" s="169">
        <v>2.1239999999999998E-12</v>
      </c>
      <c r="E829">
        <v>-11.673</v>
      </c>
      <c r="F829">
        <v>-11.673</v>
      </c>
      <c r="G829">
        <v>0</v>
      </c>
    </row>
    <row r="830" spans="1:7" x14ac:dyDescent="0.15">
      <c r="B830" t="s">
        <v>260</v>
      </c>
      <c r="C830" s="169">
        <v>1.2519999999999999E-12</v>
      </c>
      <c r="D830" s="169">
        <v>1.1890000000000001E-12</v>
      </c>
      <c r="E830">
        <v>-11.901999999999999</v>
      </c>
      <c r="F830">
        <v>-11.925000000000001</v>
      </c>
      <c r="G830">
        <v>-2.1999999999999999E-2</v>
      </c>
    </row>
    <row r="831" spans="1:7" x14ac:dyDescent="0.15">
      <c r="B831" t="s">
        <v>259</v>
      </c>
      <c r="C831" s="169">
        <v>9.7439999999999997E-13</v>
      </c>
      <c r="D831" s="169">
        <v>9.7439999999999997E-13</v>
      </c>
      <c r="E831">
        <v>-12.010999999999999</v>
      </c>
      <c r="F831">
        <v>-12.010999999999999</v>
      </c>
      <c r="G831">
        <v>0</v>
      </c>
    </row>
    <row r="832" spans="1:7" x14ac:dyDescent="0.15">
      <c r="B832" t="s">
        <v>261</v>
      </c>
      <c r="C832" s="169">
        <v>7.9989999999999995E-13</v>
      </c>
      <c r="D832" s="169">
        <v>7.5969999999999998E-13</v>
      </c>
      <c r="E832">
        <v>-12.097</v>
      </c>
      <c r="F832">
        <v>-12.119</v>
      </c>
      <c r="G832">
        <v>-2.1999999999999999E-2</v>
      </c>
    </row>
    <row r="833" spans="1:7" x14ac:dyDescent="0.15">
      <c r="B833" t="s">
        <v>264</v>
      </c>
      <c r="C833" s="169">
        <v>2.4229999999999999E-13</v>
      </c>
      <c r="D833" s="169">
        <v>2.3020000000000002E-13</v>
      </c>
      <c r="E833">
        <v>-12.616</v>
      </c>
      <c r="F833">
        <v>-12.638</v>
      </c>
      <c r="G833">
        <v>-2.1999999999999999E-2</v>
      </c>
    </row>
    <row r="834" spans="1:7" x14ac:dyDescent="0.15">
      <c r="A834" t="s">
        <v>664</v>
      </c>
      <c r="B834" s="169">
        <v>3.8430000000000003E-6</v>
      </c>
    </row>
    <row r="835" spans="1:7" x14ac:dyDescent="0.15">
      <c r="B835" t="s">
        <v>265</v>
      </c>
      <c r="C835" s="169">
        <v>3.7390000000000001E-6</v>
      </c>
      <c r="D835" s="169">
        <v>3.0769999999999999E-6</v>
      </c>
      <c r="E835">
        <v>-5.4269999999999996</v>
      </c>
      <c r="F835">
        <v>-5.5119999999999996</v>
      </c>
      <c r="G835">
        <v>-8.5000000000000006E-2</v>
      </c>
    </row>
    <row r="836" spans="1:7" x14ac:dyDescent="0.15">
      <c r="B836" t="s">
        <v>518</v>
      </c>
      <c r="C836" s="169">
        <v>7.3829999999999993E-8</v>
      </c>
      <c r="D836" s="169">
        <v>7.0410000000000006E-8</v>
      </c>
      <c r="E836">
        <v>-7.1319999999999997</v>
      </c>
      <c r="F836">
        <v>-7.1520000000000001</v>
      </c>
      <c r="G836">
        <v>-2.1000000000000001E-2</v>
      </c>
    </row>
    <row r="837" spans="1:7" x14ac:dyDescent="0.15">
      <c r="B837" t="s">
        <v>520</v>
      </c>
      <c r="C837" s="169">
        <v>2.8200000000000001E-8</v>
      </c>
      <c r="D837" s="169">
        <v>2.8200000000000001E-8</v>
      </c>
      <c r="E837">
        <v>-7.55</v>
      </c>
      <c r="F837">
        <v>-7.55</v>
      </c>
      <c r="G837">
        <v>0</v>
      </c>
    </row>
    <row r="838" spans="1:7" x14ac:dyDescent="0.15">
      <c r="B838" t="s">
        <v>266</v>
      </c>
      <c r="C838" s="169">
        <v>1.8E-9</v>
      </c>
      <c r="D838" s="169">
        <v>1.8E-9</v>
      </c>
      <c r="E838">
        <v>-8.7449999999999992</v>
      </c>
      <c r="F838">
        <v>-8.7449999999999992</v>
      </c>
      <c r="G838">
        <v>0</v>
      </c>
    </row>
    <row r="839" spans="1:7" x14ac:dyDescent="0.15">
      <c r="B839" t="s">
        <v>269</v>
      </c>
      <c r="C839" s="169">
        <v>2.0740000000000001E-11</v>
      </c>
      <c r="D839" s="169">
        <v>1.9779999999999999E-11</v>
      </c>
      <c r="E839">
        <v>-10.683</v>
      </c>
      <c r="F839">
        <v>-10.704000000000001</v>
      </c>
      <c r="G839">
        <v>-2.1000000000000001E-2</v>
      </c>
    </row>
    <row r="840" spans="1:7" x14ac:dyDescent="0.15">
      <c r="B840" t="s">
        <v>232</v>
      </c>
      <c r="C840" s="169">
        <v>1.0260000000000001E-12</v>
      </c>
      <c r="D840" s="169">
        <v>1.0260000000000001E-12</v>
      </c>
      <c r="E840">
        <v>-11.989000000000001</v>
      </c>
      <c r="F840">
        <v>-11.989000000000001</v>
      </c>
      <c r="G840">
        <v>0</v>
      </c>
    </row>
    <row r="841" spans="1:7" x14ac:dyDescent="0.15">
      <c r="B841" t="s">
        <v>233</v>
      </c>
      <c r="C841" s="169">
        <v>2.5620000000000001E-13</v>
      </c>
      <c r="D841" s="169">
        <v>2.4420000000000001E-13</v>
      </c>
      <c r="E841">
        <v>-12.590999999999999</v>
      </c>
      <c r="F841">
        <v>-12.612</v>
      </c>
      <c r="G841">
        <v>-2.1000000000000001E-2</v>
      </c>
    </row>
    <row r="842" spans="1:7" x14ac:dyDescent="0.15">
      <c r="B842" t="s">
        <v>234</v>
      </c>
      <c r="C842" s="169">
        <v>7.04E-15</v>
      </c>
      <c r="D842" s="169">
        <v>6.7120000000000002E-15</v>
      </c>
      <c r="E842">
        <v>-14.151999999999999</v>
      </c>
      <c r="F842">
        <v>-14.173</v>
      </c>
      <c r="G842">
        <v>-2.1000000000000001E-2</v>
      </c>
    </row>
    <row r="843" spans="1:7" x14ac:dyDescent="0.15">
      <c r="B843" t="s">
        <v>268</v>
      </c>
      <c r="C843" s="169">
        <v>6.7300000000000001E-15</v>
      </c>
      <c r="D843" s="169">
        <v>5.475E-15</v>
      </c>
      <c r="E843">
        <v>-14.172000000000001</v>
      </c>
      <c r="F843">
        <v>-14.262</v>
      </c>
      <c r="G843">
        <v>-0.09</v>
      </c>
    </row>
    <row r="844" spans="1:7" x14ac:dyDescent="0.15">
      <c r="B844" t="s">
        <v>270</v>
      </c>
      <c r="C844" s="169">
        <v>3.7870000000000001E-24</v>
      </c>
      <c r="D844" s="169">
        <v>3.0809999999999999E-24</v>
      </c>
      <c r="E844">
        <v>-23.422000000000001</v>
      </c>
      <c r="F844">
        <v>-23.510999999999999</v>
      </c>
      <c r="G844">
        <v>-0.09</v>
      </c>
    </row>
    <row r="845" spans="1:7" x14ac:dyDescent="0.15">
      <c r="A845" t="s">
        <v>658</v>
      </c>
      <c r="B845" s="169">
        <v>2.8210000000000002E-6</v>
      </c>
    </row>
    <row r="846" spans="1:7" x14ac:dyDescent="0.15">
      <c r="B846" t="s">
        <v>271</v>
      </c>
      <c r="C846" s="169">
        <v>2.8210000000000002E-6</v>
      </c>
      <c r="D846" s="169">
        <v>2.6869999999999999E-6</v>
      </c>
      <c r="E846">
        <v>-5.55</v>
      </c>
      <c r="F846">
        <v>-5.5709999999999997</v>
      </c>
      <c r="G846">
        <v>-2.1000000000000001E-2</v>
      </c>
    </row>
    <row r="847" spans="1:7" x14ac:dyDescent="0.15">
      <c r="B847" t="s">
        <v>273</v>
      </c>
      <c r="C847" s="169">
        <v>6.6760000000000004E-16</v>
      </c>
      <c r="D847" s="169">
        <v>6.6760000000000004E-16</v>
      </c>
      <c r="E847">
        <v>-15.175000000000001</v>
      </c>
      <c r="F847">
        <v>-15.175000000000001</v>
      </c>
      <c r="G847">
        <v>0</v>
      </c>
    </row>
    <row r="848" spans="1:7" x14ac:dyDescent="0.15">
      <c r="B848" t="s">
        <v>284</v>
      </c>
      <c r="C848" s="169">
        <v>3.7810000000000002E-16</v>
      </c>
      <c r="D848" s="169">
        <v>3.7810000000000002E-16</v>
      </c>
      <c r="E848">
        <v>-15.422000000000001</v>
      </c>
      <c r="F848">
        <v>-15.422000000000001</v>
      </c>
      <c r="G848">
        <v>0</v>
      </c>
    </row>
    <row r="849" spans="2:7" x14ac:dyDescent="0.15">
      <c r="B849" t="s">
        <v>274</v>
      </c>
      <c r="C849" s="169">
        <v>3.7630000000000002E-16</v>
      </c>
      <c r="D849" s="169">
        <v>3.5840000000000002E-16</v>
      </c>
      <c r="E849">
        <v>-15.423999999999999</v>
      </c>
      <c r="F849">
        <v>-15.446</v>
      </c>
      <c r="G849">
        <v>-2.1000000000000001E-2</v>
      </c>
    </row>
    <row r="850" spans="2:7" x14ac:dyDescent="0.15">
      <c r="B850" t="s">
        <v>272</v>
      </c>
      <c r="C850" s="169">
        <v>6.6410000000000003E-17</v>
      </c>
      <c r="D850" s="169">
        <v>6.3069999999999995E-17</v>
      </c>
      <c r="E850">
        <v>-16.178000000000001</v>
      </c>
      <c r="F850">
        <v>-16.2</v>
      </c>
      <c r="G850">
        <v>-2.1999999999999999E-2</v>
      </c>
    </row>
    <row r="851" spans="2:7" x14ac:dyDescent="0.15">
      <c r="B851" t="s">
        <v>275</v>
      </c>
      <c r="C851" s="169">
        <v>4.8509999999999998E-17</v>
      </c>
      <c r="D851" s="169">
        <v>4.6070000000000002E-17</v>
      </c>
      <c r="E851">
        <v>-16.314</v>
      </c>
      <c r="F851">
        <v>-16.337</v>
      </c>
      <c r="G851">
        <v>-2.1999999999999999E-2</v>
      </c>
    </row>
    <row r="852" spans="2:7" x14ac:dyDescent="0.15">
      <c r="B852" t="s">
        <v>276</v>
      </c>
      <c r="C852" s="169">
        <v>9.9040000000000006E-18</v>
      </c>
      <c r="D852" s="169">
        <v>9.4330000000000006E-18</v>
      </c>
      <c r="E852">
        <v>-17.004000000000001</v>
      </c>
      <c r="F852">
        <v>-17.024999999999999</v>
      </c>
      <c r="G852">
        <v>-2.1000000000000001E-2</v>
      </c>
    </row>
    <row r="853" spans="2:7" x14ac:dyDescent="0.15">
      <c r="B853" t="s">
        <v>283</v>
      </c>
      <c r="C853" s="169">
        <v>2.3139999999999998E-19</v>
      </c>
      <c r="D853" s="169">
        <v>2.204E-19</v>
      </c>
      <c r="E853">
        <v>-18.635999999999999</v>
      </c>
      <c r="F853">
        <v>-18.657</v>
      </c>
      <c r="G853">
        <v>-2.1000000000000001E-2</v>
      </c>
    </row>
    <row r="854" spans="2:7" x14ac:dyDescent="0.15">
      <c r="B854" t="s">
        <v>277</v>
      </c>
      <c r="C854" s="169">
        <v>7.7689999999999999E-22</v>
      </c>
      <c r="D854" s="169">
        <v>7.7689999999999999E-22</v>
      </c>
      <c r="E854">
        <v>-21.11</v>
      </c>
      <c r="F854">
        <v>-21.11</v>
      </c>
      <c r="G854">
        <v>0</v>
      </c>
    </row>
    <row r="855" spans="2:7" x14ac:dyDescent="0.15">
      <c r="B855" t="s">
        <v>278</v>
      </c>
      <c r="C855" s="169">
        <v>4.0819999999999998E-24</v>
      </c>
      <c r="D855" s="169">
        <v>4.0819999999999998E-24</v>
      </c>
      <c r="E855">
        <v>-23.388999999999999</v>
      </c>
      <c r="F855">
        <v>-23.388999999999999</v>
      </c>
      <c r="G855">
        <v>0</v>
      </c>
    </row>
    <row r="856" spans="2:7" x14ac:dyDescent="0.15">
      <c r="B856" t="s">
        <v>279</v>
      </c>
      <c r="C856" s="169">
        <v>6.504E-25</v>
      </c>
      <c r="D856" s="169">
        <v>6.504E-25</v>
      </c>
      <c r="E856">
        <v>-24.187000000000001</v>
      </c>
      <c r="F856">
        <v>-24.187000000000001</v>
      </c>
      <c r="G856">
        <v>0</v>
      </c>
    </row>
    <row r="857" spans="2:7" x14ac:dyDescent="0.15">
      <c r="B857" t="s">
        <v>285</v>
      </c>
      <c r="C857" s="169">
        <v>1.444E-25</v>
      </c>
      <c r="D857" s="169">
        <v>1.1910000000000001E-25</v>
      </c>
      <c r="E857">
        <v>-24.841000000000001</v>
      </c>
      <c r="F857">
        <v>-24.923999999999999</v>
      </c>
      <c r="G857">
        <v>-8.3000000000000004E-2</v>
      </c>
    </row>
    <row r="858" spans="2:7" x14ac:dyDescent="0.15">
      <c r="B858" t="s">
        <v>280</v>
      </c>
      <c r="C858" s="169">
        <v>1.6329999999999998E-27</v>
      </c>
      <c r="D858" s="169">
        <v>1.555E-27</v>
      </c>
      <c r="E858">
        <v>-26.786999999999999</v>
      </c>
      <c r="F858">
        <v>-26.808</v>
      </c>
      <c r="G858">
        <v>-2.1000000000000001E-2</v>
      </c>
    </row>
    <row r="859" spans="2:7" x14ac:dyDescent="0.15">
      <c r="B859" t="s">
        <v>282</v>
      </c>
      <c r="C859" s="169">
        <v>8.1230000000000003E-32</v>
      </c>
      <c r="D859" s="169">
        <v>7.7360000000000004E-32</v>
      </c>
      <c r="E859">
        <v>-31.09</v>
      </c>
      <c r="F859">
        <v>-31.111000000000001</v>
      </c>
      <c r="G859">
        <v>-2.1000000000000001E-2</v>
      </c>
    </row>
    <row r="860" spans="2:7" x14ac:dyDescent="0.15">
      <c r="B860" t="s">
        <v>281</v>
      </c>
      <c r="C860" s="169">
        <v>2.2339999999999999E-33</v>
      </c>
      <c r="D860" s="169">
        <v>1.8429999999999999E-33</v>
      </c>
      <c r="E860">
        <v>-32.651000000000003</v>
      </c>
      <c r="F860">
        <v>-32.734000000000002</v>
      </c>
      <c r="G860">
        <v>-8.3000000000000004E-2</v>
      </c>
    </row>
    <row r="861" spans="2:7" x14ac:dyDescent="0.15">
      <c r="B861" t="s">
        <v>286</v>
      </c>
      <c r="C861" s="169">
        <v>2.141E-39</v>
      </c>
      <c r="D861" s="169">
        <v>1.7669999999999999E-39</v>
      </c>
      <c r="E861">
        <v>-38.668999999999997</v>
      </c>
      <c r="F861">
        <v>-38.753</v>
      </c>
      <c r="G861">
        <v>-8.3000000000000004E-2</v>
      </c>
    </row>
    <row r="862" spans="2:7" x14ac:dyDescent="0.15">
      <c r="B862" t="s">
        <v>287</v>
      </c>
      <c r="C862" s="169">
        <v>0</v>
      </c>
      <c r="D862" s="169">
        <v>0</v>
      </c>
      <c r="E862">
        <v>-42.871000000000002</v>
      </c>
      <c r="F862">
        <v>-42.960999999999999</v>
      </c>
      <c r="G862">
        <v>-0.09</v>
      </c>
    </row>
    <row r="863" spans="2:7" x14ac:dyDescent="0.15">
      <c r="B863" t="s">
        <v>288</v>
      </c>
      <c r="C863" s="169">
        <v>0</v>
      </c>
      <c r="D863" s="169">
        <v>0</v>
      </c>
      <c r="E863">
        <v>-62.07</v>
      </c>
      <c r="F863">
        <v>-62.16</v>
      </c>
      <c r="G863">
        <v>-0.09</v>
      </c>
    </row>
    <row r="864" spans="2:7" x14ac:dyDescent="0.15">
      <c r="B864" t="s">
        <v>289</v>
      </c>
      <c r="C864" s="169">
        <v>0</v>
      </c>
      <c r="D864" s="169">
        <v>0</v>
      </c>
      <c r="E864">
        <v>-77.552000000000007</v>
      </c>
      <c r="F864">
        <v>-77.641000000000005</v>
      </c>
      <c r="G864">
        <v>-0.09</v>
      </c>
    </row>
    <row r="865" spans="1:7" x14ac:dyDescent="0.15">
      <c r="A865" t="s">
        <v>290</v>
      </c>
      <c r="B865" s="169">
        <v>1.0690000000000001E-11</v>
      </c>
    </row>
    <row r="866" spans="1:7" x14ac:dyDescent="0.15">
      <c r="B866" t="s">
        <v>291</v>
      </c>
      <c r="C866" s="169">
        <v>8.7050000000000006E-12</v>
      </c>
      <c r="D866" s="169">
        <v>7.0829999999999996E-12</v>
      </c>
      <c r="E866">
        <v>-11.06</v>
      </c>
      <c r="F866">
        <v>-11.15</v>
      </c>
      <c r="G866">
        <v>-0.09</v>
      </c>
    </row>
    <row r="867" spans="1:7" x14ac:dyDescent="0.15">
      <c r="B867" t="s">
        <v>259</v>
      </c>
      <c r="C867" s="169">
        <v>9.7439999999999997E-13</v>
      </c>
      <c r="D867" s="169">
        <v>9.7439999999999997E-13</v>
      </c>
      <c r="E867">
        <v>-12.010999999999999</v>
      </c>
      <c r="F867">
        <v>-12.010999999999999</v>
      </c>
      <c r="G867">
        <v>0</v>
      </c>
    </row>
    <row r="868" spans="1:7" x14ac:dyDescent="0.15">
      <c r="B868" t="s">
        <v>261</v>
      </c>
      <c r="C868" s="169">
        <v>7.9989999999999995E-13</v>
      </c>
      <c r="D868" s="169">
        <v>7.5969999999999998E-13</v>
      </c>
      <c r="E868">
        <v>-12.097</v>
      </c>
      <c r="F868">
        <v>-12.119</v>
      </c>
      <c r="G868">
        <v>-2.1999999999999999E-2</v>
      </c>
    </row>
    <row r="869" spans="1:7" x14ac:dyDescent="0.15">
      <c r="B869" t="s">
        <v>293</v>
      </c>
      <c r="C869" s="169">
        <v>1.886E-13</v>
      </c>
      <c r="D869" s="169">
        <v>1.7909999999999999E-13</v>
      </c>
      <c r="E869">
        <v>-12.724</v>
      </c>
      <c r="F869">
        <v>-12.747</v>
      </c>
      <c r="G869">
        <v>-2.1999999999999999E-2</v>
      </c>
    </row>
    <row r="870" spans="1:7" x14ac:dyDescent="0.15">
      <c r="B870" t="s">
        <v>295</v>
      </c>
      <c r="C870" s="169">
        <v>1.8040000000000001E-14</v>
      </c>
      <c r="D870" s="169">
        <v>1.8040000000000001E-14</v>
      </c>
      <c r="E870">
        <v>-13.744</v>
      </c>
      <c r="F870">
        <v>-13.744</v>
      </c>
      <c r="G870">
        <v>0</v>
      </c>
    </row>
    <row r="871" spans="1:7" x14ac:dyDescent="0.15">
      <c r="B871" t="s">
        <v>292</v>
      </c>
      <c r="C871" s="169">
        <v>3.679E-15</v>
      </c>
      <c r="D871" s="169">
        <v>3.679E-15</v>
      </c>
      <c r="E871">
        <v>-14.433999999999999</v>
      </c>
      <c r="F871">
        <v>-14.433999999999999</v>
      </c>
      <c r="G871">
        <v>0</v>
      </c>
    </row>
    <row r="872" spans="1:7" x14ac:dyDescent="0.15">
      <c r="B872" t="s">
        <v>272</v>
      </c>
      <c r="C872" s="169">
        <v>6.6410000000000003E-17</v>
      </c>
      <c r="D872" s="169">
        <v>6.3069999999999995E-17</v>
      </c>
      <c r="E872">
        <v>-16.178000000000001</v>
      </c>
      <c r="F872">
        <v>-16.2</v>
      </c>
      <c r="G872">
        <v>-2.1999999999999999E-2</v>
      </c>
    </row>
    <row r="873" spans="1:7" x14ac:dyDescent="0.15">
      <c r="B873" t="s">
        <v>294</v>
      </c>
      <c r="C873" s="169">
        <v>5.9329999999999999E-18</v>
      </c>
      <c r="D873" s="169">
        <v>4.8269999999999998E-18</v>
      </c>
      <c r="E873">
        <v>-17.227</v>
      </c>
      <c r="F873">
        <v>-17.315999999999999</v>
      </c>
      <c r="G873">
        <v>-0.09</v>
      </c>
    </row>
    <row r="874" spans="1:7" x14ac:dyDescent="0.15">
      <c r="B874" t="s">
        <v>235</v>
      </c>
      <c r="C874" s="169">
        <v>5.2839999999999998E-18</v>
      </c>
      <c r="D874" s="169">
        <v>5.2839999999999998E-18</v>
      </c>
      <c r="E874">
        <v>-17.277000000000001</v>
      </c>
      <c r="F874">
        <v>-17.277000000000001</v>
      </c>
      <c r="G874">
        <v>0</v>
      </c>
    </row>
    <row r="875" spans="1:7" x14ac:dyDescent="0.15">
      <c r="B875" t="s">
        <v>299</v>
      </c>
      <c r="C875" s="169">
        <v>4.8029999999999996E-19</v>
      </c>
      <c r="D875" s="169">
        <v>4.5610000000000002E-19</v>
      </c>
      <c r="E875">
        <v>-18.318000000000001</v>
      </c>
      <c r="F875">
        <v>-18.341000000000001</v>
      </c>
      <c r="G875">
        <v>-2.1999999999999999E-2</v>
      </c>
    </row>
    <row r="876" spans="1:7" x14ac:dyDescent="0.15">
      <c r="B876" t="s">
        <v>301</v>
      </c>
      <c r="C876" s="169">
        <v>4.6120000000000004E-22</v>
      </c>
      <c r="D876" s="169">
        <v>4.3799999999999998E-22</v>
      </c>
      <c r="E876">
        <v>-21.335999999999999</v>
      </c>
      <c r="F876">
        <v>-21.359000000000002</v>
      </c>
      <c r="G876">
        <v>-2.1999999999999999E-2</v>
      </c>
    </row>
    <row r="877" spans="1:7" x14ac:dyDescent="0.15">
      <c r="B877" t="s">
        <v>303</v>
      </c>
      <c r="C877" s="169">
        <v>1.126E-25</v>
      </c>
      <c r="D877" s="169">
        <v>9.164E-26</v>
      </c>
      <c r="E877">
        <v>-24.948</v>
      </c>
      <c r="F877">
        <v>-25.038</v>
      </c>
      <c r="G877">
        <v>-0.09</v>
      </c>
    </row>
    <row r="878" spans="1:7" x14ac:dyDescent="0.15">
      <c r="B878" t="s">
        <v>300</v>
      </c>
      <c r="C878" s="169">
        <v>1.011E-25</v>
      </c>
      <c r="D878" s="169">
        <v>6.3589999999999999E-26</v>
      </c>
      <c r="E878">
        <v>-24.995000000000001</v>
      </c>
      <c r="F878">
        <v>-25.196999999999999</v>
      </c>
      <c r="G878">
        <v>-0.20200000000000001</v>
      </c>
    </row>
    <row r="879" spans="1:7" x14ac:dyDescent="0.15">
      <c r="B879" t="s">
        <v>298</v>
      </c>
      <c r="C879" s="169">
        <v>8.9180000000000002E-26</v>
      </c>
      <c r="D879" s="169">
        <v>7.2550000000000001E-26</v>
      </c>
      <c r="E879">
        <v>-25.05</v>
      </c>
      <c r="F879">
        <v>-25.138999999999999</v>
      </c>
      <c r="G879">
        <v>-0.09</v>
      </c>
    </row>
    <row r="880" spans="1:7" x14ac:dyDescent="0.15">
      <c r="B880" t="s">
        <v>302</v>
      </c>
      <c r="C880" s="169">
        <v>1.587E-33</v>
      </c>
      <c r="D880" s="169">
        <v>1.2910000000000001E-33</v>
      </c>
      <c r="E880">
        <v>-32.799999999999997</v>
      </c>
      <c r="F880">
        <v>-32.889000000000003</v>
      </c>
      <c r="G880">
        <v>-0.09</v>
      </c>
    </row>
    <row r="881" spans="1:7" x14ac:dyDescent="0.15">
      <c r="B881" t="s">
        <v>304</v>
      </c>
      <c r="C881" s="169">
        <v>0</v>
      </c>
      <c r="D881" s="169">
        <v>0</v>
      </c>
      <c r="E881">
        <v>-40.929000000000002</v>
      </c>
      <c r="F881">
        <v>-41.018999999999998</v>
      </c>
      <c r="G881">
        <v>-0.09</v>
      </c>
    </row>
    <row r="882" spans="1:7" x14ac:dyDescent="0.15">
      <c r="B882" t="s">
        <v>305</v>
      </c>
      <c r="C882" s="169">
        <v>0</v>
      </c>
      <c r="D882" s="169">
        <v>0</v>
      </c>
      <c r="E882">
        <v>-42.329000000000001</v>
      </c>
      <c r="F882">
        <v>-42.686999999999998</v>
      </c>
      <c r="G882">
        <v>-0.35799999999999998</v>
      </c>
    </row>
    <row r="883" spans="1:7" x14ac:dyDescent="0.15">
      <c r="B883" t="s">
        <v>306</v>
      </c>
      <c r="C883" s="169">
        <v>0</v>
      </c>
      <c r="D883" s="169">
        <v>0</v>
      </c>
      <c r="E883">
        <v>-49.558999999999997</v>
      </c>
      <c r="F883">
        <v>-49.649000000000001</v>
      </c>
      <c r="G883">
        <v>-0.09</v>
      </c>
    </row>
    <row r="884" spans="1:7" x14ac:dyDescent="0.15">
      <c r="A884" t="s">
        <v>307</v>
      </c>
      <c r="B884" s="169">
        <v>2.2320000000000001E-33</v>
      </c>
    </row>
    <row r="885" spans="1:7" x14ac:dyDescent="0.15">
      <c r="B885" t="s">
        <v>308</v>
      </c>
      <c r="C885" s="169">
        <v>2.2320000000000001E-33</v>
      </c>
      <c r="D885" s="169">
        <v>1.8159999999999999E-33</v>
      </c>
      <c r="E885">
        <v>-32.651000000000003</v>
      </c>
      <c r="F885">
        <v>-32.741</v>
      </c>
      <c r="G885">
        <v>-0.09</v>
      </c>
    </row>
    <row r="886" spans="1:7" x14ac:dyDescent="0.15">
      <c r="B886" t="s">
        <v>309</v>
      </c>
      <c r="C886" s="169">
        <v>4.3690000000000002E-40</v>
      </c>
      <c r="D886" s="169">
        <v>2.8200000000000002E-40</v>
      </c>
      <c r="E886">
        <v>-39.36</v>
      </c>
      <c r="F886">
        <v>-39.549999999999997</v>
      </c>
      <c r="G886">
        <v>-0.19</v>
      </c>
    </row>
    <row r="887" spans="1:7" x14ac:dyDescent="0.15">
      <c r="B887" t="s">
        <v>287</v>
      </c>
      <c r="C887" s="169">
        <v>0</v>
      </c>
      <c r="D887" s="169">
        <v>0</v>
      </c>
      <c r="E887">
        <v>-42.871000000000002</v>
      </c>
      <c r="F887">
        <v>-42.960999999999999</v>
      </c>
      <c r="G887">
        <v>-0.09</v>
      </c>
    </row>
    <row r="888" spans="1:7" x14ac:dyDescent="0.15">
      <c r="B888" t="s">
        <v>288</v>
      </c>
      <c r="C888" s="169">
        <v>0</v>
      </c>
      <c r="D888" s="169">
        <v>0</v>
      </c>
      <c r="E888">
        <v>-62.07</v>
      </c>
      <c r="F888">
        <v>-62.16</v>
      </c>
      <c r="G888">
        <v>-0.09</v>
      </c>
    </row>
    <row r="889" spans="1:7" x14ac:dyDescent="0.15">
      <c r="B889" t="s">
        <v>311</v>
      </c>
      <c r="C889" s="169">
        <v>0</v>
      </c>
      <c r="D889" s="169">
        <v>0</v>
      </c>
      <c r="E889">
        <v>-72.709999999999994</v>
      </c>
      <c r="F889">
        <v>-72.799000000000007</v>
      </c>
      <c r="G889">
        <v>-0.09</v>
      </c>
    </row>
    <row r="890" spans="1:7" x14ac:dyDescent="0.15">
      <c r="B890" t="s">
        <v>310</v>
      </c>
      <c r="C890" s="169">
        <v>0</v>
      </c>
      <c r="D890" s="169">
        <v>0</v>
      </c>
      <c r="E890">
        <v>-72.837000000000003</v>
      </c>
      <c r="F890">
        <v>-72.858999999999995</v>
      </c>
      <c r="G890">
        <v>-2.1999999999999999E-2</v>
      </c>
    </row>
    <row r="891" spans="1:7" x14ac:dyDescent="0.15">
      <c r="B891" t="s">
        <v>289</v>
      </c>
      <c r="C891" s="169">
        <v>0</v>
      </c>
      <c r="D891" s="169">
        <v>0</v>
      </c>
      <c r="E891">
        <v>-77.552000000000007</v>
      </c>
      <c r="F891">
        <v>-77.641000000000005</v>
      </c>
      <c r="G891">
        <v>-0.09</v>
      </c>
    </row>
    <row r="892" spans="1:7" x14ac:dyDescent="0.15">
      <c r="A892" t="s">
        <v>312</v>
      </c>
      <c r="B892" s="169">
        <v>1.181E-13</v>
      </c>
    </row>
    <row r="893" spans="1:7" x14ac:dyDescent="0.15">
      <c r="B893" t="s">
        <v>313</v>
      </c>
      <c r="C893" s="169">
        <v>1.1769999999999999E-13</v>
      </c>
      <c r="D893" s="169">
        <v>1.118E-13</v>
      </c>
      <c r="E893">
        <v>-12.929</v>
      </c>
      <c r="F893">
        <v>-12.952</v>
      </c>
      <c r="G893">
        <v>-2.1999999999999999E-2</v>
      </c>
    </row>
    <row r="894" spans="1:7" x14ac:dyDescent="0.15">
      <c r="B894" t="s">
        <v>284</v>
      </c>
      <c r="C894" s="169">
        <v>3.7810000000000002E-16</v>
      </c>
      <c r="D894" s="169">
        <v>3.7810000000000002E-16</v>
      </c>
      <c r="E894">
        <v>-15.422000000000001</v>
      </c>
      <c r="F894">
        <v>-15.422000000000001</v>
      </c>
      <c r="G894">
        <v>0</v>
      </c>
    </row>
    <row r="895" spans="1:7" x14ac:dyDescent="0.15">
      <c r="B895" t="s">
        <v>283</v>
      </c>
      <c r="C895" s="169">
        <v>2.3139999999999998E-19</v>
      </c>
      <c r="D895" s="169">
        <v>2.204E-19</v>
      </c>
      <c r="E895">
        <v>-18.635999999999999</v>
      </c>
      <c r="F895">
        <v>-18.657</v>
      </c>
      <c r="G895">
        <v>-2.1000000000000001E-2</v>
      </c>
    </row>
    <row r="896" spans="1:7" x14ac:dyDescent="0.15">
      <c r="B896" t="s">
        <v>285</v>
      </c>
      <c r="C896" s="169">
        <v>1.444E-25</v>
      </c>
      <c r="D896" s="169">
        <v>1.1910000000000001E-25</v>
      </c>
      <c r="E896">
        <v>-24.841000000000001</v>
      </c>
      <c r="F896">
        <v>-24.923999999999999</v>
      </c>
      <c r="G896">
        <v>-8.3000000000000004E-2</v>
      </c>
    </row>
    <row r="897" spans="1:7" x14ac:dyDescent="0.15">
      <c r="A897" t="s">
        <v>314</v>
      </c>
      <c r="B897" s="169">
        <v>1.415E-10</v>
      </c>
    </row>
    <row r="898" spans="1:7" x14ac:dyDescent="0.15">
      <c r="B898" t="s">
        <v>256</v>
      </c>
      <c r="C898" s="169">
        <v>1.2679999999999999E-10</v>
      </c>
      <c r="D898" s="169">
        <v>1.2679999999999999E-10</v>
      </c>
      <c r="E898">
        <v>-9.8970000000000002</v>
      </c>
      <c r="F898">
        <v>-9.8970000000000002</v>
      </c>
      <c r="G898">
        <v>0</v>
      </c>
    </row>
    <row r="899" spans="1:7" x14ac:dyDescent="0.15">
      <c r="B899" t="s">
        <v>315</v>
      </c>
      <c r="C899" s="169">
        <v>5.1789999999999996E-12</v>
      </c>
      <c r="D899" s="169">
        <v>4.9330000000000001E-12</v>
      </c>
      <c r="E899">
        <v>-11.286</v>
      </c>
      <c r="F899">
        <v>-11.307</v>
      </c>
      <c r="G899">
        <v>-2.1000000000000001E-2</v>
      </c>
    </row>
    <row r="900" spans="1:7" x14ac:dyDescent="0.15">
      <c r="B900" t="s">
        <v>262</v>
      </c>
      <c r="C900" s="169">
        <v>3.4130000000000001E-12</v>
      </c>
      <c r="D900" s="169">
        <v>2.777E-12</v>
      </c>
      <c r="E900">
        <v>-11.467000000000001</v>
      </c>
      <c r="F900">
        <v>-11.555999999999999</v>
      </c>
      <c r="G900">
        <v>-0.09</v>
      </c>
    </row>
    <row r="901" spans="1:7" x14ac:dyDescent="0.15">
      <c r="B901" t="s">
        <v>316</v>
      </c>
      <c r="C901" s="169">
        <v>3.2139999999999998E-12</v>
      </c>
      <c r="D901" s="169">
        <v>2.6450000000000001E-12</v>
      </c>
      <c r="E901">
        <v>-11.493</v>
      </c>
      <c r="F901">
        <v>-11.577999999999999</v>
      </c>
      <c r="G901">
        <v>-8.5000000000000006E-2</v>
      </c>
    </row>
    <row r="902" spans="1:7" x14ac:dyDescent="0.15">
      <c r="B902" t="s">
        <v>317</v>
      </c>
      <c r="C902" s="169">
        <v>2.6820000000000001E-12</v>
      </c>
      <c r="D902" s="169">
        <v>2.6820000000000001E-12</v>
      </c>
      <c r="E902">
        <v>-11.571999999999999</v>
      </c>
      <c r="F902">
        <v>-11.571999999999999</v>
      </c>
      <c r="G902">
        <v>0</v>
      </c>
    </row>
    <row r="903" spans="1:7" x14ac:dyDescent="0.15">
      <c r="B903" t="s">
        <v>264</v>
      </c>
      <c r="C903" s="169">
        <v>2.4229999999999999E-13</v>
      </c>
      <c r="D903" s="169">
        <v>2.3020000000000002E-13</v>
      </c>
      <c r="E903">
        <v>-12.616</v>
      </c>
      <c r="F903">
        <v>-12.638</v>
      </c>
      <c r="G903">
        <v>-2.1999999999999999E-2</v>
      </c>
    </row>
    <row r="904" spans="1:7" x14ac:dyDescent="0.15">
      <c r="B904" t="s">
        <v>320</v>
      </c>
      <c r="C904" s="169">
        <v>7.3419999999999998E-15</v>
      </c>
      <c r="D904" s="169">
        <v>6.9719999999999997E-15</v>
      </c>
      <c r="E904">
        <v>-14.134</v>
      </c>
      <c r="F904">
        <v>-14.157</v>
      </c>
      <c r="G904">
        <v>-2.1999999999999999E-2</v>
      </c>
    </row>
    <row r="905" spans="1:7" x14ac:dyDescent="0.15">
      <c r="B905" t="s">
        <v>319</v>
      </c>
      <c r="C905" s="169">
        <v>1.495E-15</v>
      </c>
      <c r="D905" s="169">
        <v>1.495E-15</v>
      </c>
      <c r="E905">
        <v>-14.824999999999999</v>
      </c>
      <c r="F905">
        <v>-14.824999999999999</v>
      </c>
      <c r="G905">
        <v>0</v>
      </c>
    </row>
    <row r="906" spans="1:7" x14ac:dyDescent="0.15">
      <c r="B906" t="s">
        <v>318</v>
      </c>
      <c r="C906" s="169">
        <v>2.1900000000000001E-16</v>
      </c>
      <c r="D906" s="169">
        <v>1.7819999999999999E-16</v>
      </c>
      <c r="E906">
        <v>-15.659000000000001</v>
      </c>
      <c r="F906">
        <v>-15.749000000000001</v>
      </c>
      <c r="G906">
        <v>-0.09</v>
      </c>
    </row>
    <row r="907" spans="1:7" x14ac:dyDescent="0.15">
      <c r="B907" t="s">
        <v>276</v>
      </c>
      <c r="C907" s="169">
        <v>9.9040000000000006E-18</v>
      </c>
      <c r="D907" s="169">
        <v>9.4330000000000006E-18</v>
      </c>
      <c r="E907">
        <v>-17.004000000000001</v>
      </c>
      <c r="F907">
        <v>-17.024999999999999</v>
      </c>
      <c r="G907">
        <v>-2.1000000000000001E-2</v>
      </c>
    </row>
    <row r="908" spans="1:7" x14ac:dyDescent="0.15">
      <c r="B908" t="s">
        <v>322</v>
      </c>
      <c r="C908" s="169">
        <v>6.7519999999999998E-19</v>
      </c>
      <c r="D908" s="169">
        <v>5.4930000000000004E-19</v>
      </c>
      <c r="E908">
        <v>-18.170999999999999</v>
      </c>
      <c r="F908">
        <v>-18.260000000000002</v>
      </c>
      <c r="G908">
        <v>-0.09</v>
      </c>
    </row>
    <row r="909" spans="1:7" x14ac:dyDescent="0.15">
      <c r="B909" t="s">
        <v>324</v>
      </c>
      <c r="C909" s="169">
        <v>8.5499999999999998E-20</v>
      </c>
      <c r="D909" s="169">
        <v>6.9560000000000003E-20</v>
      </c>
      <c r="E909">
        <v>-19.068000000000001</v>
      </c>
      <c r="F909">
        <v>-19.158000000000001</v>
      </c>
      <c r="G909">
        <v>-0.09</v>
      </c>
    </row>
    <row r="910" spans="1:7" x14ac:dyDescent="0.15">
      <c r="B910" t="s">
        <v>278</v>
      </c>
      <c r="C910" s="169">
        <v>4.0819999999999998E-24</v>
      </c>
      <c r="D910" s="169">
        <v>4.0819999999999998E-24</v>
      </c>
      <c r="E910">
        <v>-23.388999999999999</v>
      </c>
      <c r="F910">
        <v>-23.388999999999999</v>
      </c>
      <c r="G910">
        <v>0</v>
      </c>
    </row>
    <row r="911" spans="1:7" x14ac:dyDescent="0.15">
      <c r="B911" t="s">
        <v>282</v>
      </c>
      <c r="C911" s="169">
        <v>8.1230000000000003E-32</v>
      </c>
      <c r="D911" s="169">
        <v>7.7360000000000004E-32</v>
      </c>
      <c r="E911">
        <v>-31.09</v>
      </c>
      <c r="F911">
        <v>-31.111000000000001</v>
      </c>
      <c r="G911">
        <v>-2.1000000000000001E-2</v>
      </c>
    </row>
    <row r="912" spans="1:7" x14ac:dyDescent="0.15">
      <c r="B912" t="s">
        <v>286</v>
      </c>
      <c r="C912" s="169">
        <v>2.141E-39</v>
      </c>
      <c r="D912" s="169">
        <v>1.7669999999999999E-39</v>
      </c>
      <c r="E912">
        <v>-38.668999999999997</v>
      </c>
      <c r="F912">
        <v>-38.753</v>
      </c>
      <c r="G912">
        <v>-8.3000000000000004E-2</v>
      </c>
    </row>
    <row r="913" spans="1:7" x14ac:dyDescent="0.15">
      <c r="A913" t="s">
        <v>325</v>
      </c>
      <c r="B913" s="169">
        <v>1.0449999999999999E-27</v>
      </c>
    </row>
    <row r="914" spans="1:7" x14ac:dyDescent="0.15">
      <c r="B914" t="s">
        <v>326</v>
      </c>
      <c r="C914" s="169">
        <v>5.2249999999999997E-28</v>
      </c>
      <c r="D914" s="169">
        <v>5.2280000000000001E-28</v>
      </c>
      <c r="E914">
        <v>-27.282</v>
      </c>
      <c r="F914">
        <v>-27.282</v>
      </c>
      <c r="G914">
        <v>0</v>
      </c>
    </row>
    <row r="915" spans="1:7" x14ac:dyDescent="0.15">
      <c r="A915" t="s">
        <v>837</v>
      </c>
      <c r="B915" s="169">
        <v>1.6680000000000001E-10</v>
      </c>
    </row>
    <row r="916" spans="1:7" x14ac:dyDescent="0.15">
      <c r="B916" t="s">
        <v>327</v>
      </c>
      <c r="C916" s="169">
        <v>1.6680000000000001E-10</v>
      </c>
      <c r="D916" s="169">
        <v>1.3730000000000001E-10</v>
      </c>
      <c r="E916">
        <v>-9.7780000000000005</v>
      </c>
      <c r="F916">
        <v>-9.8620000000000001</v>
      </c>
      <c r="G916">
        <v>-8.5000000000000006E-2</v>
      </c>
    </row>
    <row r="917" spans="1:7" x14ac:dyDescent="0.15">
      <c r="B917" t="s">
        <v>328</v>
      </c>
      <c r="C917" s="169">
        <v>1.4900000000000002E-14</v>
      </c>
      <c r="D917" s="169">
        <v>1.415E-14</v>
      </c>
      <c r="E917">
        <v>-13.827</v>
      </c>
      <c r="F917">
        <v>-13.849</v>
      </c>
      <c r="G917">
        <v>-2.1999999999999999E-2</v>
      </c>
    </row>
    <row r="918" spans="1:7" x14ac:dyDescent="0.15">
      <c r="B918" t="s">
        <v>329</v>
      </c>
      <c r="C918" s="169">
        <v>2.1999999999999998E-18</v>
      </c>
      <c r="D918" s="169">
        <v>2.1999999999999998E-18</v>
      </c>
      <c r="E918">
        <v>-17.658000000000001</v>
      </c>
      <c r="F918">
        <v>-17.658000000000001</v>
      </c>
      <c r="G918">
        <v>0</v>
      </c>
    </row>
    <row r="919" spans="1:7" x14ac:dyDescent="0.15">
      <c r="B919" t="s">
        <v>330</v>
      </c>
      <c r="C919" s="169">
        <v>0</v>
      </c>
      <c r="D919" s="169">
        <v>0</v>
      </c>
      <c r="E919">
        <v>-77.924999999999997</v>
      </c>
      <c r="F919">
        <v>-78.730999999999995</v>
      </c>
      <c r="G919">
        <v>-0.80600000000000005</v>
      </c>
    </row>
    <row r="920" spans="1:7" x14ac:dyDescent="0.15">
      <c r="B920" t="s">
        <v>331</v>
      </c>
      <c r="C920" s="169">
        <v>0</v>
      </c>
      <c r="D920" s="169">
        <v>0</v>
      </c>
      <c r="E920">
        <v>-79.977000000000004</v>
      </c>
      <c r="F920">
        <v>-80.537000000000006</v>
      </c>
      <c r="G920">
        <v>-0.56000000000000005</v>
      </c>
    </row>
    <row r="921" spans="1:7" x14ac:dyDescent="0.15">
      <c r="B921" t="s">
        <v>332</v>
      </c>
      <c r="C921" s="169">
        <v>0</v>
      </c>
      <c r="D921" s="169">
        <v>0</v>
      </c>
      <c r="E921">
        <v>-83.524000000000001</v>
      </c>
      <c r="F921">
        <v>-83.882999999999996</v>
      </c>
      <c r="G921">
        <v>-0.35799999999999998</v>
      </c>
    </row>
    <row r="922" spans="1:7" x14ac:dyDescent="0.15">
      <c r="B922" t="s">
        <v>333</v>
      </c>
      <c r="C922" s="169">
        <v>0</v>
      </c>
      <c r="D922" s="169">
        <v>0</v>
      </c>
      <c r="E922">
        <v>-88.516999999999996</v>
      </c>
      <c r="F922">
        <v>-88.718000000000004</v>
      </c>
      <c r="G922">
        <v>-0.20200000000000001</v>
      </c>
    </row>
    <row r="923" spans="1:7" x14ac:dyDescent="0.15">
      <c r="A923" t="s">
        <v>468</v>
      </c>
      <c r="B923" s="169">
        <v>2.4990000000000001E-8</v>
      </c>
    </row>
    <row r="924" spans="1:7" x14ac:dyDescent="0.15">
      <c r="B924" t="s">
        <v>334</v>
      </c>
      <c r="C924" s="169">
        <v>2.0689999999999999E-8</v>
      </c>
      <c r="D924" s="169">
        <v>1.969E-8</v>
      </c>
      <c r="E924">
        <v>-7.6840000000000002</v>
      </c>
      <c r="F924">
        <v>-7.7060000000000004</v>
      </c>
      <c r="G924">
        <v>-2.1999999999999999E-2</v>
      </c>
    </row>
    <row r="925" spans="1:7" x14ac:dyDescent="0.15">
      <c r="B925" t="s">
        <v>335</v>
      </c>
      <c r="C925" s="169">
        <v>4.2940000000000003E-9</v>
      </c>
      <c r="D925" s="169">
        <v>4.2940000000000003E-9</v>
      </c>
      <c r="E925">
        <v>-8.3670000000000009</v>
      </c>
      <c r="F925">
        <v>-8.3670000000000009</v>
      </c>
      <c r="G925">
        <v>0</v>
      </c>
    </row>
    <row r="926" spans="1:7" x14ac:dyDescent="0.15">
      <c r="B926" t="s">
        <v>336</v>
      </c>
      <c r="C926" s="169">
        <v>6.5779999999999998E-13</v>
      </c>
      <c r="D926" s="169">
        <v>6.2699999999999995E-13</v>
      </c>
      <c r="E926">
        <v>-12.182</v>
      </c>
      <c r="F926">
        <v>-12.202999999999999</v>
      </c>
      <c r="G926">
        <v>-2.1000000000000001E-2</v>
      </c>
    </row>
    <row r="927" spans="1:7" x14ac:dyDescent="0.15">
      <c r="B927" t="s">
        <v>268</v>
      </c>
      <c r="C927" s="169">
        <v>6.7300000000000001E-15</v>
      </c>
      <c r="D927" s="169">
        <v>5.475E-15</v>
      </c>
      <c r="E927">
        <v>-14.172000000000001</v>
      </c>
      <c r="F927">
        <v>-14.262</v>
      </c>
      <c r="G927">
        <v>-0.09</v>
      </c>
    </row>
    <row r="928" spans="1:7" x14ac:dyDescent="0.15">
      <c r="B928" t="s">
        <v>318</v>
      </c>
      <c r="C928" s="169">
        <v>2.1900000000000001E-16</v>
      </c>
      <c r="D928" s="169">
        <v>1.7819999999999999E-16</v>
      </c>
      <c r="E928">
        <v>-15.659000000000001</v>
      </c>
      <c r="F928">
        <v>-15.749000000000001</v>
      </c>
      <c r="G928">
        <v>-0.09</v>
      </c>
    </row>
    <row r="929" spans="1:7" x14ac:dyDescent="0.15">
      <c r="B929" t="s">
        <v>337</v>
      </c>
      <c r="C929" s="169">
        <v>2.731E-17</v>
      </c>
      <c r="D929" s="169">
        <v>2.222E-17</v>
      </c>
      <c r="E929">
        <v>-16.564</v>
      </c>
      <c r="F929">
        <v>-16.652999999999999</v>
      </c>
      <c r="G929">
        <v>-0.09</v>
      </c>
    </row>
    <row r="930" spans="1:7" x14ac:dyDescent="0.15">
      <c r="B930" t="s">
        <v>294</v>
      </c>
      <c r="C930" s="169">
        <v>5.9329999999999999E-18</v>
      </c>
      <c r="D930" s="169">
        <v>4.8269999999999998E-18</v>
      </c>
      <c r="E930">
        <v>-17.227</v>
      </c>
      <c r="F930">
        <v>-17.315999999999999</v>
      </c>
      <c r="G930">
        <v>-0.09</v>
      </c>
    </row>
    <row r="931" spans="1:7" x14ac:dyDescent="0.15">
      <c r="B931" t="s">
        <v>338</v>
      </c>
      <c r="C931" s="169">
        <v>1.4470000000000001E-23</v>
      </c>
      <c r="D931" s="169">
        <v>1.1769999999999999E-23</v>
      </c>
      <c r="E931">
        <v>-22.838999999999999</v>
      </c>
      <c r="F931">
        <v>-22.928999999999998</v>
      </c>
      <c r="G931">
        <v>-0.09</v>
      </c>
    </row>
    <row r="932" spans="1:7" x14ac:dyDescent="0.15">
      <c r="B932" t="s">
        <v>270</v>
      </c>
      <c r="C932" s="169">
        <v>3.7870000000000001E-24</v>
      </c>
      <c r="D932" s="169">
        <v>3.0809999999999999E-24</v>
      </c>
      <c r="E932">
        <v>-23.422000000000001</v>
      </c>
      <c r="F932">
        <v>-23.510999999999999</v>
      </c>
      <c r="G932">
        <v>-0.09</v>
      </c>
    </row>
    <row r="933" spans="1:7" x14ac:dyDescent="0.15">
      <c r="B933" t="s">
        <v>298</v>
      </c>
      <c r="C933" s="169">
        <v>8.9180000000000002E-26</v>
      </c>
      <c r="D933" s="169">
        <v>7.2550000000000001E-26</v>
      </c>
      <c r="E933">
        <v>-25.05</v>
      </c>
      <c r="F933">
        <v>-25.138999999999999</v>
      </c>
      <c r="G933">
        <v>-0.09</v>
      </c>
    </row>
    <row r="934" spans="1:7" x14ac:dyDescent="0.15">
      <c r="B934" t="s">
        <v>302</v>
      </c>
      <c r="C934" s="169">
        <v>1.587E-33</v>
      </c>
      <c r="D934" s="169">
        <v>1.2910000000000001E-33</v>
      </c>
      <c r="E934">
        <v>-32.799999999999997</v>
      </c>
      <c r="F934">
        <v>-32.889000000000003</v>
      </c>
      <c r="G934">
        <v>-0.09</v>
      </c>
    </row>
    <row r="935" spans="1:7" x14ac:dyDescent="0.15">
      <c r="B935" t="s">
        <v>304</v>
      </c>
      <c r="C935" s="169">
        <v>0</v>
      </c>
      <c r="D935" s="169">
        <v>0</v>
      </c>
      <c r="E935">
        <v>-40.929000000000002</v>
      </c>
      <c r="F935">
        <v>-41.018999999999998</v>
      </c>
      <c r="G935">
        <v>-0.09</v>
      </c>
    </row>
    <row r="936" spans="1:7" x14ac:dyDescent="0.15">
      <c r="B936" t="s">
        <v>306</v>
      </c>
      <c r="C936" s="169">
        <v>0</v>
      </c>
      <c r="D936" s="169">
        <v>0</v>
      </c>
      <c r="E936">
        <v>-49.558999999999997</v>
      </c>
      <c r="F936">
        <v>-49.649000000000001</v>
      </c>
      <c r="G936">
        <v>-0.09</v>
      </c>
    </row>
    <row r="937" spans="1:7" x14ac:dyDescent="0.15">
      <c r="B937" t="s">
        <v>288</v>
      </c>
      <c r="C937" s="169">
        <v>0</v>
      </c>
      <c r="D937" s="169">
        <v>0</v>
      </c>
      <c r="E937">
        <v>-62.07</v>
      </c>
      <c r="F937">
        <v>-62.16</v>
      </c>
      <c r="G937">
        <v>-0.09</v>
      </c>
    </row>
    <row r="938" spans="1:7" x14ac:dyDescent="0.15">
      <c r="B938" t="s">
        <v>311</v>
      </c>
      <c r="C938" s="169">
        <v>0</v>
      </c>
      <c r="D938" s="169">
        <v>0</v>
      </c>
      <c r="E938">
        <v>-72.709999999999994</v>
      </c>
      <c r="F938">
        <v>-72.799000000000007</v>
      </c>
      <c r="G938">
        <v>-0.09</v>
      </c>
    </row>
    <row r="939" spans="1:7" x14ac:dyDescent="0.15">
      <c r="B939" t="s">
        <v>310</v>
      </c>
      <c r="C939" s="169">
        <v>0</v>
      </c>
      <c r="D939" s="169">
        <v>0</v>
      </c>
      <c r="E939">
        <v>-72.837000000000003</v>
      </c>
      <c r="F939">
        <v>-72.858999999999995</v>
      </c>
      <c r="G939">
        <v>-2.1999999999999999E-2</v>
      </c>
    </row>
    <row r="940" spans="1:7" x14ac:dyDescent="0.15">
      <c r="B940" t="s">
        <v>289</v>
      </c>
      <c r="C940" s="169">
        <v>0</v>
      </c>
      <c r="D940" s="169">
        <v>0</v>
      </c>
      <c r="E940">
        <v>-77.552000000000007</v>
      </c>
      <c r="F940">
        <v>-77.641000000000005</v>
      </c>
      <c r="G940">
        <v>-0.09</v>
      </c>
    </row>
    <row r="941" spans="1:7" x14ac:dyDescent="0.15">
      <c r="A941" t="s">
        <v>667</v>
      </c>
      <c r="B941" s="169">
        <v>2.0019999999999999E-3</v>
      </c>
    </row>
    <row r="942" spans="1:7" x14ac:dyDescent="0.15">
      <c r="B942" t="s">
        <v>343</v>
      </c>
      <c r="C942" s="169">
        <v>1.9989999999999999E-3</v>
      </c>
      <c r="D942" s="169">
        <v>1.9040000000000001E-3</v>
      </c>
      <c r="E942">
        <v>-2.6989999999999998</v>
      </c>
      <c r="F942">
        <v>-2.72</v>
      </c>
      <c r="G942">
        <v>-2.1000000000000001E-2</v>
      </c>
    </row>
    <row r="943" spans="1:7" x14ac:dyDescent="0.15">
      <c r="B943" t="s">
        <v>522</v>
      </c>
      <c r="C943" s="169">
        <v>2.7049999999999999E-6</v>
      </c>
      <c r="D943" s="169">
        <v>2.7049999999999999E-6</v>
      </c>
      <c r="E943">
        <v>-5.5679999999999996</v>
      </c>
      <c r="F943">
        <v>-5.5679999999999996</v>
      </c>
      <c r="G943">
        <v>0</v>
      </c>
    </row>
    <row r="944" spans="1:7" x14ac:dyDescent="0.15">
      <c r="B944" t="s">
        <v>255</v>
      </c>
      <c r="C944" s="169">
        <v>4.6759999999999998E-7</v>
      </c>
      <c r="D944" s="169">
        <v>4.4579999999999998E-7</v>
      </c>
      <c r="E944">
        <v>-6.33</v>
      </c>
      <c r="F944">
        <v>-6.351</v>
      </c>
      <c r="G944">
        <v>-2.1000000000000001E-2</v>
      </c>
    </row>
    <row r="945" spans="1:7" x14ac:dyDescent="0.15">
      <c r="B945" t="s">
        <v>344</v>
      </c>
      <c r="C945" s="169">
        <v>3.1200000000000001E-8</v>
      </c>
      <c r="D945" s="169">
        <v>2.9749999999999998E-8</v>
      </c>
      <c r="E945">
        <v>-7.5060000000000002</v>
      </c>
      <c r="F945">
        <v>-7.5270000000000001</v>
      </c>
      <c r="G945">
        <v>-2.1000000000000001E-2</v>
      </c>
    </row>
    <row r="946" spans="1:7" x14ac:dyDescent="0.15">
      <c r="B946" t="s">
        <v>236</v>
      </c>
      <c r="C946" s="169">
        <v>1.6049999999999999E-11</v>
      </c>
      <c r="D946" s="169">
        <v>1.5300000000000001E-11</v>
      </c>
      <c r="E946">
        <v>-10.795</v>
      </c>
      <c r="F946">
        <v>-10.815</v>
      </c>
      <c r="G946">
        <v>-2.1000000000000001E-2</v>
      </c>
    </row>
    <row r="947" spans="1:7" x14ac:dyDescent="0.15">
      <c r="A947" t="s">
        <v>838</v>
      </c>
      <c r="B947" s="169">
        <v>1.1929999999999999E-11</v>
      </c>
    </row>
    <row r="948" spans="1:7" x14ac:dyDescent="0.15">
      <c r="B948" t="s">
        <v>345</v>
      </c>
      <c r="C948" s="169">
        <v>8.4969999999999998E-12</v>
      </c>
      <c r="D948" s="169">
        <v>6.995E-12</v>
      </c>
      <c r="E948">
        <v>-11.071</v>
      </c>
      <c r="F948">
        <v>-11.154999999999999</v>
      </c>
      <c r="G948">
        <v>-8.5000000000000006E-2</v>
      </c>
    </row>
    <row r="949" spans="1:7" x14ac:dyDescent="0.15">
      <c r="B949" t="s">
        <v>258</v>
      </c>
      <c r="C949" s="169">
        <v>2.1239999999999998E-12</v>
      </c>
      <c r="D949" s="169">
        <v>2.1239999999999998E-12</v>
      </c>
      <c r="E949">
        <v>-11.673</v>
      </c>
      <c r="F949">
        <v>-11.673</v>
      </c>
      <c r="G949">
        <v>0</v>
      </c>
    </row>
    <row r="950" spans="1:7" x14ac:dyDescent="0.15">
      <c r="B950" t="s">
        <v>260</v>
      </c>
      <c r="C950" s="169">
        <v>1.2519999999999999E-12</v>
      </c>
      <c r="D950" s="169">
        <v>1.1890000000000001E-12</v>
      </c>
      <c r="E950">
        <v>-11.901999999999999</v>
      </c>
      <c r="F950">
        <v>-11.925000000000001</v>
      </c>
      <c r="G950">
        <v>-2.1999999999999999E-2</v>
      </c>
    </row>
    <row r="951" spans="1:7" x14ac:dyDescent="0.15">
      <c r="B951" t="s">
        <v>105</v>
      </c>
      <c r="C951" s="169">
        <v>3.8840000000000002E-14</v>
      </c>
      <c r="D951" s="169">
        <v>3.6890000000000001E-14</v>
      </c>
      <c r="E951">
        <v>-13.411</v>
      </c>
      <c r="F951">
        <v>-13.433</v>
      </c>
      <c r="G951">
        <v>-2.1999999999999999E-2</v>
      </c>
    </row>
    <row r="952" spans="1:7" x14ac:dyDescent="0.15">
      <c r="B952" t="s">
        <v>106</v>
      </c>
      <c r="C952" s="169">
        <v>1.124E-14</v>
      </c>
      <c r="D952" s="169">
        <v>1.124E-14</v>
      </c>
      <c r="E952">
        <v>-13.949</v>
      </c>
      <c r="F952">
        <v>-13.949</v>
      </c>
      <c r="G952">
        <v>0</v>
      </c>
    </row>
    <row r="953" spans="1:7" x14ac:dyDescent="0.15">
      <c r="B953" t="s">
        <v>104</v>
      </c>
      <c r="C953" s="169">
        <v>3.6640000000000004E-15</v>
      </c>
      <c r="D953" s="169">
        <v>3.6640000000000004E-15</v>
      </c>
      <c r="E953">
        <v>-14.436</v>
      </c>
      <c r="F953">
        <v>-14.436</v>
      </c>
      <c r="G953">
        <v>0</v>
      </c>
    </row>
    <row r="954" spans="1:7" x14ac:dyDescent="0.15">
      <c r="B954" t="s">
        <v>275</v>
      </c>
      <c r="C954" s="169">
        <v>4.8509999999999998E-17</v>
      </c>
      <c r="D954" s="169">
        <v>4.6070000000000002E-17</v>
      </c>
      <c r="E954">
        <v>-16.314</v>
      </c>
      <c r="F954">
        <v>-16.337</v>
      </c>
      <c r="G954">
        <v>-2.1999999999999999E-2</v>
      </c>
    </row>
    <row r="955" spans="1:7" x14ac:dyDescent="0.15">
      <c r="B955" t="s">
        <v>337</v>
      </c>
      <c r="C955" s="169">
        <v>2.731E-17</v>
      </c>
      <c r="D955" s="169">
        <v>2.222E-17</v>
      </c>
      <c r="E955">
        <v>-16.564</v>
      </c>
      <c r="F955">
        <v>-16.652999999999999</v>
      </c>
      <c r="G955">
        <v>-0.09</v>
      </c>
    </row>
    <row r="956" spans="1:7" x14ac:dyDescent="0.15">
      <c r="B956" t="s">
        <v>108</v>
      </c>
      <c r="C956" s="169">
        <v>1.5E-17</v>
      </c>
      <c r="D956" s="169">
        <v>1.425E-17</v>
      </c>
      <c r="E956">
        <v>-16.824000000000002</v>
      </c>
      <c r="F956">
        <v>-16.846</v>
      </c>
      <c r="G956">
        <v>-2.1999999999999999E-2</v>
      </c>
    </row>
    <row r="957" spans="1:7" x14ac:dyDescent="0.15">
      <c r="B957" t="s">
        <v>107</v>
      </c>
      <c r="C957" s="169">
        <v>5.0159999999999996E-22</v>
      </c>
      <c r="D957" s="169">
        <v>4.0810000000000001E-22</v>
      </c>
      <c r="E957">
        <v>-21.3</v>
      </c>
      <c r="F957">
        <v>-21.388999999999999</v>
      </c>
      <c r="G957">
        <v>-0.09</v>
      </c>
    </row>
    <row r="958" spans="1:7" x14ac:dyDescent="0.15">
      <c r="B958" t="s">
        <v>338</v>
      </c>
      <c r="C958" s="169">
        <v>1.4470000000000001E-23</v>
      </c>
      <c r="D958" s="169">
        <v>1.1769999999999999E-23</v>
      </c>
      <c r="E958">
        <v>-22.838999999999999</v>
      </c>
      <c r="F958">
        <v>-22.928999999999998</v>
      </c>
      <c r="G958">
        <v>-0.09</v>
      </c>
    </row>
    <row r="959" spans="1:7" x14ac:dyDescent="0.15">
      <c r="B959" t="s">
        <v>279</v>
      </c>
      <c r="C959" s="169">
        <v>6.504E-25</v>
      </c>
      <c r="D959" s="169">
        <v>6.504E-25</v>
      </c>
      <c r="E959">
        <v>-24.187000000000001</v>
      </c>
      <c r="F959">
        <v>-24.187000000000001</v>
      </c>
      <c r="G959">
        <v>0</v>
      </c>
    </row>
    <row r="960" spans="1:7" x14ac:dyDescent="0.15">
      <c r="A960" t="s">
        <v>471</v>
      </c>
      <c r="B960" s="169">
        <v>0</v>
      </c>
    </row>
    <row r="961" spans="1:7" x14ac:dyDescent="0.15">
      <c r="B961" t="s">
        <v>109</v>
      </c>
      <c r="C961" s="169">
        <v>0</v>
      </c>
      <c r="D961" s="169">
        <v>0</v>
      </c>
      <c r="E961">
        <v>-42.058999999999997</v>
      </c>
      <c r="F961">
        <v>-42.058999999999997</v>
      </c>
      <c r="G961">
        <v>0</v>
      </c>
    </row>
    <row r="962" spans="1:7" x14ac:dyDescent="0.15">
      <c r="A962" t="s">
        <v>547</v>
      </c>
      <c r="B962" s="169">
        <v>1.291E-9</v>
      </c>
    </row>
    <row r="963" spans="1:7" x14ac:dyDescent="0.15">
      <c r="B963" t="s">
        <v>237</v>
      </c>
      <c r="C963" s="169">
        <v>1.142E-9</v>
      </c>
      <c r="D963" s="169">
        <v>9.4229999999999994E-10</v>
      </c>
      <c r="E963">
        <v>-8.9420000000000002</v>
      </c>
      <c r="F963">
        <v>-9.0259999999999998</v>
      </c>
      <c r="G963">
        <v>-8.3000000000000004E-2</v>
      </c>
    </row>
    <row r="964" spans="1:7" x14ac:dyDescent="0.15">
      <c r="B964" t="s">
        <v>238</v>
      </c>
      <c r="C964" s="169">
        <v>1.3209999999999999E-10</v>
      </c>
      <c r="D964" s="169">
        <v>1.259E-10</v>
      </c>
      <c r="E964">
        <v>-9.8789999999999996</v>
      </c>
      <c r="F964">
        <v>-9.9</v>
      </c>
      <c r="G964">
        <v>-2.1000000000000001E-2</v>
      </c>
    </row>
    <row r="965" spans="1:7" x14ac:dyDescent="0.15">
      <c r="B965" t="s">
        <v>236</v>
      </c>
      <c r="C965" s="169">
        <v>1.6049999999999999E-11</v>
      </c>
      <c r="D965" s="169">
        <v>1.5300000000000001E-11</v>
      </c>
      <c r="E965">
        <v>-10.795</v>
      </c>
      <c r="F965">
        <v>-10.815</v>
      </c>
      <c r="G965">
        <v>-2.1000000000000001E-2</v>
      </c>
    </row>
    <row r="966" spans="1:7" x14ac:dyDescent="0.15">
      <c r="B966" t="s">
        <v>232</v>
      </c>
      <c r="C966" s="169">
        <v>1.0260000000000001E-12</v>
      </c>
      <c r="D966" s="169">
        <v>1.0260000000000001E-12</v>
      </c>
      <c r="E966">
        <v>-11.989000000000001</v>
      </c>
      <c r="F966">
        <v>-11.989000000000001</v>
      </c>
      <c r="G966">
        <v>0</v>
      </c>
    </row>
    <row r="967" spans="1:7" x14ac:dyDescent="0.15">
      <c r="B967" t="s">
        <v>233</v>
      </c>
      <c r="C967" s="169">
        <v>2.5620000000000001E-13</v>
      </c>
      <c r="D967" s="169">
        <v>2.4420000000000001E-13</v>
      </c>
      <c r="E967">
        <v>-12.590999999999999</v>
      </c>
      <c r="F967">
        <v>-12.612</v>
      </c>
      <c r="G967">
        <v>-2.1000000000000001E-2</v>
      </c>
    </row>
    <row r="968" spans="1:7" x14ac:dyDescent="0.15">
      <c r="B968" t="s">
        <v>239</v>
      </c>
      <c r="C968" s="169">
        <v>5.625E-14</v>
      </c>
      <c r="D968" s="169">
        <v>3.6309999999999999E-14</v>
      </c>
      <c r="E968">
        <v>-13.25</v>
      </c>
      <c r="F968">
        <v>-13.44</v>
      </c>
      <c r="G968">
        <v>-0.19</v>
      </c>
    </row>
    <row r="969" spans="1:7" x14ac:dyDescent="0.15">
      <c r="B969" t="s">
        <v>234</v>
      </c>
      <c r="C969" s="169">
        <v>7.04E-15</v>
      </c>
      <c r="D969" s="169">
        <v>6.7120000000000002E-15</v>
      </c>
      <c r="E969">
        <v>-14.151999999999999</v>
      </c>
      <c r="F969">
        <v>-14.173</v>
      </c>
      <c r="G969">
        <v>-2.1000000000000001E-2</v>
      </c>
    </row>
    <row r="970" spans="1:7" x14ac:dyDescent="0.15">
      <c r="B970" t="s">
        <v>240</v>
      </c>
      <c r="C970" s="169">
        <v>1.188E-16</v>
      </c>
      <c r="D970" s="169">
        <v>1.188E-16</v>
      </c>
      <c r="E970">
        <v>-15.925000000000001</v>
      </c>
      <c r="F970">
        <v>-15.925000000000001</v>
      </c>
      <c r="G970">
        <v>0</v>
      </c>
    </row>
    <row r="971" spans="1:7" x14ac:dyDescent="0.15">
      <c r="B971" t="s">
        <v>235</v>
      </c>
      <c r="C971" s="169">
        <v>5.2839999999999998E-18</v>
      </c>
      <c r="D971" s="169">
        <v>5.2839999999999998E-18</v>
      </c>
      <c r="E971">
        <v>-17.277000000000001</v>
      </c>
      <c r="F971">
        <v>-17.277000000000001</v>
      </c>
      <c r="G971">
        <v>0</v>
      </c>
    </row>
    <row r="972" spans="1:7" x14ac:dyDescent="0.15">
      <c r="A972" t="s">
        <v>472</v>
      </c>
      <c r="B972" s="169">
        <v>3.6430000000000001E-6</v>
      </c>
    </row>
    <row r="973" spans="1:7" x14ac:dyDescent="0.15">
      <c r="B973" t="s">
        <v>110</v>
      </c>
      <c r="C973" s="169">
        <v>3.6100000000000002E-6</v>
      </c>
      <c r="D973" s="169">
        <v>2.9720000000000001E-6</v>
      </c>
      <c r="E973">
        <v>-5.4420000000000002</v>
      </c>
      <c r="F973">
        <v>-5.5270000000000001</v>
      </c>
      <c r="G973">
        <v>-8.5000000000000006E-2</v>
      </c>
    </row>
    <row r="974" spans="1:7" x14ac:dyDescent="0.15">
      <c r="B974" t="s">
        <v>344</v>
      </c>
      <c r="C974" s="169">
        <v>3.1200000000000001E-8</v>
      </c>
      <c r="D974" s="169">
        <v>2.9749999999999998E-8</v>
      </c>
      <c r="E974">
        <v>-7.5060000000000002</v>
      </c>
      <c r="F974">
        <v>-7.5270000000000001</v>
      </c>
      <c r="G974">
        <v>-2.1000000000000001E-2</v>
      </c>
    </row>
    <row r="975" spans="1:7" x14ac:dyDescent="0.15">
      <c r="B975" t="s">
        <v>266</v>
      </c>
      <c r="C975" s="169">
        <v>1.8E-9</v>
      </c>
      <c r="D975" s="169">
        <v>1.8E-9</v>
      </c>
      <c r="E975">
        <v>-8.7449999999999992</v>
      </c>
      <c r="F975">
        <v>-8.7449999999999992</v>
      </c>
      <c r="G975">
        <v>0</v>
      </c>
    </row>
    <row r="976" spans="1:7" x14ac:dyDescent="0.15">
      <c r="B976" t="s">
        <v>112</v>
      </c>
      <c r="C976" s="169">
        <v>1.5129999999999999E-12</v>
      </c>
      <c r="D976" s="169">
        <v>1.4419999999999999E-12</v>
      </c>
      <c r="E976">
        <v>-11.82</v>
      </c>
      <c r="F976">
        <v>-11.840999999999999</v>
      </c>
      <c r="G976">
        <v>-2.1000000000000001E-2</v>
      </c>
    </row>
    <row r="977" spans="1:7" x14ac:dyDescent="0.15">
      <c r="B977" t="s">
        <v>336</v>
      </c>
      <c r="C977" s="169">
        <v>6.5779999999999998E-13</v>
      </c>
      <c r="D977" s="169">
        <v>6.2699999999999995E-13</v>
      </c>
      <c r="E977">
        <v>-12.182</v>
      </c>
      <c r="F977">
        <v>-12.202999999999999</v>
      </c>
      <c r="G977">
        <v>-2.1000000000000001E-2</v>
      </c>
    </row>
    <row r="978" spans="1:7" x14ac:dyDescent="0.15">
      <c r="B978" t="s">
        <v>111</v>
      </c>
      <c r="C978" s="169">
        <v>3.3950000000000003E-14</v>
      </c>
      <c r="D978" s="169">
        <v>3.3950000000000003E-14</v>
      </c>
      <c r="E978">
        <v>-13.468999999999999</v>
      </c>
      <c r="F978">
        <v>-13.468999999999999</v>
      </c>
      <c r="G978">
        <v>0</v>
      </c>
    </row>
    <row r="979" spans="1:7" x14ac:dyDescent="0.15">
      <c r="B979" t="s">
        <v>292</v>
      </c>
      <c r="C979" s="169">
        <v>3.679E-15</v>
      </c>
      <c r="D979" s="169">
        <v>3.679E-15</v>
      </c>
      <c r="E979">
        <v>-14.433999999999999</v>
      </c>
      <c r="F979">
        <v>-14.433999999999999</v>
      </c>
      <c r="G979">
        <v>0</v>
      </c>
    </row>
    <row r="980" spans="1:7" x14ac:dyDescent="0.15">
      <c r="B980" t="s">
        <v>104</v>
      </c>
      <c r="C980" s="169">
        <v>3.6640000000000004E-15</v>
      </c>
      <c r="D980" s="169">
        <v>3.6640000000000004E-15</v>
      </c>
      <c r="E980">
        <v>-14.436</v>
      </c>
      <c r="F980">
        <v>-14.436</v>
      </c>
      <c r="G980">
        <v>0</v>
      </c>
    </row>
    <row r="981" spans="1:7" x14ac:dyDescent="0.15">
      <c r="B981" t="s">
        <v>319</v>
      </c>
      <c r="C981" s="169">
        <v>1.495E-15</v>
      </c>
      <c r="D981" s="169">
        <v>1.495E-15</v>
      </c>
      <c r="E981">
        <v>-14.824999999999999</v>
      </c>
      <c r="F981">
        <v>-14.824999999999999</v>
      </c>
      <c r="G981">
        <v>0</v>
      </c>
    </row>
    <row r="982" spans="1:7" x14ac:dyDescent="0.15">
      <c r="B982" t="s">
        <v>113</v>
      </c>
      <c r="C982" s="169">
        <v>1.2329999999999999E-18</v>
      </c>
      <c r="D982" s="169">
        <v>1.003E-18</v>
      </c>
      <c r="E982">
        <v>-17.908999999999999</v>
      </c>
      <c r="F982">
        <v>-17.998999999999999</v>
      </c>
      <c r="G982">
        <v>-0.09</v>
      </c>
    </row>
    <row r="983" spans="1:7" x14ac:dyDescent="0.15">
      <c r="B983" t="s">
        <v>107</v>
      </c>
      <c r="C983" s="169">
        <v>5.0159999999999996E-22</v>
      </c>
      <c r="D983" s="169">
        <v>4.0810000000000001E-22</v>
      </c>
      <c r="E983">
        <v>-21.3</v>
      </c>
      <c r="F983">
        <v>-21.388999999999999</v>
      </c>
      <c r="G983">
        <v>-0.09</v>
      </c>
    </row>
    <row r="984" spans="1:7" x14ac:dyDescent="0.15">
      <c r="B984" t="s">
        <v>310</v>
      </c>
      <c r="C984" s="169">
        <v>0</v>
      </c>
      <c r="D984" s="169">
        <v>0</v>
      </c>
      <c r="E984">
        <v>-72.837000000000003</v>
      </c>
      <c r="F984">
        <v>-72.858999999999995</v>
      </c>
      <c r="G984">
        <v>-2.1999999999999999E-2</v>
      </c>
    </row>
    <row r="985" spans="1:7" x14ac:dyDescent="0.15">
      <c r="A985" t="s">
        <v>847</v>
      </c>
      <c r="B985" s="169">
        <v>1.071E-10</v>
      </c>
    </row>
    <row r="986" spans="1:7" x14ac:dyDescent="0.15">
      <c r="B986" t="s">
        <v>114</v>
      </c>
      <c r="C986" s="169">
        <v>7.2419999999999994E-11</v>
      </c>
      <c r="D986" s="169">
        <v>5.9610000000000001E-11</v>
      </c>
      <c r="E986">
        <v>-10.14</v>
      </c>
      <c r="F986">
        <v>-10.225</v>
      </c>
      <c r="G986">
        <v>-8.5000000000000006E-2</v>
      </c>
    </row>
    <row r="987" spans="1:7" x14ac:dyDescent="0.15">
      <c r="B987" t="s">
        <v>257</v>
      </c>
      <c r="C987" s="169">
        <v>2.7919999999999999E-11</v>
      </c>
      <c r="D987" s="169">
        <v>2.7919999999999999E-11</v>
      </c>
      <c r="E987">
        <v>-10.554</v>
      </c>
      <c r="F987">
        <v>-10.554</v>
      </c>
      <c r="G987">
        <v>0</v>
      </c>
    </row>
    <row r="988" spans="1:7" x14ac:dyDescent="0.15">
      <c r="B988" t="s">
        <v>263</v>
      </c>
      <c r="C988" s="169">
        <v>2.7370000000000002E-12</v>
      </c>
      <c r="D988" s="169">
        <v>2.5990000000000001E-12</v>
      </c>
      <c r="E988">
        <v>-11.563000000000001</v>
      </c>
      <c r="F988">
        <v>-11.585000000000001</v>
      </c>
      <c r="G988">
        <v>-2.1999999999999999E-2</v>
      </c>
    </row>
    <row r="989" spans="1:7" x14ac:dyDescent="0.15">
      <c r="B989" t="s">
        <v>115</v>
      </c>
      <c r="C989" s="169">
        <v>2.414E-12</v>
      </c>
      <c r="D989" s="169">
        <v>2.293E-12</v>
      </c>
      <c r="E989">
        <v>-11.617000000000001</v>
      </c>
      <c r="F989">
        <v>-11.64</v>
      </c>
      <c r="G989">
        <v>-2.1999999999999999E-2</v>
      </c>
    </row>
    <row r="990" spans="1:7" x14ac:dyDescent="0.15">
      <c r="B990" t="s">
        <v>116</v>
      </c>
      <c r="C990" s="169">
        <v>1.518E-12</v>
      </c>
      <c r="D990" s="169">
        <v>1.518E-12</v>
      </c>
      <c r="E990">
        <v>-11.819000000000001</v>
      </c>
      <c r="F990">
        <v>-11.819000000000001</v>
      </c>
      <c r="G990">
        <v>0</v>
      </c>
    </row>
    <row r="991" spans="1:7" x14ac:dyDescent="0.15">
      <c r="B991" t="s">
        <v>111</v>
      </c>
      <c r="C991" s="169">
        <v>3.3950000000000003E-14</v>
      </c>
      <c r="D991" s="169">
        <v>3.3950000000000003E-14</v>
      </c>
      <c r="E991">
        <v>-13.468999999999999</v>
      </c>
      <c r="F991">
        <v>-13.468999999999999</v>
      </c>
      <c r="G991">
        <v>0</v>
      </c>
    </row>
    <row r="992" spans="1:7" x14ac:dyDescent="0.15">
      <c r="B992" t="s">
        <v>117</v>
      </c>
      <c r="C992" s="169">
        <v>1.015E-14</v>
      </c>
      <c r="D992" s="169">
        <v>9.6429999999999999E-15</v>
      </c>
      <c r="E992">
        <v>-13.993</v>
      </c>
      <c r="F992">
        <v>-14.016</v>
      </c>
      <c r="G992">
        <v>-2.1999999999999999E-2</v>
      </c>
    </row>
    <row r="993" spans="1:10" x14ac:dyDescent="0.15">
      <c r="B993" t="s">
        <v>273</v>
      </c>
      <c r="C993" s="169">
        <v>6.6760000000000004E-16</v>
      </c>
      <c r="D993" s="169">
        <v>6.6760000000000004E-16</v>
      </c>
      <c r="E993">
        <v>-15.175000000000001</v>
      </c>
      <c r="F993">
        <v>-15.175000000000001</v>
      </c>
      <c r="G993">
        <v>0</v>
      </c>
    </row>
    <row r="994" spans="1:10" x14ac:dyDescent="0.15">
      <c r="B994" t="s">
        <v>274</v>
      </c>
      <c r="C994" s="169">
        <v>3.7630000000000002E-16</v>
      </c>
      <c r="D994" s="169">
        <v>3.5840000000000002E-16</v>
      </c>
      <c r="E994">
        <v>-15.423999999999999</v>
      </c>
      <c r="F994">
        <v>-15.446</v>
      </c>
      <c r="G994">
        <v>-2.1000000000000001E-2</v>
      </c>
    </row>
    <row r="995" spans="1:10" x14ac:dyDescent="0.15">
      <c r="B995" t="s">
        <v>113</v>
      </c>
      <c r="C995" s="169">
        <v>1.2329999999999999E-18</v>
      </c>
      <c r="D995" s="169">
        <v>1.003E-18</v>
      </c>
      <c r="E995">
        <v>-17.908999999999999</v>
      </c>
      <c r="F995">
        <v>-17.998999999999999</v>
      </c>
      <c r="G995">
        <v>-0.09</v>
      </c>
    </row>
    <row r="996" spans="1:10" x14ac:dyDescent="0.15">
      <c r="B996" t="s">
        <v>118</v>
      </c>
      <c r="C996" s="169">
        <v>5.9810000000000002E-19</v>
      </c>
      <c r="D996" s="169">
        <v>4.8659999999999998E-19</v>
      </c>
      <c r="E996">
        <v>-18.222999999999999</v>
      </c>
      <c r="F996">
        <v>-18.312999999999999</v>
      </c>
      <c r="G996">
        <v>-0.09</v>
      </c>
    </row>
    <row r="997" spans="1:10" x14ac:dyDescent="0.15">
      <c r="B997" t="s">
        <v>277</v>
      </c>
      <c r="C997" s="169">
        <v>7.7689999999999999E-22</v>
      </c>
      <c r="D997" s="169">
        <v>7.7689999999999999E-22</v>
      </c>
      <c r="E997">
        <v>-21.11</v>
      </c>
      <c r="F997">
        <v>-21.11</v>
      </c>
      <c r="G997">
        <v>0</v>
      </c>
    </row>
    <row r="998" spans="1:10" x14ac:dyDescent="0.15">
      <c r="B998" t="s">
        <v>280</v>
      </c>
      <c r="C998" s="169">
        <v>1.6329999999999998E-27</v>
      </c>
      <c r="D998" s="169">
        <v>1.555E-27</v>
      </c>
      <c r="E998">
        <v>-26.786999999999999</v>
      </c>
      <c r="F998">
        <v>-26.808</v>
      </c>
      <c r="G998">
        <v>-2.1000000000000001E-2</v>
      </c>
    </row>
    <row r="999" spans="1:10" x14ac:dyDescent="0.15">
      <c r="B999" t="s">
        <v>281</v>
      </c>
      <c r="C999" s="169">
        <v>2.2339999999999999E-33</v>
      </c>
      <c r="D999" s="169">
        <v>1.8429999999999999E-33</v>
      </c>
      <c r="E999">
        <v>-32.651000000000003</v>
      </c>
      <c r="F999">
        <v>-32.734000000000002</v>
      </c>
      <c r="G999">
        <v>-8.3000000000000004E-2</v>
      </c>
    </row>
    <row r="1001" spans="1:10" x14ac:dyDescent="0.15">
      <c r="A1001" t="e">
        <f>------------------------------Saturation</f>
        <v>#NAME?</v>
      </c>
      <c r="B1001" t="s">
        <v>119</v>
      </c>
    </row>
    <row r="1003" spans="1:10" x14ac:dyDescent="0.15">
      <c r="B1003" t="s">
        <v>120</v>
      </c>
      <c r="C1003" t="s">
        <v>121</v>
      </c>
      <c r="D1003" t="s">
        <v>122</v>
      </c>
      <c r="E1003" t="s">
        <v>123</v>
      </c>
      <c r="F1003" t="s">
        <v>122</v>
      </c>
      <c r="G1003" t="s">
        <v>124</v>
      </c>
      <c r="I1003">
        <v>1</v>
      </c>
      <c r="J1003" t="s">
        <v>126</v>
      </c>
    </row>
    <row r="1005" spans="1:10" x14ac:dyDescent="0.15">
      <c r="B1005" t="s">
        <v>128</v>
      </c>
      <c r="C1005">
        <v>-58.9</v>
      </c>
      <c r="D1005">
        <v>-54.29</v>
      </c>
      <c r="E1005">
        <v>4.6100000000000003</v>
      </c>
      <c r="F1005" t="s">
        <v>128</v>
      </c>
    </row>
    <row r="1006" spans="1:10" x14ac:dyDescent="0.15">
      <c r="B1006" t="s">
        <v>129</v>
      </c>
      <c r="C1006">
        <v>-66.260000000000005</v>
      </c>
      <c r="D1006">
        <v>-54.29</v>
      </c>
      <c r="E1006">
        <v>11.97</v>
      </c>
      <c r="F1006" t="s">
        <v>129</v>
      </c>
    </row>
    <row r="1007" spans="1:10" x14ac:dyDescent="0.15">
      <c r="B1007" t="s">
        <v>131</v>
      </c>
      <c r="C1007">
        <v>-74.239999999999995</v>
      </c>
      <c r="D1007">
        <v>-53.9</v>
      </c>
      <c r="E1007">
        <v>20.34</v>
      </c>
      <c r="F1007" t="s">
        <v>131</v>
      </c>
    </row>
    <row r="1008" spans="1:10" x14ac:dyDescent="0.15">
      <c r="B1008" t="s">
        <v>376</v>
      </c>
      <c r="C1008">
        <v>-6.75</v>
      </c>
      <c r="D1008">
        <v>-11.04</v>
      </c>
      <c r="E1008">
        <v>-4.29</v>
      </c>
      <c r="F1008" t="s">
        <v>266</v>
      </c>
    </row>
    <row r="1009" spans="2:6" x14ac:dyDescent="0.15">
      <c r="B1009" t="s">
        <v>377</v>
      </c>
      <c r="C1009">
        <v>-16.649999999999999</v>
      </c>
      <c r="D1009">
        <v>-7.86</v>
      </c>
      <c r="E1009">
        <v>8.7899999999999991</v>
      </c>
      <c r="F1009" t="s">
        <v>378</v>
      </c>
    </row>
    <row r="1010" spans="2:6" x14ac:dyDescent="0.15">
      <c r="B1010" t="s">
        <v>379</v>
      </c>
      <c r="C1010">
        <v>-2.41</v>
      </c>
      <c r="D1010">
        <v>-10.6</v>
      </c>
      <c r="E1010">
        <v>-8.19</v>
      </c>
      <c r="F1010" t="s">
        <v>520</v>
      </c>
    </row>
    <row r="1011" spans="2:6" x14ac:dyDescent="0.15">
      <c r="B1011" t="s">
        <v>380</v>
      </c>
      <c r="C1011">
        <v>-12.68</v>
      </c>
      <c r="D1011">
        <v>-4.43</v>
      </c>
      <c r="E1011">
        <v>8.26</v>
      </c>
      <c r="F1011" t="s">
        <v>381</v>
      </c>
    </row>
    <row r="1012" spans="2:6" x14ac:dyDescent="0.15">
      <c r="B1012" t="s">
        <v>382</v>
      </c>
      <c r="C1012">
        <v>-12.69</v>
      </c>
      <c r="D1012">
        <v>-28.71</v>
      </c>
      <c r="E1012">
        <v>-16.02</v>
      </c>
      <c r="F1012" t="s">
        <v>383</v>
      </c>
    </row>
    <row r="1013" spans="2:6" x14ac:dyDescent="0.15">
      <c r="B1013" t="s">
        <v>384</v>
      </c>
      <c r="C1013">
        <v>-13.99</v>
      </c>
      <c r="D1013">
        <v>-15.75</v>
      </c>
      <c r="E1013">
        <v>-1.76</v>
      </c>
      <c r="F1013" t="s">
        <v>385</v>
      </c>
    </row>
    <row r="1014" spans="2:6" x14ac:dyDescent="0.15">
      <c r="B1014" t="s">
        <v>386</v>
      </c>
      <c r="C1014">
        <v>-20.34</v>
      </c>
      <c r="D1014">
        <v>-3.24</v>
      </c>
      <c r="E1014">
        <v>17.100000000000001</v>
      </c>
      <c r="F1014" t="s">
        <v>387</v>
      </c>
    </row>
    <row r="1015" spans="2:6" x14ac:dyDescent="0.15">
      <c r="B1015" t="s">
        <v>388</v>
      </c>
      <c r="C1015">
        <v>-8.33</v>
      </c>
      <c r="D1015">
        <v>5.04</v>
      </c>
      <c r="E1015">
        <v>13.37</v>
      </c>
      <c r="F1015" t="s">
        <v>389</v>
      </c>
    </row>
    <row r="1016" spans="2:6" x14ac:dyDescent="0.15">
      <c r="B1016" t="s">
        <v>241</v>
      </c>
      <c r="C1016">
        <v>-13.99</v>
      </c>
      <c r="D1016">
        <v>-43.42</v>
      </c>
      <c r="E1016">
        <v>-29.42</v>
      </c>
      <c r="F1016" t="s">
        <v>242</v>
      </c>
    </row>
    <row r="1017" spans="2:6" x14ac:dyDescent="0.15">
      <c r="B1017" t="s">
        <v>243</v>
      </c>
      <c r="C1017">
        <v>-23.39</v>
      </c>
      <c r="D1017">
        <v>-70.47</v>
      </c>
      <c r="E1017">
        <v>-47.08</v>
      </c>
      <c r="F1017" t="s">
        <v>243</v>
      </c>
    </row>
    <row r="1018" spans="2:6" x14ac:dyDescent="0.15">
      <c r="B1018" t="s">
        <v>232</v>
      </c>
      <c r="C1018">
        <v>-7.49</v>
      </c>
      <c r="D1018">
        <v>-27.05</v>
      </c>
      <c r="E1018">
        <v>-19.559999999999999</v>
      </c>
      <c r="F1018" t="s">
        <v>232</v>
      </c>
    </row>
    <row r="1019" spans="2:6" x14ac:dyDescent="0.15">
      <c r="B1019" t="s">
        <v>244</v>
      </c>
      <c r="C1019">
        <v>-7.84</v>
      </c>
      <c r="D1019">
        <v>-27.05</v>
      </c>
      <c r="E1019">
        <v>-19.21</v>
      </c>
      <c r="F1019" t="s">
        <v>244</v>
      </c>
    </row>
    <row r="1020" spans="2:6" x14ac:dyDescent="0.15">
      <c r="B1020" t="s">
        <v>477</v>
      </c>
      <c r="C1020">
        <v>-2.2000000000000002</v>
      </c>
      <c r="D1020">
        <v>-10.6</v>
      </c>
      <c r="E1020">
        <v>-8.41</v>
      </c>
      <c r="F1020" t="s">
        <v>520</v>
      </c>
    </row>
    <row r="1021" spans="2:6" x14ac:dyDescent="0.15">
      <c r="B1021" t="s">
        <v>390</v>
      </c>
      <c r="C1021">
        <v>-7.44</v>
      </c>
      <c r="D1021">
        <v>-15.37</v>
      </c>
      <c r="E1021">
        <v>-7.93</v>
      </c>
      <c r="F1021" t="s">
        <v>390</v>
      </c>
    </row>
    <row r="1022" spans="2:6" x14ac:dyDescent="0.15">
      <c r="B1022" t="s">
        <v>391</v>
      </c>
      <c r="C1022">
        <v>-74.66</v>
      </c>
      <c r="D1022">
        <v>-118.09</v>
      </c>
      <c r="E1022">
        <v>-43.43</v>
      </c>
      <c r="F1022" t="s">
        <v>392</v>
      </c>
    </row>
    <row r="1023" spans="2:6" x14ac:dyDescent="0.15">
      <c r="B1023" t="s">
        <v>393</v>
      </c>
      <c r="C1023">
        <v>-14.41</v>
      </c>
      <c r="D1023">
        <v>-17.100000000000001</v>
      </c>
      <c r="E1023">
        <v>-2.7</v>
      </c>
      <c r="F1023" t="s">
        <v>394</v>
      </c>
    </row>
    <row r="1024" spans="2:6" x14ac:dyDescent="0.15">
      <c r="B1024" t="s">
        <v>295</v>
      </c>
      <c r="C1024">
        <v>-8.0399999999999991</v>
      </c>
      <c r="D1024">
        <v>5.05</v>
      </c>
      <c r="E1024">
        <v>13.09</v>
      </c>
      <c r="F1024" t="s">
        <v>295</v>
      </c>
    </row>
    <row r="1025" spans="2:6" x14ac:dyDescent="0.15">
      <c r="B1025" t="s">
        <v>395</v>
      </c>
      <c r="C1025">
        <v>-13.8</v>
      </c>
      <c r="D1025">
        <v>-15.25</v>
      </c>
      <c r="E1025">
        <v>-1.45</v>
      </c>
      <c r="F1025" t="s">
        <v>395</v>
      </c>
    </row>
    <row r="1026" spans="2:6" x14ac:dyDescent="0.15">
      <c r="B1026" t="s">
        <v>396</v>
      </c>
      <c r="C1026">
        <v>-3.1</v>
      </c>
      <c r="D1026">
        <v>-21.29</v>
      </c>
      <c r="E1026">
        <v>-18.18</v>
      </c>
      <c r="F1026" t="s">
        <v>221</v>
      </c>
    </row>
    <row r="1027" spans="2:6" x14ac:dyDescent="0.15">
      <c r="B1027" t="s">
        <v>245</v>
      </c>
      <c r="C1027">
        <v>-25.64</v>
      </c>
      <c r="D1027">
        <v>-60.33</v>
      </c>
      <c r="E1027">
        <v>-34.69</v>
      </c>
      <c r="F1027" t="s">
        <v>245</v>
      </c>
    </row>
    <row r="1028" spans="2:6" x14ac:dyDescent="0.15">
      <c r="B1028" t="s">
        <v>397</v>
      </c>
      <c r="C1028">
        <v>-15.95</v>
      </c>
      <c r="D1028">
        <v>-25.45</v>
      </c>
      <c r="E1028">
        <v>-9.5</v>
      </c>
      <c r="F1028" t="s">
        <v>397</v>
      </c>
    </row>
    <row r="1029" spans="2:6" x14ac:dyDescent="0.15">
      <c r="B1029" t="s">
        <v>398</v>
      </c>
      <c r="C1029">
        <v>-31.3</v>
      </c>
      <c r="D1029">
        <v>-22.29</v>
      </c>
      <c r="E1029">
        <v>9.01</v>
      </c>
      <c r="F1029" t="s">
        <v>398</v>
      </c>
    </row>
    <row r="1030" spans="2:6" x14ac:dyDescent="0.15">
      <c r="B1030" t="s">
        <v>399</v>
      </c>
      <c r="C1030">
        <v>-24.75</v>
      </c>
      <c r="D1030">
        <v>-22.29</v>
      </c>
      <c r="E1030">
        <v>2.46</v>
      </c>
      <c r="F1030" t="s">
        <v>399</v>
      </c>
    </row>
    <row r="1031" spans="2:6" x14ac:dyDescent="0.15">
      <c r="B1031" t="s">
        <v>259</v>
      </c>
      <c r="C1031">
        <v>-6.38</v>
      </c>
      <c r="D1031">
        <v>-16.239999999999998</v>
      </c>
      <c r="E1031">
        <v>-9.86</v>
      </c>
      <c r="F1031" t="s">
        <v>259</v>
      </c>
    </row>
    <row r="1032" spans="2:6" x14ac:dyDescent="0.15">
      <c r="B1032" t="s">
        <v>235</v>
      </c>
      <c r="C1032">
        <v>-13.63</v>
      </c>
      <c r="D1032">
        <v>-32.69</v>
      </c>
      <c r="E1032">
        <v>-19.059999999999999</v>
      </c>
      <c r="F1032" t="s">
        <v>235</v>
      </c>
    </row>
    <row r="1033" spans="2:6" x14ac:dyDescent="0.15">
      <c r="B1033" t="s">
        <v>400</v>
      </c>
      <c r="C1033">
        <v>-13.47</v>
      </c>
      <c r="D1033">
        <v>-21.01</v>
      </c>
      <c r="E1033">
        <v>-7.54</v>
      </c>
      <c r="F1033" t="s">
        <v>400</v>
      </c>
    </row>
    <row r="1034" spans="2:6" x14ac:dyDescent="0.15">
      <c r="B1034" t="s">
        <v>401</v>
      </c>
      <c r="C1034">
        <v>-9.52</v>
      </c>
      <c r="D1034">
        <v>5.05</v>
      </c>
      <c r="E1034">
        <v>14.57</v>
      </c>
      <c r="F1034" t="s">
        <v>401</v>
      </c>
    </row>
    <row r="1035" spans="2:6" x14ac:dyDescent="0.15">
      <c r="B1035" t="s">
        <v>292</v>
      </c>
      <c r="C1035">
        <v>-20.21</v>
      </c>
      <c r="D1035">
        <v>-16.68</v>
      </c>
      <c r="E1035">
        <v>3.54</v>
      </c>
      <c r="F1035" t="s">
        <v>292</v>
      </c>
    </row>
    <row r="1036" spans="2:6" x14ac:dyDescent="0.15">
      <c r="B1036" t="s">
        <v>402</v>
      </c>
      <c r="C1036">
        <v>-14.19</v>
      </c>
      <c r="D1036">
        <v>-16.68</v>
      </c>
      <c r="E1036">
        <v>-2.48</v>
      </c>
      <c r="F1036" t="s">
        <v>402</v>
      </c>
    </row>
    <row r="1037" spans="2:6" x14ac:dyDescent="0.15">
      <c r="B1037" t="s">
        <v>317</v>
      </c>
      <c r="C1037">
        <v>-4.58</v>
      </c>
      <c r="D1037">
        <v>4.62</v>
      </c>
      <c r="E1037">
        <v>9.1999999999999993</v>
      </c>
      <c r="F1037" t="s">
        <v>317</v>
      </c>
    </row>
    <row r="1038" spans="2:6" x14ac:dyDescent="0.15">
      <c r="B1038" t="s">
        <v>133</v>
      </c>
      <c r="C1038">
        <v>-29.66</v>
      </c>
      <c r="D1038">
        <v>-31.43</v>
      </c>
      <c r="E1038">
        <v>-1.77</v>
      </c>
      <c r="F1038" t="s">
        <v>133</v>
      </c>
    </row>
    <row r="1039" spans="2:6" x14ac:dyDescent="0.15">
      <c r="B1039" t="s">
        <v>246</v>
      </c>
      <c r="C1039">
        <v>-24.76</v>
      </c>
      <c r="D1039">
        <v>-61.61</v>
      </c>
      <c r="E1039">
        <v>-36.85</v>
      </c>
      <c r="F1039" t="s">
        <v>246</v>
      </c>
    </row>
    <row r="1040" spans="2:6" x14ac:dyDescent="0.15">
      <c r="B1040" t="s">
        <v>247</v>
      </c>
      <c r="C1040">
        <v>-26.49</v>
      </c>
      <c r="D1040">
        <v>-61.61</v>
      </c>
      <c r="E1040">
        <v>-35.119999999999997</v>
      </c>
      <c r="F1040" t="s">
        <v>247</v>
      </c>
    </row>
    <row r="1041" spans="2:6" x14ac:dyDescent="0.15">
      <c r="B1041" t="s">
        <v>256</v>
      </c>
      <c r="C1041">
        <v>-5.17</v>
      </c>
      <c r="D1041">
        <v>-16.670000000000002</v>
      </c>
      <c r="E1041">
        <v>-11.5</v>
      </c>
      <c r="F1041" t="s">
        <v>256</v>
      </c>
    </row>
    <row r="1042" spans="2:6" x14ac:dyDescent="0.15">
      <c r="B1042" t="s">
        <v>134</v>
      </c>
      <c r="C1042">
        <v>-7.53</v>
      </c>
      <c r="D1042">
        <v>-16.95</v>
      </c>
      <c r="E1042">
        <v>-9.42</v>
      </c>
      <c r="F1042" t="s">
        <v>836</v>
      </c>
    </row>
    <row r="1043" spans="2:6" x14ac:dyDescent="0.15">
      <c r="B1043" t="s">
        <v>135</v>
      </c>
      <c r="C1043">
        <v>-8.25</v>
      </c>
      <c r="D1043">
        <v>-21.44</v>
      </c>
      <c r="E1043">
        <v>-13.19</v>
      </c>
      <c r="F1043" t="s">
        <v>135</v>
      </c>
    </row>
    <row r="1044" spans="2:6" x14ac:dyDescent="0.15">
      <c r="B1044" t="s">
        <v>136</v>
      </c>
      <c r="C1044">
        <v>-24.06</v>
      </c>
      <c r="D1044">
        <v>-12.48</v>
      </c>
      <c r="E1044">
        <v>11.58</v>
      </c>
      <c r="F1044" t="s">
        <v>136</v>
      </c>
    </row>
    <row r="1045" spans="2:6" x14ac:dyDescent="0.15">
      <c r="B1045" t="s">
        <v>137</v>
      </c>
      <c r="C1045">
        <v>-9.4499999999999993</v>
      </c>
      <c r="D1045">
        <v>-9.6999999999999993</v>
      </c>
      <c r="E1045">
        <v>-0.26</v>
      </c>
      <c r="F1045" t="s">
        <v>138</v>
      </c>
    </row>
    <row r="1046" spans="2:6" x14ac:dyDescent="0.15">
      <c r="B1046" t="s">
        <v>319</v>
      </c>
      <c r="C1046">
        <v>-20.72</v>
      </c>
      <c r="D1046">
        <v>-17.100000000000001</v>
      </c>
      <c r="E1046">
        <v>3.62</v>
      </c>
      <c r="F1046" t="s">
        <v>319</v>
      </c>
    </row>
    <row r="1047" spans="2:6" x14ac:dyDescent="0.15">
      <c r="B1047" t="s">
        <v>139</v>
      </c>
      <c r="C1047">
        <v>-13.61</v>
      </c>
      <c r="D1047">
        <v>-15.75</v>
      </c>
      <c r="E1047">
        <v>-2.14</v>
      </c>
      <c r="F1047" t="s">
        <v>140</v>
      </c>
    </row>
    <row r="1048" spans="2:6" x14ac:dyDescent="0.15">
      <c r="B1048" t="s">
        <v>141</v>
      </c>
      <c r="C1048">
        <v>-6.42</v>
      </c>
      <c r="D1048">
        <v>-11.04</v>
      </c>
      <c r="E1048">
        <v>-4.62</v>
      </c>
      <c r="F1048" t="s">
        <v>142</v>
      </c>
    </row>
    <row r="1049" spans="2:6" x14ac:dyDescent="0.15">
      <c r="B1049" t="s">
        <v>329</v>
      </c>
      <c r="C1049">
        <v>-12.73</v>
      </c>
      <c r="D1049">
        <v>-26.06</v>
      </c>
      <c r="E1049">
        <v>-13.33</v>
      </c>
      <c r="F1049" t="s">
        <v>329</v>
      </c>
    </row>
    <row r="1050" spans="2:6" x14ac:dyDescent="0.15">
      <c r="B1050" t="s">
        <v>143</v>
      </c>
      <c r="C1050">
        <v>-9.86</v>
      </c>
      <c r="D1050">
        <v>-8.2899999999999991</v>
      </c>
      <c r="E1050">
        <v>1.57</v>
      </c>
      <c r="F1050" t="s">
        <v>144</v>
      </c>
    </row>
    <row r="1051" spans="2:6" x14ac:dyDescent="0.15">
      <c r="B1051" t="s">
        <v>248</v>
      </c>
      <c r="C1051">
        <v>-15.45</v>
      </c>
      <c r="D1051">
        <v>-59.78</v>
      </c>
      <c r="E1051">
        <v>-44.33</v>
      </c>
      <c r="F1051" t="s">
        <v>249</v>
      </c>
    </row>
    <row r="1052" spans="2:6" x14ac:dyDescent="0.15">
      <c r="B1052" t="s">
        <v>145</v>
      </c>
      <c r="C1052">
        <v>-22.26</v>
      </c>
      <c r="D1052">
        <v>-3.24</v>
      </c>
      <c r="E1052">
        <v>19.03</v>
      </c>
      <c r="F1052" t="s">
        <v>146</v>
      </c>
    </row>
    <row r="1053" spans="2:6" x14ac:dyDescent="0.15">
      <c r="B1053" t="s">
        <v>147</v>
      </c>
      <c r="C1053">
        <v>-23.81</v>
      </c>
      <c r="D1053">
        <v>10.69</v>
      </c>
      <c r="E1053">
        <v>34.5</v>
      </c>
      <c r="F1053" t="s">
        <v>148</v>
      </c>
    </row>
    <row r="1054" spans="2:6" x14ac:dyDescent="0.15">
      <c r="B1054" t="s">
        <v>149</v>
      </c>
      <c r="C1054">
        <v>-6.03</v>
      </c>
      <c r="D1054">
        <v>-12.04</v>
      </c>
      <c r="E1054">
        <v>-6.01</v>
      </c>
      <c r="F1054" t="s">
        <v>150</v>
      </c>
    </row>
    <row r="1055" spans="2:6" x14ac:dyDescent="0.15">
      <c r="B1055" t="s">
        <v>151</v>
      </c>
      <c r="C1055">
        <v>-29.56</v>
      </c>
      <c r="D1055">
        <v>-22.72</v>
      </c>
      <c r="E1055">
        <v>6.85</v>
      </c>
      <c r="F1055" t="s">
        <v>278</v>
      </c>
    </row>
    <row r="1056" spans="2:6" x14ac:dyDescent="0.15">
      <c r="B1056" t="s">
        <v>152</v>
      </c>
      <c r="C1056">
        <v>-9.1199999999999992</v>
      </c>
      <c r="D1056">
        <v>-10.97</v>
      </c>
      <c r="E1056">
        <v>-1.85</v>
      </c>
      <c r="F1056" t="s">
        <v>153</v>
      </c>
    </row>
    <row r="1057" spans="2:6" x14ac:dyDescent="0.15">
      <c r="B1057" t="s">
        <v>154</v>
      </c>
      <c r="C1057">
        <v>-18.059999999999999</v>
      </c>
      <c r="D1057">
        <v>-26.06</v>
      </c>
      <c r="E1057">
        <v>-8</v>
      </c>
      <c r="F1057" t="s">
        <v>154</v>
      </c>
    </row>
    <row r="1058" spans="2:6" x14ac:dyDescent="0.15">
      <c r="B1058" t="s">
        <v>155</v>
      </c>
      <c r="C1058">
        <v>-14.42</v>
      </c>
      <c r="D1058">
        <v>-16.68</v>
      </c>
      <c r="E1058">
        <v>-2.2599999999999998</v>
      </c>
      <c r="F1058" t="s">
        <v>156</v>
      </c>
    </row>
    <row r="1059" spans="2:6" x14ac:dyDescent="0.15">
      <c r="B1059" t="s">
        <v>157</v>
      </c>
      <c r="C1059">
        <v>-24.25</v>
      </c>
      <c r="D1059">
        <v>-41.37</v>
      </c>
      <c r="E1059">
        <v>-17.12</v>
      </c>
      <c r="F1059" t="s">
        <v>157</v>
      </c>
    </row>
    <row r="1060" spans="2:6" x14ac:dyDescent="0.15">
      <c r="B1060" t="s">
        <v>158</v>
      </c>
      <c r="C1060">
        <v>-16.89</v>
      </c>
      <c r="D1060">
        <v>-15.3</v>
      </c>
      <c r="E1060">
        <v>1.58</v>
      </c>
      <c r="F1060" t="s">
        <v>158</v>
      </c>
    </row>
    <row r="1061" spans="2:6" x14ac:dyDescent="0.15">
      <c r="B1061" t="s">
        <v>159</v>
      </c>
      <c r="C1061">
        <v>-16.53</v>
      </c>
      <c r="D1061">
        <v>-15.3</v>
      </c>
      <c r="E1061">
        <v>1.22</v>
      </c>
      <c r="F1061" t="s">
        <v>159</v>
      </c>
    </row>
    <row r="1062" spans="2:6" x14ac:dyDescent="0.15">
      <c r="B1062" t="s">
        <v>160</v>
      </c>
      <c r="C1062">
        <v>-11.4</v>
      </c>
      <c r="D1062">
        <v>-18.52</v>
      </c>
      <c r="E1062">
        <v>-7.13</v>
      </c>
      <c r="F1062" t="s">
        <v>284</v>
      </c>
    </row>
    <row r="1063" spans="2:6" x14ac:dyDescent="0.15">
      <c r="B1063" t="s">
        <v>161</v>
      </c>
      <c r="C1063">
        <v>-8.61</v>
      </c>
      <c r="D1063">
        <v>-10.53</v>
      </c>
      <c r="E1063">
        <v>-1.92</v>
      </c>
      <c r="F1063" t="s">
        <v>162</v>
      </c>
    </row>
    <row r="1064" spans="2:6" x14ac:dyDescent="0.15">
      <c r="B1064" t="s">
        <v>106</v>
      </c>
      <c r="C1064">
        <v>-8.64</v>
      </c>
      <c r="D1064">
        <v>5.04</v>
      </c>
      <c r="E1064">
        <v>13.68</v>
      </c>
      <c r="F1064" t="s">
        <v>106</v>
      </c>
    </row>
    <row r="1065" spans="2:6" x14ac:dyDescent="0.15">
      <c r="B1065" t="s">
        <v>250</v>
      </c>
      <c r="C1065">
        <v>-29.05</v>
      </c>
      <c r="D1065">
        <v>-60.35</v>
      </c>
      <c r="E1065">
        <v>-31.3</v>
      </c>
      <c r="F1065" t="s">
        <v>250</v>
      </c>
    </row>
    <row r="1066" spans="2:6" x14ac:dyDescent="0.15">
      <c r="B1066" t="s">
        <v>163</v>
      </c>
      <c r="C1066">
        <v>-33.549999999999997</v>
      </c>
      <c r="D1066">
        <v>-1.55</v>
      </c>
      <c r="E1066">
        <v>32</v>
      </c>
      <c r="F1066" t="s">
        <v>163</v>
      </c>
    </row>
    <row r="1067" spans="2:6" x14ac:dyDescent="0.15">
      <c r="B1067" t="s">
        <v>258</v>
      </c>
      <c r="C1067">
        <v>-9.76</v>
      </c>
      <c r="D1067">
        <v>-16.239999999999998</v>
      </c>
      <c r="E1067">
        <v>-6.48</v>
      </c>
      <c r="F1067" t="s">
        <v>258</v>
      </c>
    </row>
    <row r="1068" spans="2:6" x14ac:dyDescent="0.15">
      <c r="B1068" t="s">
        <v>164</v>
      </c>
      <c r="C1068">
        <v>-9.86</v>
      </c>
      <c r="D1068">
        <v>-21.02</v>
      </c>
      <c r="E1068">
        <v>-11.15</v>
      </c>
      <c r="F1068" t="s">
        <v>164</v>
      </c>
    </row>
    <row r="1069" spans="2:6" x14ac:dyDescent="0.15">
      <c r="B1069" t="s">
        <v>461</v>
      </c>
      <c r="C1069">
        <v>-39.99</v>
      </c>
      <c r="D1069">
        <v>48.4</v>
      </c>
      <c r="E1069">
        <v>88.39</v>
      </c>
      <c r="F1069" t="s">
        <v>109</v>
      </c>
    </row>
    <row r="1070" spans="2:6" x14ac:dyDescent="0.15">
      <c r="B1070" t="s">
        <v>165</v>
      </c>
      <c r="C1070">
        <v>-13.31</v>
      </c>
      <c r="D1070">
        <v>10.69</v>
      </c>
      <c r="E1070">
        <v>24</v>
      </c>
      <c r="F1070" t="s">
        <v>166</v>
      </c>
    </row>
    <row r="1071" spans="2:6" x14ac:dyDescent="0.15">
      <c r="B1071" t="s">
        <v>167</v>
      </c>
      <c r="C1071">
        <v>-14.6</v>
      </c>
      <c r="D1071">
        <v>-16.68</v>
      </c>
      <c r="E1071">
        <v>-2.08</v>
      </c>
      <c r="F1071" t="s">
        <v>168</v>
      </c>
    </row>
    <row r="1072" spans="2:6" x14ac:dyDescent="0.15">
      <c r="B1072" t="s">
        <v>169</v>
      </c>
      <c r="C1072">
        <v>-5.46</v>
      </c>
      <c r="D1072">
        <v>-15.31</v>
      </c>
      <c r="E1072">
        <v>-9.85</v>
      </c>
      <c r="F1072" t="s">
        <v>257</v>
      </c>
    </row>
    <row r="1073" spans="2:6" x14ac:dyDescent="0.15">
      <c r="B1073" t="s">
        <v>170</v>
      </c>
      <c r="C1073">
        <v>-3.62</v>
      </c>
      <c r="D1073">
        <v>4.62</v>
      </c>
      <c r="E1073">
        <v>8.25</v>
      </c>
      <c r="F1073" t="s">
        <v>171</v>
      </c>
    </row>
    <row r="1074" spans="2:6" x14ac:dyDescent="0.15">
      <c r="B1074" t="s">
        <v>172</v>
      </c>
      <c r="C1074">
        <v>-11.37</v>
      </c>
      <c r="D1074">
        <v>-10.97</v>
      </c>
      <c r="E1074">
        <v>0.41</v>
      </c>
      <c r="F1074" t="s">
        <v>173</v>
      </c>
    </row>
    <row r="1075" spans="2:6" x14ac:dyDescent="0.15">
      <c r="B1075" t="s">
        <v>174</v>
      </c>
      <c r="C1075">
        <v>-11.26</v>
      </c>
      <c r="D1075">
        <v>-10.53</v>
      </c>
      <c r="E1075">
        <v>0.73</v>
      </c>
      <c r="F1075" t="s">
        <v>175</v>
      </c>
    </row>
    <row r="1076" spans="2:6" x14ac:dyDescent="0.15">
      <c r="B1076" t="s">
        <v>176</v>
      </c>
      <c r="C1076">
        <v>-6.19</v>
      </c>
      <c r="D1076">
        <v>5.98</v>
      </c>
      <c r="E1076">
        <v>12.17</v>
      </c>
      <c r="F1076" t="s">
        <v>177</v>
      </c>
    </row>
    <row r="1077" spans="2:6" x14ac:dyDescent="0.15">
      <c r="B1077" t="s">
        <v>178</v>
      </c>
      <c r="C1077">
        <v>-20.45</v>
      </c>
      <c r="D1077">
        <v>-15.75</v>
      </c>
      <c r="E1077">
        <v>4.7</v>
      </c>
      <c r="F1077" t="s">
        <v>111</v>
      </c>
    </row>
    <row r="1078" spans="2:6" x14ac:dyDescent="0.15">
      <c r="B1078" t="s">
        <v>116</v>
      </c>
      <c r="C1078">
        <v>-6.22</v>
      </c>
      <c r="D1078">
        <v>5.98</v>
      </c>
      <c r="E1078">
        <v>12.2</v>
      </c>
      <c r="F1078" t="s">
        <v>116</v>
      </c>
    </row>
    <row r="1079" spans="2:6" x14ac:dyDescent="0.15">
      <c r="B1079" t="s">
        <v>180</v>
      </c>
      <c r="C1079">
        <v>-7.25</v>
      </c>
      <c r="D1079">
        <v>5.98</v>
      </c>
      <c r="E1079">
        <v>13.22</v>
      </c>
      <c r="F1079" t="s">
        <v>116</v>
      </c>
    </row>
    <row r="1080" spans="2:6" x14ac:dyDescent="0.15">
      <c r="B1080" t="s">
        <v>181</v>
      </c>
      <c r="C1080">
        <v>-6.55</v>
      </c>
      <c r="D1080">
        <v>5.98</v>
      </c>
      <c r="E1080">
        <v>12.53</v>
      </c>
      <c r="F1080" t="s">
        <v>116</v>
      </c>
    </row>
    <row r="1081" spans="2:6" x14ac:dyDescent="0.15">
      <c r="B1081" t="s">
        <v>182</v>
      </c>
      <c r="C1081">
        <v>-6.32</v>
      </c>
      <c r="D1081">
        <v>5.98</v>
      </c>
      <c r="E1081">
        <v>12.29</v>
      </c>
      <c r="F1081" t="s">
        <v>116</v>
      </c>
    </row>
    <row r="1082" spans="2:6" x14ac:dyDescent="0.15">
      <c r="B1082" t="s">
        <v>183</v>
      </c>
      <c r="C1082">
        <v>-5.76</v>
      </c>
      <c r="D1082">
        <v>5.98</v>
      </c>
      <c r="E1082">
        <v>11.73</v>
      </c>
      <c r="F1082" t="s">
        <v>116</v>
      </c>
    </row>
    <row r="1083" spans="2:6" x14ac:dyDescent="0.15">
      <c r="B1083" t="s">
        <v>184</v>
      </c>
      <c r="C1083">
        <v>-17.28</v>
      </c>
      <c r="D1083">
        <v>-9.7799999999999994</v>
      </c>
      <c r="E1083">
        <v>7.5</v>
      </c>
      <c r="F1083" t="s">
        <v>184</v>
      </c>
    </row>
    <row r="1084" spans="2:6" x14ac:dyDescent="0.15">
      <c r="B1084" t="s">
        <v>185</v>
      </c>
      <c r="C1084">
        <v>-16.91</v>
      </c>
      <c r="D1084">
        <v>-1.72</v>
      </c>
      <c r="E1084">
        <v>15.19</v>
      </c>
      <c r="F1084" t="s">
        <v>185</v>
      </c>
    </row>
    <row r="1085" spans="2:6" x14ac:dyDescent="0.15">
      <c r="B1085" t="s">
        <v>251</v>
      </c>
      <c r="C1085">
        <v>-22.13</v>
      </c>
      <c r="D1085">
        <v>-57.55</v>
      </c>
      <c r="E1085">
        <v>-35.42</v>
      </c>
      <c r="F1085" t="s">
        <v>251</v>
      </c>
    </row>
    <row r="1086" spans="2:6" x14ac:dyDescent="0.15">
      <c r="B1086" t="s">
        <v>186</v>
      </c>
      <c r="C1086">
        <v>-46.84</v>
      </c>
      <c r="D1086">
        <v>-25.53</v>
      </c>
      <c r="E1086">
        <v>21.31</v>
      </c>
      <c r="F1086" t="s">
        <v>186</v>
      </c>
    </row>
    <row r="1087" spans="2:6" x14ac:dyDescent="0.15">
      <c r="B1087" t="s">
        <v>187</v>
      </c>
      <c r="C1087">
        <v>-26.23</v>
      </c>
      <c r="D1087">
        <v>2.17</v>
      </c>
      <c r="E1087">
        <v>28.4</v>
      </c>
      <c r="F1087" t="s">
        <v>187</v>
      </c>
    </row>
    <row r="1088" spans="2:6" x14ac:dyDescent="0.15">
      <c r="B1088" t="s">
        <v>188</v>
      </c>
      <c r="C1088">
        <v>-35.97</v>
      </c>
      <c r="D1088">
        <v>2.5299999999999998</v>
      </c>
      <c r="E1088">
        <v>38.5</v>
      </c>
      <c r="F1088" t="s">
        <v>188</v>
      </c>
    </row>
    <row r="1089" spans="1:6" x14ac:dyDescent="0.15">
      <c r="B1089" t="s">
        <v>277</v>
      </c>
      <c r="C1089">
        <v>-29.09</v>
      </c>
      <c r="D1089">
        <v>-21.37</v>
      </c>
      <c r="E1089">
        <v>7.72</v>
      </c>
      <c r="F1089" t="s">
        <v>277</v>
      </c>
    </row>
    <row r="1090" spans="1:6" x14ac:dyDescent="0.15">
      <c r="B1090" t="s">
        <v>189</v>
      </c>
      <c r="C1090">
        <v>-5.05</v>
      </c>
      <c r="D1090">
        <v>-15.31</v>
      </c>
      <c r="E1090">
        <v>-10.26</v>
      </c>
      <c r="F1090" t="s">
        <v>189</v>
      </c>
    </row>
    <row r="1091" spans="1:6" x14ac:dyDescent="0.15">
      <c r="B1091" t="s">
        <v>190</v>
      </c>
      <c r="C1091">
        <v>-45.44</v>
      </c>
      <c r="D1091">
        <v>-18.22</v>
      </c>
      <c r="E1091">
        <v>27.21</v>
      </c>
      <c r="F1091" t="s">
        <v>847</v>
      </c>
    </row>
    <row r="1092" spans="1:6" x14ac:dyDescent="0.15">
      <c r="B1092" t="s">
        <v>191</v>
      </c>
      <c r="C1092">
        <v>-10.06</v>
      </c>
      <c r="D1092">
        <v>-20.09</v>
      </c>
      <c r="E1092">
        <v>-10.029999999999999</v>
      </c>
      <c r="F1092" t="s">
        <v>191</v>
      </c>
    </row>
    <row r="1093" spans="1:6" x14ac:dyDescent="0.15">
      <c r="B1093" t="s">
        <v>192</v>
      </c>
      <c r="C1093">
        <v>-6.04</v>
      </c>
      <c r="D1093">
        <v>5.98</v>
      </c>
      <c r="E1093">
        <v>12.01</v>
      </c>
      <c r="F1093" t="s">
        <v>177</v>
      </c>
    </row>
    <row r="1094" spans="1:6" x14ac:dyDescent="0.15">
      <c r="B1094" t="s">
        <v>193</v>
      </c>
      <c r="C1094">
        <v>-15.52</v>
      </c>
      <c r="D1094">
        <v>-15.75</v>
      </c>
      <c r="E1094">
        <v>-0.23</v>
      </c>
      <c r="F1094" t="s">
        <v>193</v>
      </c>
    </row>
    <row r="1097" spans="1:6" x14ac:dyDescent="0.15">
      <c r="A1097" t="s">
        <v>252</v>
      </c>
    </row>
    <row r="1098" spans="1:6" x14ac:dyDescent="0.15">
      <c r="A1098" t="s">
        <v>479</v>
      </c>
      <c r="B1098" t="s">
        <v>480</v>
      </c>
      <c r="C1098" t="s">
        <v>253</v>
      </c>
      <c r="D1098" t="s">
        <v>483</v>
      </c>
    </row>
    <row r="1099" spans="1:6" x14ac:dyDescent="0.15">
      <c r="A1099" t="s">
        <v>252</v>
      </c>
    </row>
    <row r="1101" spans="1:6" x14ac:dyDescent="0.15">
      <c r="A1101" t="s">
        <v>254</v>
      </c>
      <c r="B1101" t="s">
        <v>33</v>
      </c>
      <c r="C1101">
        <v>1</v>
      </c>
    </row>
    <row r="1103" spans="1:6" x14ac:dyDescent="0.15">
      <c r="A1103" t="s">
        <v>34</v>
      </c>
      <c r="B1103" t="s">
        <v>35</v>
      </c>
      <c r="C1103">
        <v>1</v>
      </c>
    </row>
    <row r="1105" spans="1:6" x14ac:dyDescent="0.15">
      <c r="A1105" t="s">
        <v>36</v>
      </c>
      <c r="B1105">
        <v>1</v>
      </c>
    </row>
    <row r="1107" spans="1:6" x14ac:dyDescent="0.15">
      <c r="B1107" s="169">
        <v>0.4</v>
      </c>
      <c r="C1107" t="s">
        <v>37</v>
      </c>
      <c r="D1107">
        <v>1</v>
      </c>
      <c r="E1107" t="s">
        <v>202</v>
      </c>
      <c r="F1107" t="s">
        <v>458</v>
      </c>
    </row>
    <row r="1108" spans="1:6" x14ac:dyDescent="0.15">
      <c r="B1108" s="169">
        <v>0.6</v>
      </c>
      <c r="C1108" t="s">
        <v>37</v>
      </c>
      <c r="D1108">
        <v>2</v>
      </c>
      <c r="E1108" t="s">
        <v>230</v>
      </c>
    </row>
    <row r="1110" spans="1:6" x14ac:dyDescent="0.15">
      <c r="A1110" t="e">
        <f>-----------------------------Solution</f>
        <v>#NAME?</v>
      </c>
      <c r="B1110" t="s">
        <v>204</v>
      </c>
    </row>
    <row r="1112" spans="1:6" x14ac:dyDescent="0.15">
      <c r="B1112" t="s">
        <v>205</v>
      </c>
      <c r="C1112" t="s">
        <v>206</v>
      </c>
      <c r="D1112" t="s">
        <v>207</v>
      </c>
    </row>
    <row r="1114" spans="1:6" x14ac:dyDescent="0.15">
      <c r="B1114" t="s">
        <v>38</v>
      </c>
      <c r="C1114" s="169">
        <v>1.2260000000000001E-3</v>
      </c>
      <c r="D1114" s="169">
        <v>1.2260000000000001E-3</v>
      </c>
    </row>
    <row r="1115" spans="1:6" x14ac:dyDescent="0.15">
      <c r="B1115" t="s">
        <v>664</v>
      </c>
      <c r="C1115" s="169">
        <v>1.6570000000000001E-3</v>
      </c>
      <c r="D1115" s="169">
        <v>1.6570000000000001E-3</v>
      </c>
    </row>
    <row r="1116" spans="1:6" x14ac:dyDescent="0.15">
      <c r="B1116" t="s">
        <v>658</v>
      </c>
      <c r="C1116" s="169">
        <v>1.2130000000000001E-3</v>
      </c>
      <c r="D1116" s="169">
        <v>1.2130000000000001E-3</v>
      </c>
    </row>
    <row r="1117" spans="1:6" x14ac:dyDescent="0.15">
      <c r="B1117" t="s">
        <v>671</v>
      </c>
      <c r="C1117" s="169">
        <v>5.2940000000000001E-9</v>
      </c>
      <c r="D1117" s="169">
        <v>5.2940000000000001E-9</v>
      </c>
    </row>
    <row r="1118" spans="1:6" x14ac:dyDescent="0.15">
      <c r="B1118" t="s">
        <v>836</v>
      </c>
      <c r="C1118" s="169">
        <v>6.137E-8</v>
      </c>
      <c r="D1118" s="169">
        <v>6.137E-8</v>
      </c>
    </row>
    <row r="1119" spans="1:6" x14ac:dyDescent="0.15">
      <c r="B1119" t="s">
        <v>837</v>
      </c>
      <c r="C1119" s="169">
        <v>6.7329999999999995E-8</v>
      </c>
      <c r="D1119" s="169">
        <v>6.7329999999999995E-8</v>
      </c>
    </row>
    <row r="1120" spans="1:6" x14ac:dyDescent="0.15">
      <c r="B1120" t="s">
        <v>39</v>
      </c>
      <c r="C1120" s="169">
        <v>1.761E-4</v>
      </c>
      <c r="D1120" s="169">
        <v>1.761E-4</v>
      </c>
    </row>
    <row r="1121" spans="1:7" x14ac:dyDescent="0.15">
      <c r="B1121" t="s">
        <v>667</v>
      </c>
      <c r="C1121" s="169">
        <v>2.0830000000000002E-3</v>
      </c>
      <c r="D1121" s="169">
        <v>2.0830000000000002E-3</v>
      </c>
    </row>
    <row r="1122" spans="1:7" x14ac:dyDescent="0.15">
      <c r="B1122" t="s">
        <v>838</v>
      </c>
      <c r="C1122" s="169">
        <v>5.7930000000000002E-9</v>
      </c>
      <c r="D1122" s="169">
        <v>5.7930000000000002E-9</v>
      </c>
    </row>
    <row r="1123" spans="1:7" x14ac:dyDescent="0.15">
      <c r="B1123" t="s">
        <v>547</v>
      </c>
      <c r="C1123" s="169">
        <v>5.1659999999999995E-7</v>
      </c>
      <c r="D1123" s="169">
        <v>5.1659999999999995E-7</v>
      </c>
    </row>
    <row r="1124" spans="1:7" x14ac:dyDescent="0.15">
      <c r="B1124" t="s">
        <v>581</v>
      </c>
      <c r="C1124" s="169">
        <v>1.464E-3</v>
      </c>
      <c r="D1124" s="169">
        <v>1.464E-3</v>
      </c>
    </row>
    <row r="1125" spans="1:7" x14ac:dyDescent="0.15">
      <c r="B1125" t="s">
        <v>847</v>
      </c>
      <c r="C1125" s="169">
        <v>4.374E-8</v>
      </c>
      <c r="D1125" s="169">
        <v>4.374E-8</v>
      </c>
    </row>
    <row r="1127" spans="1:7" x14ac:dyDescent="0.15">
      <c r="A1127" t="e">
        <f>----------------------------Description</f>
        <v>#NAME?</v>
      </c>
      <c r="B1127" t="s">
        <v>480</v>
      </c>
      <c r="C1127" t="s">
        <v>210</v>
      </c>
    </row>
    <row r="1129" spans="1:7" x14ac:dyDescent="0.15">
      <c r="B1129" t="s">
        <v>698</v>
      </c>
      <c r="C1129" t="s">
        <v>211</v>
      </c>
      <c r="D1129">
        <v>7.2539999999999996</v>
      </c>
      <c r="E1129" t="s">
        <v>208</v>
      </c>
      <c r="F1129" t="s">
        <v>209</v>
      </c>
    </row>
    <row r="1130" spans="1:7" x14ac:dyDescent="0.15">
      <c r="B1130" t="s">
        <v>460</v>
      </c>
      <c r="C1130" t="s">
        <v>211</v>
      </c>
      <c r="D1130">
        <v>14.478</v>
      </c>
      <c r="E1130" t="s">
        <v>40</v>
      </c>
      <c r="F1130" t="s">
        <v>41</v>
      </c>
      <c r="G1130" t="s">
        <v>462</v>
      </c>
    </row>
    <row r="1131" spans="1:7" x14ac:dyDescent="0.15">
      <c r="B1131" t="s">
        <v>214</v>
      </c>
      <c r="C1131" t="s">
        <v>480</v>
      </c>
      <c r="D1131" t="s">
        <v>473</v>
      </c>
      <c r="E1131" t="s">
        <v>211</v>
      </c>
      <c r="F1131">
        <v>1</v>
      </c>
    </row>
    <row r="1132" spans="1:7" x14ac:dyDescent="0.15">
      <c r="B1132" t="s">
        <v>215</v>
      </c>
      <c r="C1132" t="s">
        <v>216</v>
      </c>
      <c r="D1132" t="s">
        <v>211</v>
      </c>
      <c r="E1132" s="169">
        <v>7.7530000000000003E-3</v>
      </c>
    </row>
    <row r="1133" spans="1:7" x14ac:dyDescent="0.15">
      <c r="B1133" t="s">
        <v>217</v>
      </c>
      <c r="C1133" t="s">
        <v>480</v>
      </c>
      <c r="D1133" t="s">
        <v>473</v>
      </c>
      <c r="E1133" t="s">
        <v>218</v>
      </c>
      <c r="F1133" t="s">
        <v>211</v>
      </c>
      <c r="G1133" s="169">
        <v>1</v>
      </c>
    </row>
    <row r="1134" spans="1:7" x14ac:dyDescent="0.15">
      <c r="B1134" t="s">
        <v>1228</v>
      </c>
      <c r="C1134" t="s">
        <v>42</v>
      </c>
      <c r="D1134" t="s">
        <v>43</v>
      </c>
      <c r="E1134" t="s">
        <v>211</v>
      </c>
      <c r="F1134" s="169">
        <v>1.08E-3</v>
      </c>
    </row>
    <row r="1135" spans="1:7" x14ac:dyDescent="0.15">
      <c r="B1135" t="s">
        <v>1228</v>
      </c>
      <c r="C1135" t="s">
        <v>221</v>
      </c>
      <c r="D1135" t="s">
        <v>220</v>
      </c>
      <c r="E1135" t="s">
        <v>211</v>
      </c>
      <c r="F1135" s="169">
        <v>1.2260000000000001E-3</v>
      </c>
    </row>
    <row r="1136" spans="1:7" x14ac:dyDescent="0.15">
      <c r="B1136" t="s">
        <v>222</v>
      </c>
      <c r="C1136" t="s">
        <v>223</v>
      </c>
      <c r="D1136" t="s">
        <v>224</v>
      </c>
      <c r="E1136" t="s">
        <v>211</v>
      </c>
      <c r="F1136">
        <v>10</v>
      </c>
    </row>
    <row r="1137" spans="1:7" x14ac:dyDescent="0.15">
      <c r="B1137" t="s">
        <v>225</v>
      </c>
      <c r="C1137" t="s">
        <v>209</v>
      </c>
      <c r="D1137" t="s">
        <v>226</v>
      </c>
      <c r="E1137" t="s">
        <v>211</v>
      </c>
      <c r="F1137" s="169">
        <v>-1.951E-13</v>
      </c>
    </row>
    <row r="1138" spans="1:7" x14ac:dyDescent="0.15">
      <c r="B1138" t="s">
        <v>227</v>
      </c>
      <c r="C1138" t="s">
        <v>228</v>
      </c>
      <c r="D1138" t="s">
        <v>229</v>
      </c>
      <c r="E1138" t="s">
        <v>211</v>
      </c>
      <c r="F1138">
        <v>0</v>
      </c>
    </row>
    <row r="1139" spans="1:7" x14ac:dyDescent="0.15">
      <c r="B1139" t="s">
        <v>497</v>
      </c>
      <c r="C1139" t="s">
        <v>211</v>
      </c>
      <c r="D1139">
        <v>11</v>
      </c>
    </row>
    <row r="1140" spans="1:7" x14ac:dyDescent="0.15">
      <c r="B1140" t="s">
        <v>1228</v>
      </c>
      <c r="C1140" t="s">
        <v>498</v>
      </c>
      <c r="D1140" t="s">
        <v>211</v>
      </c>
      <c r="E1140" s="169">
        <v>111.0151</v>
      </c>
    </row>
    <row r="1141" spans="1:7" x14ac:dyDescent="0.15">
      <c r="B1141" t="s">
        <v>1228</v>
      </c>
      <c r="C1141" t="s">
        <v>499</v>
      </c>
      <c r="D1141" t="s">
        <v>211</v>
      </c>
      <c r="E1141" s="169">
        <v>55.517490000000002</v>
      </c>
    </row>
    <row r="1143" spans="1:7" x14ac:dyDescent="0.15">
      <c r="A1143" t="e">
        <f>----------------------------Distribution</f>
        <v>#NAME?</v>
      </c>
      <c r="B1143" t="s">
        <v>480</v>
      </c>
      <c r="C1143" t="s">
        <v>507</v>
      </c>
    </row>
    <row r="1145" spans="1:7" x14ac:dyDescent="0.15">
      <c r="B1145" t="s">
        <v>508</v>
      </c>
      <c r="C1145" t="s">
        <v>508</v>
      </c>
      <c r="D1145" t="s">
        <v>508</v>
      </c>
      <c r="E1145" t="s">
        <v>509</v>
      </c>
      <c r="F1145" t="s">
        <v>548</v>
      </c>
    </row>
    <row r="1146" spans="1:7" x14ac:dyDescent="0.15">
      <c r="B1146" t="s">
        <v>510</v>
      </c>
      <c r="C1146" t="s">
        <v>206</v>
      </c>
      <c r="D1146" t="s">
        <v>214</v>
      </c>
      <c r="E1146" t="s">
        <v>206</v>
      </c>
      <c r="F1146" t="s">
        <v>214</v>
      </c>
      <c r="G1146" t="s">
        <v>511</v>
      </c>
    </row>
    <row r="1148" spans="1:7" x14ac:dyDescent="0.15">
      <c r="B1148" t="s">
        <v>514</v>
      </c>
      <c r="C1148" s="169">
        <v>6.1029999999999998E-8</v>
      </c>
      <c r="D1148" s="169">
        <v>5.5780000000000001E-8</v>
      </c>
      <c r="E1148">
        <v>-7.2140000000000004</v>
      </c>
      <c r="F1148">
        <v>-7.2539999999999996</v>
      </c>
      <c r="G1148">
        <v>-3.9E-2</v>
      </c>
    </row>
    <row r="1149" spans="1:7" x14ac:dyDescent="0.15">
      <c r="B1149" t="s">
        <v>513</v>
      </c>
      <c r="C1149" s="169">
        <v>6.0030000000000002E-8</v>
      </c>
      <c r="D1149" s="169">
        <v>5.477E-8</v>
      </c>
      <c r="E1149">
        <v>-7.2220000000000004</v>
      </c>
      <c r="F1149">
        <v>-7.2610000000000001</v>
      </c>
      <c r="G1149">
        <v>-0.04</v>
      </c>
    </row>
    <row r="1150" spans="1:7" x14ac:dyDescent="0.15">
      <c r="B1150" t="s">
        <v>515</v>
      </c>
      <c r="C1150" s="169">
        <v>55.51</v>
      </c>
      <c r="D1150" s="169">
        <v>0.99990000000000001</v>
      </c>
      <c r="E1150">
        <v>1.744</v>
      </c>
      <c r="F1150">
        <v>0</v>
      </c>
      <c r="G1150">
        <v>0</v>
      </c>
    </row>
    <row r="1151" spans="1:7" x14ac:dyDescent="0.15">
      <c r="A1151" t="s">
        <v>516</v>
      </c>
      <c r="B1151" s="169">
        <v>1.2260000000000001E-3</v>
      </c>
    </row>
    <row r="1152" spans="1:7" x14ac:dyDescent="0.15">
      <c r="B1152" t="s">
        <v>517</v>
      </c>
      <c r="C1152" s="169">
        <v>1.062E-3</v>
      </c>
      <c r="D1152" s="169">
        <v>9.7300000000000002E-4</v>
      </c>
      <c r="E1152">
        <v>-2.9740000000000002</v>
      </c>
      <c r="F1152">
        <v>-3.012</v>
      </c>
      <c r="G1152">
        <v>-3.7999999999999999E-2</v>
      </c>
    </row>
    <row r="1153" spans="1:7" x14ac:dyDescent="0.15">
      <c r="B1153" t="s">
        <v>519</v>
      </c>
      <c r="C1153" s="169">
        <v>1.484E-4</v>
      </c>
      <c r="D1153" s="169">
        <v>1.484E-4</v>
      </c>
      <c r="E1153">
        <v>-3.8279999999999998</v>
      </c>
      <c r="F1153">
        <v>-3.8279999999999998</v>
      </c>
      <c r="G1153">
        <v>0</v>
      </c>
    </row>
    <row r="1154" spans="1:7" x14ac:dyDescent="0.15">
      <c r="B1154" t="s">
        <v>518</v>
      </c>
      <c r="C1154" s="169">
        <v>1.3149999999999999E-5</v>
      </c>
      <c r="D1154" s="169">
        <v>1.206E-5</v>
      </c>
      <c r="E1154">
        <v>-4.8810000000000002</v>
      </c>
      <c r="F1154">
        <v>-4.9189999999999996</v>
      </c>
      <c r="G1154">
        <v>-3.6999999999999998E-2</v>
      </c>
    </row>
    <row r="1155" spans="1:7" x14ac:dyDescent="0.15">
      <c r="B1155" t="s">
        <v>522</v>
      </c>
      <c r="C1155" s="169">
        <v>1.389E-6</v>
      </c>
      <c r="D1155" s="169">
        <v>1.389E-6</v>
      </c>
      <c r="E1155">
        <v>-5.8570000000000002</v>
      </c>
      <c r="F1155">
        <v>-5.8570000000000002</v>
      </c>
      <c r="G1155">
        <v>0</v>
      </c>
    </row>
    <row r="1156" spans="1:7" x14ac:dyDescent="0.15">
      <c r="B1156" t="s">
        <v>521</v>
      </c>
      <c r="C1156" s="169">
        <v>8.5840000000000001E-7</v>
      </c>
      <c r="D1156" s="169">
        <v>5.9869999999999998E-7</v>
      </c>
      <c r="E1156">
        <v>-6.0659999999999998</v>
      </c>
      <c r="F1156">
        <v>-6.2229999999999999</v>
      </c>
      <c r="G1156">
        <v>-0.157</v>
      </c>
    </row>
    <row r="1157" spans="1:7" x14ac:dyDescent="0.15">
      <c r="B1157" t="s">
        <v>520</v>
      </c>
      <c r="C1157" s="169">
        <v>6.8800000000000002E-7</v>
      </c>
      <c r="D1157" s="169">
        <v>6.8800000000000002E-7</v>
      </c>
      <c r="E1157">
        <v>-6.1619999999999999</v>
      </c>
      <c r="F1157">
        <v>-6.1619999999999999</v>
      </c>
      <c r="G1157">
        <v>0</v>
      </c>
    </row>
    <row r="1158" spans="1:7" x14ac:dyDescent="0.15">
      <c r="B1158" t="s">
        <v>256</v>
      </c>
      <c r="C1158" s="169">
        <v>3.934E-8</v>
      </c>
      <c r="D1158" s="169">
        <v>3.934E-8</v>
      </c>
      <c r="E1158">
        <v>-7.4050000000000002</v>
      </c>
      <c r="F1158">
        <v>-7.4050000000000002</v>
      </c>
      <c r="G1158">
        <v>0</v>
      </c>
    </row>
    <row r="1159" spans="1:7" x14ac:dyDescent="0.15">
      <c r="B1159" t="s">
        <v>255</v>
      </c>
      <c r="C1159" s="169">
        <v>3.5579999999999998E-8</v>
      </c>
      <c r="D1159" s="169">
        <v>3.2600000000000001E-8</v>
      </c>
      <c r="E1159">
        <v>-7.4489999999999998</v>
      </c>
      <c r="F1159">
        <v>-7.4870000000000001</v>
      </c>
      <c r="G1159">
        <v>-3.7999999999999999E-2</v>
      </c>
    </row>
    <row r="1160" spans="1:7" x14ac:dyDescent="0.15">
      <c r="B1160" t="s">
        <v>257</v>
      </c>
      <c r="C1160" s="169">
        <v>8.9880000000000004E-10</v>
      </c>
      <c r="D1160" s="169">
        <v>8.9880000000000004E-10</v>
      </c>
      <c r="E1160">
        <v>-9.0459999999999994</v>
      </c>
      <c r="F1160">
        <v>-9.0459999999999994</v>
      </c>
      <c r="G1160">
        <v>0</v>
      </c>
    </row>
    <row r="1161" spans="1:7" x14ac:dyDescent="0.15">
      <c r="B1161" t="s">
        <v>263</v>
      </c>
      <c r="C1161" s="169">
        <v>6.5000000000000003E-10</v>
      </c>
      <c r="D1161" s="169">
        <v>5.8760000000000002E-10</v>
      </c>
      <c r="E1161">
        <v>-9.1869999999999994</v>
      </c>
      <c r="F1161">
        <v>-9.2309999999999999</v>
      </c>
      <c r="G1161">
        <v>-4.3999999999999997E-2</v>
      </c>
    </row>
    <row r="1162" spans="1:7" x14ac:dyDescent="0.15">
      <c r="B1162" t="s">
        <v>264</v>
      </c>
      <c r="C1162" s="169">
        <v>5.5469999999999996E-10</v>
      </c>
      <c r="D1162" s="169">
        <v>5.0149999999999997E-10</v>
      </c>
      <c r="E1162">
        <v>-9.2560000000000002</v>
      </c>
      <c r="F1162">
        <v>-9.3000000000000007</v>
      </c>
      <c r="G1162">
        <v>-4.3999999999999997E-2</v>
      </c>
    </row>
    <row r="1163" spans="1:7" x14ac:dyDescent="0.15">
      <c r="B1163" t="s">
        <v>260</v>
      </c>
      <c r="C1163" s="169">
        <v>3.2820000000000001E-10</v>
      </c>
      <c r="D1163" s="169">
        <v>2.9670000000000002E-10</v>
      </c>
      <c r="E1163">
        <v>-9.484</v>
      </c>
      <c r="F1163">
        <v>-9.5280000000000005</v>
      </c>
      <c r="G1163">
        <v>-4.3999999999999997E-2</v>
      </c>
    </row>
    <row r="1164" spans="1:7" x14ac:dyDescent="0.15">
      <c r="B1164" t="s">
        <v>261</v>
      </c>
      <c r="C1164" s="169">
        <v>1.8720000000000001E-10</v>
      </c>
      <c r="D1164" s="169">
        <v>1.693E-10</v>
      </c>
      <c r="E1164">
        <v>-9.7279999999999998</v>
      </c>
      <c r="F1164">
        <v>-9.7710000000000008</v>
      </c>
      <c r="G1164">
        <v>-4.3999999999999997E-2</v>
      </c>
    </row>
    <row r="1165" spans="1:7" x14ac:dyDescent="0.15">
      <c r="B1165" t="s">
        <v>262</v>
      </c>
      <c r="C1165" s="169">
        <v>9.4909999999999998E-11</v>
      </c>
      <c r="D1165" s="169">
        <v>6.3380000000000005E-11</v>
      </c>
      <c r="E1165">
        <v>-10.023</v>
      </c>
      <c r="F1165">
        <v>-10.198</v>
      </c>
      <c r="G1165">
        <v>-0.17499999999999999</v>
      </c>
    </row>
    <row r="1166" spans="1:7" x14ac:dyDescent="0.15">
      <c r="B1166" t="s">
        <v>258</v>
      </c>
      <c r="C1166" s="169">
        <v>7.5469999999999999E-11</v>
      </c>
      <c r="D1166" s="169">
        <v>7.5469999999999999E-11</v>
      </c>
      <c r="E1166">
        <v>-10.122</v>
      </c>
      <c r="F1166">
        <v>-10.122</v>
      </c>
      <c r="G1166">
        <v>0</v>
      </c>
    </row>
    <row r="1167" spans="1:7" x14ac:dyDescent="0.15">
      <c r="B1167" t="s">
        <v>259</v>
      </c>
      <c r="C1167" s="169">
        <v>3.0920000000000002E-11</v>
      </c>
      <c r="D1167" s="169">
        <v>3.0920000000000002E-11</v>
      </c>
      <c r="E1167">
        <v>-10.51</v>
      </c>
      <c r="F1167">
        <v>-10.51</v>
      </c>
      <c r="G1167">
        <v>0</v>
      </c>
    </row>
    <row r="1168" spans="1:7" x14ac:dyDescent="0.15">
      <c r="A1168" t="s">
        <v>664</v>
      </c>
      <c r="B1168" s="169">
        <v>1.6570000000000001E-3</v>
      </c>
    </row>
    <row r="1169" spans="1:7" x14ac:dyDescent="0.15">
      <c r="B1169" t="s">
        <v>265</v>
      </c>
      <c r="C1169" s="169">
        <v>1.464E-3</v>
      </c>
      <c r="D1169" s="169">
        <v>1.021E-3</v>
      </c>
      <c r="E1169">
        <v>-2.835</v>
      </c>
      <c r="F1169">
        <v>-2.9910000000000001</v>
      </c>
      <c r="G1169">
        <v>-0.157</v>
      </c>
    </row>
    <row r="1170" spans="1:7" x14ac:dyDescent="0.15">
      <c r="B1170" t="s">
        <v>266</v>
      </c>
      <c r="C1170" s="169">
        <v>1.7870000000000001E-4</v>
      </c>
      <c r="D1170" s="169">
        <v>1.7870000000000001E-4</v>
      </c>
      <c r="E1170">
        <v>-3.7480000000000002</v>
      </c>
      <c r="F1170">
        <v>-3.7480000000000002</v>
      </c>
      <c r="G1170">
        <v>0</v>
      </c>
    </row>
    <row r="1171" spans="1:7" x14ac:dyDescent="0.15">
      <c r="B1171" t="s">
        <v>518</v>
      </c>
      <c r="C1171" s="169">
        <v>1.3149999999999999E-5</v>
      </c>
      <c r="D1171" s="169">
        <v>1.206E-5</v>
      </c>
      <c r="E1171">
        <v>-4.8810000000000002</v>
      </c>
      <c r="F1171">
        <v>-4.9189999999999996</v>
      </c>
      <c r="G1171">
        <v>-3.6999999999999998E-2</v>
      </c>
    </row>
    <row r="1172" spans="1:7" x14ac:dyDescent="0.15">
      <c r="B1172" t="s">
        <v>520</v>
      </c>
      <c r="C1172" s="169">
        <v>6.8800000000000002E-7</v>
      </c>
      <c r="D1172" s="169">
        <v>6.8800000000000002E-7</v>
      </c>
      <c r="E1172">
        <v>-6.1619999999999999</v>
      </c>
      <c r="F1172">
        <v>-6.1619999999999999</v>
      </c>
      <c r="G1172">
        <v>0</v>
      </c>
    </row>
    <row r="1173" spans="1:7" x14ac:dyDescent="0.15">
      <c r="B1173" t="s">
        <v>267</v>
      </c>
      <c r="C1173" s="169">
        <v>6.4239999999999998E-7</v>
      </c>
      <c r="D1173" s="169">
        <v>5.8070000000000001E-7</v>
      </c>
      <c r="E1173">
        <v>-6.1920000000000002</v>
      </c>
      <c r="F1173">
        <v>-6.2359999999999998</v>
      </c>
      <c r="G1173">
        <v>-4.3999999999999997E-2</v>
      </c>
    </row>
    <row r="1174" spans="1:7" x14ac:dyDescent="0.15">
      <c r="B1174" t="s">
        <v>232</v>
      </c>
      <c r="C1174" s="169">
        <v>6.5260000000000003E-8</v>
      </c>
      <c r="D1174" s="169">
        <v>6.5260000000000003E-8</v>
      </c>
      <c r="E1174">
        <v>-7.1849999999999996</v>
      </c>
      <c r="F1174">
        <v>-7.1849999999999996</v>
      </c>
      <c r="G1174">
        <v>0</v>
      </c>
    </row>
    <row r="1175" spans="1:7" x14ac:dyDescent="0.15">
      <c r="B1175" t="s">
        <v>234</v>
      </c>
      <c r="C1175" s="169">
        <v>3.2730000000000002E-9</v>
      </c>
      <c r="D1175" s="169">
        <v>2.9990000000000001E-9</v>
      </c>
      <c r="E1175">
        <v>-8.4849999999999994</v>
      </c>
      <c r="F1175">
        <v>-8.5229999999999997</v>
      </c>
      <c r="G1175">
        <v>-3.7999999999999999E-2</v>
      </c>
    </row>
    <row r="1176" spans="1:7" x14ac:dyDescent="0.15">
      <c r="B1176" t="s">
        <v>233</v>
      </c>
      <c r="C1176" s="169">
        <v>2.415E-9</v>
      </c>
      <c r="D1176" s="169">
        <v>2.2130000000000001E-9</v>
      </c>
      <c r="E1176">
        <v>-8.6170000000000009</v>
      </c>
      <c r="F1176">
        <v>-8.6549999999999994</v>
      </c>
      <c r="G1176">
        <v>-3.7999999999999999E-2</v>
      </c>
    </row>
    <row r="1177" spans="1:7" x14ac:dyDescent="0.15">
      <c r="B1177" t="s">
        <v>269</v>
      </c>
      <c r="C1177" s="169">
        <v>1.018E-9</v>
      </c>
      <c r="D1177" s="169">
        <v>9.3409999999999991E-10</v>
      </c>
      <c r="E1177">
        <v>-8.9920000000000009</v>
      </c>
      <c r="F1177">
        <v>-9.0299999999999994</v>
      </c>
      <c r="G1177">
        <v>-3.6999999999999998E-2</v>
      </c>
    </row>
    <row r="1178" spans="1:7" x14ac:dyDescent="0.15">
      <c r="B1178" t="s">
        <v>268</v>
      </c>
      <c r="C1178" s="169">
        <v>0</v>
      </c>
      <c r="D1178" s="169">
        <v>0</v>
      </c>
      <c r="E1178">
        <v>-70.52</v>
      </c>
      <c r="F1178">
        <v>-70.694999999999993</v>
      </c>
      <c r="G1178">
        <v>-0.17499999999999999</v>
      </c>
    </row>
    <row r="1179" spans="1:7" x14ac:dyDescent="0.15">
      <c r="B1179" t="s">
        <v>270</v>
      </c>
      <c r="C1179" s="169">
        <v>0</v>
      </c>
      <c r="D1179" s="169">
        <v>0</v>
      </c>
      <c r="E1179">
        <v>-138.72399999999999</v>
      </c>
      <c r="F1179">
        <v>-138.9</v>
      </c>
      <c r="G1179">
        <v>-0.17499999999999999</v>
      </c>
    </row>
    <row r="1180" spans="1:7" x14ac:dyDescent="0.15">
      <c r="A1180" t="s">
        <v>658</v>
      </c>
      <c r="B1180" s="169">
        <v>1.2130000000000001E-3</v>
      </c>
    </row>
    <row r="1181" spans="1:7" x14ac:dyDescent="0.15">
      <c r="B1181" t="s">
        <v>271</v>
      </c>
      <c r="C1181" s="169">
        <v>1.2130000000000001E-3</v>
      </c>
      <c r="D1181" s="169">
        <v>1.108E-3</v>
      </c>
      <c r="E1181">
        <v>-2.9159999999999999</v>
      </c>
      <c r="F1181">
        <v>-2.9550000000000001</v>
      </c>
      <c r="G1181">
        <v>-3.9E-2</v>
      </c>
    </row>
    <row r="1182" spans="1:7" x14ac:dyDescent="0.15">
      <c r="B1182" t="s">
        <v>274</v>
      </c>
      <c r="C1182" s="169">
        <v>7.0850000000000006E-11</v>
      </c>
      <c r="D1182" s="169">
        <v>6.4719999999999997E-11</v>
      </c>
      <c r="E1182">
        <v>-10.15</v>
      </c>
      <c r="F1182">
        <v>-10.189</v>
      </c>
      <c r="G1182">
        <v>-3.9E-2</v>
      </c>
    </row>
    <row r="1183" spans="1:7" x14ac:dyDescent="0.15">
      <c r="B1183" t="s">
        <v>276</v>
      </c>
      <c r="C1183" s="169">
        <v>1.797E-11</v>
      </c>
      <c r="D1183" s="169">
        <v>1.642E-11</v>
      </c>
      <c r="E1183">
        <v>-10.744999999999999</v>
      </c>
      <c r="F1183">
        <v>-10.785</v>
      </c>
      <c r="G1183">
        <v>-3.9E-2</v>
      </c>
    </row>
    <row r="1184" spans="1:7" x14ac:dyDescent="0.15">
      <c r="B1184" t="s">
        <v>273</v>
      </c>
      <c r="C1184" s="169">
        <v>1.7170000000000001E-11</v>
      </c>
      <c r="D1184" s="169">
        <v>1.7170000000000001E-11</v>
      </c>
      <c r="E1184">
        <v>-10.765000000000001</v>
      </c>
      <c r="F1184">
        <v>-10.765000000000001</v>
      </c>
      <c r="G1184">
        <v>0</v>
      </c>
    </row>
    <row r="1185" spans="1:7" x14ac:dyDescent="0.15">
      <c r="B1185" t="s">
        <v>272</v>
      </c>
      <c r="C1185" s="169">
        <v>1.2420000000000001E-11</v>
      </c>
      <c r="D1185" s="169">
        <v>1.1219999999999999E-11</v>
      </c>
      <c r="E1185">
        <v>-10.906000000000001</v>
      </c>
      <c r="F1185">
        <v>-10.95</v>
      </c>
      <c r="G1185">
        <v>-4.3999999999999997E-2</v>
      </c>
    </row>
    <row r="1186" spans="1:7" x14ac:dyDescent="0.15">
      <c r="B1186" t="s">
        <v>275</v>
      </c>
      <c r="C1186" s="169">
        <v>1.016E-11</v>
      </c>
      <c r="D1186" s="169">
        <v>9.1809999999999998E-12</v>
      </c>
      <c r="E1186">
        <v>-10.993</v>
      </c>
      <c r="F1186">
        <v>-11.037000000000001</v>
      </c>
      <c r="G1186">
        <v>-4.3999999999999997E-2</v>
      </c>
    </row>
    <row r="1187" spans="1:7" x14ac:dyDescent="0.15">
      <c r="B1187" t="s">
        <v>277</v>
      </c>
      <c r="C1187" s="169">
        <v>5.7869999999999997E-14</v>
      </c>
      <c r="D1187" s="169">
        <v>5.7869999999999997E-14</v>
      </c>
      <c r="E1187">
        <v>-13.238</v>
      </c>
      <c r="F1187">
        <v>-13.238</v>
      </c>
      <c r="G1187">
        <v>0</v>
      </c>
    </row>
    <row r="1188" spans="1:7" x14ac:dyDescent="0.15">
      <c r="B1188" t="s">
        <v>278</v>
      </c>
      <c r="C1188" s="169">
        <v>2.9299999999999999E-15</v>
      </c>
      <c r="D1188" s="169">
        <v>2.9299999999999999E-15</v>
      </c>
      <c r="E1188">
        <v>-14.532999999999999</v>
      </c>
      <c r="F1188">
        <v>-14.532999999999999</v>
      </c>
      <c r="G1188">
        <v>0</v>
      </c>
    </row>
    <row r="1189" spans="1:7" x14ac:dyDescent="0.15">
      <c r="B1189" t="s">
        <v>279</v>
      </c>
      <c r="C1189" s="169">
        <v>5.3470000000000003E-17</v>
      </c>
      <c r="D1189" s="169">
        <v>5.3470000000000003E-17</v>
      </c>
      <c r="E1189">
        <v>-16.271999999999998</v>
      </c>
      <c r="F1189">
        <v>-16.271999999999998</v>
      </c>
      <c r="G1189">
        <v>0</v>
      </c>
    </row>
    <row r="1190" spans="1:7" x14ac:dyDescent="0.15">
      <c r="B1190" t="s">
        <v>280</v>
      </c>
      <c r="C1190" s="169">
        <v>5.2319999999999999E-17</v>
      </c>
      <c r="D1190" s="169">
        <v>4.7790000000000002E-17</v>
      </c>
      <c r="E1190">
        <v>-16.280999999999999</v>
      </c>
      <c r="F1190">
        <v>-16.321000000000002</v>
      </c>
      <c r="G1190">
        <v>-3.9E-2</v>
      </c>
    </row>
    <row r="1191" spans="1:7" x14ac:dyDescent="0.15">
      <c r="B1191" t="s">
        <v>281</v>
      </c>
      <c r="C1191" s="169">
        <v>3.3260000000000002E-20</v>
      </c>
      <c r="D1191" s="169">
        <v>2.337E-20</v>
      </c>
      <c r="E1191">
        <v>-19.478000000000002</v>
      </c>
      <c r="F1191">
        <v>-19.631</v>
      </c>
      <c r="G1191">
        <v>-0.153</v>
      </c>
    </row>
    <row r="1192" spans="1:7" x14ac:dyDescent="0.15">
      <c r="B1192" t="s">
        <v>282</v>
      </c>
      <c r="C1192" s="169">
        <v>2.5080000000000001E-20</v>
      </c>
      <c r="D1192" s="169">
        <v>2.2910000000000001E-20</v>
      </c>
      <c r="E1192">
        <v>-19.600999999999999</v>
      </c>
      <c r="F1192">
        <v>-19.64</v>
      </c>
      <c r="G1192">
        <v>-3.9E-2</v>
      </c>
    </row>
    <row r="1193" spans="1:7" x14ac:dyDescent="0.15">
      <c r="B1193" t="s">
        <v>284</v>
      </c>
      <c r="C1193" s="169">
        <v>2.189E-20</v>
      </c>
      <c r="D1193" s="169">
        <v>2.189E-20</v>
      </c>
      <c r="E1193">
        <v>-19.66</v>
      </c>
      <c r="F1193">
        <v>-19.66</v>
      </c>
      <c r="G1193">
        <v>0</v>
      </c>
    </row>
    <row r="1194" spans="1:7" x14ac:dyDescent="0.15">
      <c r="B1194" t="s">
        <v>283</v>
      </c>
      <c r="C1194" s="169">
        <v>5.7619999999999998E-21</v>
      </c>
      <c r="D1194" s="169">
        <v>5.2639999999999999E-21</v>
      </c>
      <c r="E1194">
        <v>-20.239000000000001</v>
      </c>
      <c r="F1194">
        <v>-20.279</v>
      </c>
      <c r="G1194">
        <v>-3.9E-2</v>
      </c>
    </row>
    <row r="1195" spans="1:7" x14ac:dyDescent="0.15">
      <c r="B1195" t="s">
        <v>285</v>
      </c>
      <c r="C1195" s="169">
        <v>1.6709999999999999E-24</v>
      </c>
      <c r="D1195" s="169">
        <v>1.174E-24</v>
      </c>
      <c r="E1195">
        <v>-23.777000000000001</v>
      </c>
      <c r="F1195">
        <v>-23.93</v>
      </c>
      <c r="G1195">
        <v>-0.153</v>
      </c>
    </row>
    <row r="1196" spans="1:7" x14ac:dyDescent="0.15">
      <c r="B1196" t="s">
        <v>286</v>
      </c>
      <c r="C1196" s="169">
        <v>3.073E-25</v>
      </c>
      <c r="D1196" s="169">
        <v>2.1589999999999999E-25</v>
      </c>
      <c r="E1196">
        <v>-24.512</v>
      </c>
      <c r="F1196">
        <v>-24.666</v>
      </c>
      <c r="G1196">
        <v>-0.153</v>
      </c>
    </row>
    <row r="1197" spans="1:7" x14ac:dyDescent="0.15">
      <c r="B1197" t="s">
        <v>287</v>
      </c>
      <c r="C1197" s="169">
        <v>8.7709999999999993E-28</v>
      </c>
      <c r="D1197" s="169">
        <v>5.857E-28</v>
      </c>
      <c r="E1197">
        <v>-27.056999999999999</v>
      </c>
      <c r="F1197">
        <v>-27.231999999999999</v>
      </c>
      <c r="G1197">
        <v>-0.17499999999999999</v>
      </c>
    </row>
    <row r="1198" spans="1:7" x14ac:dyDescent="0.15">
      <c r="B1198" t="s">
        <v>288</v>
      </c>
      <c r="C1198" s="169">
        <v>0</v>
      </c>
      <c r="D1198" s="169">
        <v>0</v>
      </c>
      <c r="E1198">
        <v>-341.029</v>
      </c>
      <c r="F1198">
        <v>-341.20400000000001</v>
      </c>
      <c r="G1198">
        <v>-0.17499999999999999</v>
      </c>
    </row>
    <row r="1199" spans="1:7" x14ac:dyDescent="0.15">
      <c r="B1199" t="s">
        <v>289</v>
      </c>
      <c r="C1199" s="169">
        <v>0</v>
      </c>
      <c r="D1199" s="169">
        <v>0</v>
      </c>
      <c r="E1199">
        <v>-415.464</v>
      </c>
      <c r="F1199">
        <v>-415.64</v>
      </c>
      <c r="G1199">
        <v>-0.17499999999999999</v>
      </c>
    </row>
    <row r="1200" spans="1:7" x14ac:dyDescent="0.15">
      <c r="A1200" t="s">
        <v>290</v>
      </c>
      <c r="B1200" s="169">
        <v>5.2940000000000001E-9</v>
      </c>
    </row>
    <row r="1201" spans="2:7" x14ac:dyDescent="0.15">
      <c r="B1201" t="s">
        <v>291</v>
      </c>
      <c r="C1201" s="169">
        <v>4.5749999999999996E-9</v>
      </c>
      <c r="D1201" s="169">
        <v>3.0549999999999999E-9</v>
      </c>
      <c r="E1201">
        <v>-8.34</v>
      </c>
      <c r="F1201">
        <v>-8.5150000000000006</v>
      </c>
      <c r="G1201">
        <v>-0.17499999999999999</v>
      </c>
    </row>
    <row r="1202" spans="2:7" x14ac:dyDescent="0.15">
      <c r="B1202" t="s">
        <v>292</v>
      </c>
      <c r="C1202" s="169">
        <v>4.7489999999999998E-10</v>
      </c>
      <c r="D1202" s="169">
        <v>4.7489999999999998E-10</v>
      </c>
      <c r="E1202">
        <v>-9.3230000000000004</v>
      </c>
      <c r="F1202">
        <v>-9.3230000000000004</v>
      </c>
      <c r="G1202">
        <v>0</v>
      </c>
    </row>
    <row r="1203" spans="2:7" x14ac:dyDescent="0.15">
      <c r="B1203" t="s">
        <v>261</v>
      </c>
      <c r="C1203" s="169">
        <v>1.8720000000000001E-10</v>
      </c>
      <c r="D1203" s="169">
        <v>1.693E-10</v>
      </c>
      <c r="E1203">
        <v>-9.7279999999999998</v>
      </c>
      <c r="F1203">
        <v>-9.7710000000000008</v>
      </c>
      <c r="G1203">
        <v>-4.3999999999999997E-2</v>
      </c>
    </row>
    <row r="1204" spans="2:7" x14ac:dyDescent="0.15">
      <c r="B1204" t="s">
        <v>259</v>
      </c>
      <c r="C1204" s="169">
        <v>3.0920000000000002E-11</v>
      </c>
      <c r="D1204" s="169">
        <v>3.0920000000000002E-11</v>
      </c>
      <c r="E1204">
        <v>-10.51</v>
      </c>
      <c r="F1204">
        <v>-10.51</v>
      </c>
      <c r="G1204">
        <v>0</v>
      </c>
    </row>
    <row r="1205" spans="2:7" x14ac:dyDescent="0.15">
      <c r="B1205" t="s">
        <v>272</v>
      </c>
      <c r="C1205" s="169">
        <v>1.2420000000000001E-11</v>
      </c>
      <c r="D1205" s="169">
        <v>1.1219999999999999E-11</v>
      </c>
      <c r="E1205">
        <v>-10.906000000000001</v>
      </c>
      <c r="F1205">
        <v>-10.95</v>
      </c>
      <c r="G1205">
        <v>-4.3999999999999997E-2</v>
      </c>
    </row>
    <row r="1206" spans="2:7" x14ac:dyDescent="0.15">
      <c r="B1206" t="s">
        <v>293</v>
      </c>
      <c r="C1206" s="169">
        <v>1.217E-11</v>
      </c>
      <c r="D1206" s="169">
        <v>1.1000000000000001E-11</v>
      </c>
      <c r="E1206">
        <v>-10.914999999999999</v>
      </c>
      <c r="F1206">
        <v>-10.958</v>
      </c>
      <c r="G1206">
        <v>-4.3999999999999997E-2</v>
      </c>
    </row>
    <row r="1207" spans="2:7" x14ac:dyDescent="0.15">
      <c r="B1207" t="s">
        <v>296</v>
      </c>
      <c r="C1207" s="169">
        <v>8.5869999999999997E-13</v>
      </c>
      <c r="D1207" s="169">
        <v>7.7619999999999996E-13</v>
      </c>
      <c r="E1207">
        <v>-12.066000000000001</v>
      </c>
      <c r="F1207">
        <v>-12.11</v>
      </c>
      <c r="G1207">
        <v>-4.3999999999999997E-2</v>
      </c>
    </row>
    <row r="1208" spans="2:7" x14ac:dyDescent="0.15">
      <c r="B1208" t="s">
        <v>235</v>
      </c>
      <c r="C1208" s="169">
        <v>4.3730000000000001E-13</v>
      </c>
      <c r="D1208" s="169">
        <v>4.3730000000000001E-13</v>
      </c>
      <c r="E1208">
        <v>-12.359</v>
      </c>
      <c r="F1208">
        <v>-12.359</v>
      </c>
      <c r="G1208">
        <v>0</v>
      </c>
    </row>
    <row r="1209" spans="2:7" x14ac:dyDescent="0.15">
      <c r="B1209" t="s">
        <v>295</v>
      </c>
      <c r="C1209" s="169">
        <v>1.5779999999999999E-13</v>
      </c>
      <c r="D1209" s="169">
        <v>1.5779999999999999E-13</v>
      </c>
      <c r="E1209">
        <v>-12.802</v>
      </c>
      <c r="F1209">
        <v>-12.802</v>
      </c>
      <c r="G1209">
        <v>0</v>
      </c>
    </row>
    <row r="1210" spans="2:7" x14ac:dyDescent="0.15">
      <c r="B1210" t="s">
        <v>297</v>
      </c>
      <c r="C1210" s="169">
        <v>2.532E-16</v>
      </c>
      <c r="D1210" s="169">
        <v>2.532E-16</v>
      </c>
      <c r="E1210">
        <v>-15.597</v>
      </c>
      <c r="F1210">
        <v>-15.597</v>
      </c>
      <c r="G1210">
        <v>0</v>
      </c>
    </row>
    <row r="1211" spans="2:7" x14ac:dyDescent="0.15">
      <c r="B1211" t="s">
        <v>299</v>
      </c>
      <c r="C1211" s="169">
        <v>6.2859999999999997E-19</v>
      </c>
      <c r="D1211" s="169">
        <v>5.6829999999999999E-19</v>
      </c>
      <c r="E1211">
        <v>-18.202000000000002</v>
      </c>
      <c r="F1211">
        <v>-18.245000000000001</v>
      </c>
      <c r="G1211">
        <v>-4.3999999999999997E-2</v>
      </c>
    </row>
    <row r="1212" spans="2:7" x14ac:dyDescent="0.15">
      <c r="B1212" t="s">
        <v>300</v>
      </c>
      <c r="C1212" s="169">
        <v>4.1799999999999997E-21</v>
      </c>
      <c r="D1212" s="169">
        <v>1.685E-21</v>
      </c>
      <c r="E1212">
        <v>-20.379000000000001</v>
      </c>
      <c r="F1212">
        <v>-20.773</v>
      </c>
      <c r="G1212">
        <v>-0.39500000000000002</v>
      </c>
    </row>
    <row r="1213" spans="2:7" x14ac:dyDescent="0.15">
      <c r="B1213" t="s">
        <v>301</v>
      </c>
      <c r="C1213" s="169">
        <v>6.0360000000000002E-22</v>
      </c>
      <c r="D1213" s="169">
        <v>5.4570000000000002E-22</v>
      </c>
      <c r="E1213">
        <v>-21.219000000000001</v>
      </c>
      <c r="F1213">
        <v>-21.263000000000002</v>
      </c>
      <c r="G1213">
        <v>-4.3999999999999997E-2</v>
      </c>
    </row>
    <row r="1214" spans="2:7" x14ac:dyDescent="0.15">
      <c r="B1214" t="s">
        <v>44</v>
      </c>
      <c r="C1214" s="169">
        <v>2.444E-25</v>
      </c>
      <c r="D1214" s="169">
        <v>2.2090000000000002E-25</v>
      </c>
      <c r="E1214">
        <v>-24.611999999999998</v>
      </c>
      <c r="F1214">
        <v>-24.655999999999999</v>
      </c>
      <c r="G1214">
        <v>-4.3999999999999997E-2</v>
      </c>
    </row>
    <row r="1215" spans="2:7" x14ac:dyDescent="0.15">
      <c r="B1215" t="s">
        <v>303</v>
      </c>
      <c r="C1215" s="169">
        <v>2.4340000000000001E-26</v>
      </c>
      <c r="D1215" s="169">
        <v>1.6259999999999999E-26</v>
      </c>
      <c r="E1215">
        <v>-25.614000000000001</v>
      </c>
      <c r="F1215">
        <v>-25.789000000000001</v>
      </c>
      <c r="G1215">
        <v>-0.17499999999999999</v>
      </c>
    </row>
    <row r="1216" spans="2:7" x14ac:dyDescent="0.15">
      <c r="B1216" t="s">
        <v>305</v>
      </c>
      <c r="C1216" s="169">
        <v>1.471E-35</v>
      </c>
      <c r="D1216" s="169">
        <v>2.9250000000000001E-36</v>
      </c>
      <c r="E1216">
        <v>-34.832000000000001</v>
      </c>
      <c r="F1216">
        <v>-35.533999999999999</v>
      </c>
      <c r="G1216">
        <v>-0.70099999999999996</v>
      </c>
    </row>
    <row r="1217" spans="1:7" x14ac:dyDescent="0.15">
      <c r="B1217" t="s">
        <v>294</v>
      </c>
      <c r="C1217" s="169">
        <v>0</v>
      </c>
      <c r="D1217" s="169">
        <v>0</v>
      </c>
      <c r="E1217">
        <v>-73.460999999999999</v>
      </c>
      <c r="F1217">
        <v>-73.635999999999996</v>
      </c>
      <c r="G1217">
        <v>-0.17499999999999999</v>
      </c>
    </row>
    <row r="1218" spans="1:7" x14ac:dyDescent="0.15">
      <c r="B1218" t="s">
        <v>298</v>
      </c>
      <c r="C1218" s="169">
        <v>0</v>
      </c>
      <c r="D1218" s="169">
        <v>0</v>
      </c>
      <c r="E1218">
        <v>-140.238</v>
      </c>
      <c r="F1218">
        <v>-140.41300000000001</v>
      </c>
      <c r="G1218">
        <v>-0.17499999999999999</v>
      </c>
    </row>
    <row r="1219" spans="1:7" x14ac:dyDescent="0.15">
      <c r="B1219" t="s">
        <v>302</v>
      </c>
      <c r="C1219" s="169">
        <v>0</v>
      </c>
      <c r="D1219" s="169">
        <v>0</v>
      </c>
      <c r="E1219">
        <v>-206.94200000000001</v>
      </c>
      <c r="F1219">
        <v>-207.11799999999999</v>
      </c>
      <c r="G1219">
        <v>-0.17499999999999999</v>
      </c>
    </row>
    <row r="1220" spans="1:7" x14ac:dyDescent="0.15">
      <c r="B1220" t="s">
        <v>304</v>
      </c>
      <c r="C1220" s="169">
        <v>0</v>
      </c>
      <c r="D1220" s="169">
        <v>0</v>
      </c>
      <c r="E1220">
        <v>-274.02600000000001</v>
      </c>
      <c r="F1220">
        <v>-274.202</v>
      </c>
      <c r="G1220">
        <v>-0.17499999999999999</v>
      </c>
    </row>
    <row r="1221" spans="1:7" x14ac:dyDescent="0.15">
      <c r="B1221" t="s">
        <v>306</v>
      </c>
      <c r="C1221" s="169">
        <v>0</v>
      </c>
      <c r="D1221" s="169">
        <v>0</v>
      </c>
      <c r="E1221">
        <v>-341.61099999999999</v>
      </c>
      <c r="F1221">
        <v>-341.786</v>
      </c>
      <c r="G1221">
        <v>-0.17499999999999999</v>
      </c>
    </row>
    <row r="1222" spans="1:7" x14ac:dyDescent="0.15">
      <c r="A1222" t="s">
        <v>307</v>
      </c>
      <c r="B1222" s="169">
        <v>5.0220000000000004E-21</v>
      </c>
    </row>
    <row r="1223" spans="1:7" x14ac:dyDescent="0.15">
      <c r="B1223" t="s">
        <v>308</v>
      </c>
      <c r="C1223" s="169">
        <v>5.0220000000000004E-21</v>
      </c>
      <c r="D1223" s="169">
        <v>3.3540000000000001E-21</v>
      </c>
      <c r="E1223">
        <v>-20.298999999999999</v>
      </c>
      <c r="F1223">
        <v>-20.474</v>
      </c>
      <c r="G1223">
        <v>-0.17499999999999999</v>
      </c>
    </row>
    <row r="1224" spans="1:7" x14ac:dyDescent="0.15">
      <c r="B1224" t="s">
        <v>309</v>
      </c>
      <c r="C1224" s="169">
        <v>8.2259999999999996E-27</v>
      </c>
      <c r="D1224" s="169">
        <v>3.6559999999999997E-27</v>
      </c>
      <c r="E1224">
        <v>-26.085000000000001</v>
      </c>
      <c r="F1224">
        <v>-26.437000000000001</v>
      </c>
      <c r="G1224">
        <v>-0.35199999999999998</v>
      </c>
    </row>
    <row r="1225" spans="1:7" x14ac:dyDescent="0.15">
      <c r="B1225" t="s">
        <v>287</v>
      </c>
      <c r="C1225" s="169">
        <v>8.7709999999999993E-28</v>
      </c>
      <c r="D1225" s="169">
        <v>5.857E-28</v>
      </c>
      <c r="E1225">
        <v>-27.056999999999999</v>
      </c>
      <c r="F1225">
        <v>-27.231999999999999</v>
      </c>
      <c r="G1225">
        <v>-0.17499999999999999</v>
      </c>
    </row>
    <row r="1226" spans="1:7" x14ac:dyDescent="0.15">
      <c r="B1226" t="s">
        <v>288</v>
      </c>
      <c r="C1226" s="169">
        <v>0</v>
      </c>
      <c r="D1226" s="169">
        <v>0</v>
      </c>
      <c r="E1226">
        <v>-341.029</v>
      </c>
      <c r="F1226">
        <v>-341.20400000000001</v>
      </c>
      <c r="G1226">
        <v>-0.17499999999999999</v>
      </c>
    </row>
    <row r="1227" spans="1:7" x14ac:dyDescent="0.15">
      <c r="B1227" t="s">
        <v>310</v>
      </c>
      <c r="C1227" s="169">
        <v>0</v>
      </c>
      <c r="D1227" s="169">
        <v>0</v>
      </c>
      <c r="E1227">
        <v>-410.95299999999997</v>
      </c>
      <c r="F1227">
        <v>-410.99700000000001</v>
      </c>
      <c r="G1227">
        <v>-4.3999999999999997E-2</v>
      </c>
    </row>
    <row r="1228" spans="1:7" x14ac:dyDescent="0.15">
      <c r="B1228" t="s">
        <v>311</v>
      </c>
      <c r="C1228" s="169">
        <v>0</v>
      </c>
      <c r="D1228" s="169">
        <v>0</v>
      </c>
      <c r="E1228">
        <v>-414.084</v>
      </c>
      <c r="F1228">
        <v>-414.25900000000001</v>
      </c>
      <c r="G1228">
        <v>-0.17499999999999999</v>
      </c>
    </row>
    <row r="1229" spans="1:7" x14ac:dyDescent="0.15">
      <c r="B1229" t="s">
        <v>289</v>
      </c>
      <c r="C1229" s="169">
        <v>0</v>
      </c>
      <c r="D1229" s="169">
        <v>0</v>
      </c>
      <c r="E1229">
        <v>-415.464</v>
      </c>
      <c r="F1229">
        <v>-415.64</v>
      </c>
      <c r="G1229">
        <v>-0.17499999999999999</v>
      </c>
    </row>
    <row r="1230" spans="1:7" x14ac:dyDescent="0.15">
      <c r="A1230" t="s">
        <v>312</v>
      </c>
      <c r="B1230" s="169">
        <v>4.501E-20</v>
      </c>
    </row>
    <row r="1231" spans="1:7" x14ac:dyDescent="0.15">
      <c r="B1231" t="s">
        <v>284</v>
      </c>
      <c r="C1231" s="169">
        <v>2.189E-20</v>
      </c>
      <c r="D1231" s="169">
        <v>2.189E-20</v>
      </c>
      <c r="E1231">
        <v>-19.66</v>
      </c>
      <c r="F1231">
        <v>-19.66</v>
      </c>
      <c r="G1231">
        <v>0</v>
      </c>
    </row>
    <row r="1232" spans="1:7" x14ac:dyDescent="0.15">
      <c r="B1232" t="s">
        <v>313</v>
      </c>
      <c r="C1232" s="169">
        <v>1.736E-20</v>
      </c>
      <c r="D1232" s="169">
        <v>1.5690000000000001E-20</v>
      </c>
      <c r="E1232">
        <v>-19.760999999999999</v>
      </c>
      <c r="F1232">
        <v>-19.803999999999998</v>
      </c>
      <c r="G1232">
        <v>-4.3999999999999997E-2</v>
      </c>
    </row>
    <row r="1233" spans="1:11" x14ac:dyDescent="0.15">
      <c r="B1233" t="s">
        <v>283</v>
      </c>
      <c r="C1233" s="169">
        <v>5.7619999999999998E-21</v>
      </c>
      <c r="D1233" s="169">
        <v>5.2639999999999999E-21</v>
      </c>
      <c r="E1233">
        <v>-20.239000000000001</v>
      </c>
      <c r="F1233">
        <v>-20.279</v>
      </c>
      <c r="G1233">
        <v>-3.9E-2</v>
      </c>
    </row>
    <row r="1234" spans="1:11" x14ac:dyDescent="0.15">
      <c r="B1234" t="s">
        <v>285</v>
      </c>
      <c r="C1234" s="169">
        <v>1.6709999999999999E-24</v>
      </c>
      <c r="D1234" s="169">
        <v>1.174E-24</v>
      </c>
      <c r="E1234">
        <v>-23.777000000000001</v>
      </c>
      <c r="F1234">
        <v>-23.93</v>
      </c>
      <c r="G1234">
        <v>-0.153</v>
      </c>
    </row>
    <row r="1235" spans="1:11" x14ac:dyDescent="0.15">
      <c r="B1235" t="s">
        <v>45</v>
      </c>
      <c r="C1235" s="169">
        <v>0</v>
      </c>
      <c r="D1235" s="169">
        <v>0</v>
      </c>
      <c r="E1235">
        <v>-301.54599999999999</v>
      </c>
      <c r="F1235">
        <v>-301.78399999999999</v>
      </c>
      <c r="G1235">
        <v>-0.23799999999999999</v>
      </c>
    </row>
    <row r="1236" spans="1:11" x14ac:dyDescent="0.15">
      <c r="B1236" t="s">
        <v>46</v>
      </c>
      <c r="C1236" s="169">
        <v>0</v>
      </c>
      <c r="D1236" s="169">
        <v>0</v>
      </c>
      <c r="E1236">
        <v>-302.28399999999999</v>
      </c>
      <c r="F1236">
        <v>-302.51400000000001</v>
      </c>
      <c r="G1236">
        <v>-0.23</v>
      </c>
    </row>
    <row r="1237" spans="1:11" x14ac:dyDescent="0.15">
      <c r="A1237" t="s">
        <v>314</v>
      </c>
      <c r="B1237" s="169">
        <v>6.137E-8</v>
      </c>
      <c r="J1237" s="169">
        <v>6.137E-8</v>
      </c>
    </row>
    <row r="1238" spans="1:11" x14ac:dyDescent="0.15">
      <c r="B1238" t="s">
        <v>256</v>
      </c>
      <c r="C1238" s="169">
        <v>3.934E-8</v>
      </c>
      <c r="D1238" s="169">
        <v>3.934E-8</v>
      </c>
      <c r="E1238">
        <v>-7.4050000000000002</v>
      </c>
      <c r="F1238">
        <v>-7.4050000000000002</v>
      </c>
      <c r="G1238">
        <v>0</v>
      </c>
      <c r="I1238" t="s">
        <v>256</v>
      </c>
      <c r="J1238" s="169">
        <v>3.934E-8</v>
      </c>
      <c r="K1238" s="17">
        <f>J1238/J$1237*100</f>
        <v>64.102981912986806</v>
      </c>
    </row>
    <row r="1239" spans="1:11" x14ac:dyDescent="0.15">
      <c r="B1239" t="s">
        <v>316</v>
      </c>
      <c r="C1239" s="169">
        <v>1.6000000000000001E-8</v>
      </c>
      <c r="D1239" s="169">
        <v>1.116E-8</v>
      </c>
      <c r="E1239">
        <v>-7.7960000000000003</v>
      </c>
      <c r="F1239">
        <v>-7.952</v>
      </c>
      <c r="G1239">
        <v>-0.157</v>
      </c>
      <c r="I1239" t="s">
        <v>316</v>
      </c>
      <c r="J1239" s="169">
        <v>1.6000000000000001E-8</v>
      </c>
      <c r="K1239" s="17">
        <f t="shared" ref="K1239:K1240" si="3">J1239/J$1237*100</f>
        <v>26.071370376405412</v>
      </c>
    </row>
    <row r="1240" spans="1:11" x14ac:dyDescent="0.15">
      <c r="B1240" t="s">
        <v>315</v>
      </c>
      <c r="C1240" s="169">
        <v>3.244E-9</v>
      </c>
      <c r="D1240" s="169">
        <v>2.9629999999999998E-9</v>
      </c>
      <c r="E1240">
        <v>-8.4890000000000008</v>
      </c>
      <c r="F1240">
        <v>-8.5280000000000005</v>
      </c>
      <c r="G1240">
        <v>-3.9E-2</v>
      </c>
      <c r="I1240" t="s">
        <v>315</v>
      </c>
      <c r="J1240" s="169">
        <v>3.244E-9</v>
      </c>
      <c r="K1240" s="17">
        <f t="shared" si="3"/>
        <v>5.2859703438161967</v>
      </c>
    </row>
    <row r="1241" spans="1:11" x14ac:dyDescent="0.15">
      <c r="B1241" t="s">
        <v>319</v>
      </c>
      <c r="C1241" s="169">
        <v>1.8880000000000001E-9</v>
      </c>
      <c r="D1241" s="169">
        <v>1.8880000000000001E-9</v>
      </c>
      <c r="E1241">
        <v>-8.7240000000000002</v>
      </c>
      <c r="F1241">
        <v>-8.7240000000000002</v>
      </c>
      <c r="G1241">
        <v>0</v>
      </c>
    </row>
    <row r="1242" spans="1:11" x14ac:dyDescent="0.15">
      <c r="B1242" t="s">
        <v>264</v>
      </c>
      <c r="C1242" s="169">
        <v>5.5469999999999996E-10</v>
      </c>
      <c r="D1242" s="169">
        <v>5.0149999999999997E-10</v>
      </c>
      <c r="E1242">
        <v>-9.2560000000000002</v>
      </c>
      <c r="F1242">
        <v>-9.3000000000000007</v>
      </c>
      <c r="G1242">
        <v>-4.3999999999999997E-2</v>
      </c>
    </row>
    <row r="1243" spans="1:11" x14ac:dyDescent="0.15">
      <c r="B1243" t="s">
        <v>317</v>
      </c>
      <c r="C1243" s="169">
        <v>2.294E-10</v>
      </c>
      <c r="D1243" s="169">
        <v>2.294E-10</v>
      </c>
      <c r="E1243">
        <v>-9.6389999999999993</v>
      </c>
      <c r="F1243">
        <v>-9.6389999999999993</v>
      </c>
      <c r="G1243">
        <v>0</v>
      </c>
    </row>
    <row r="1244" spans="1:11" x14ac:dyDescent="0.15">
      <c r="B1244" t="s">
        <v>262</v>
      </c>
      <c r="C1244" s="169">
        <v>9.4909999999999998E-11</v>
      </c>
      <c r="D1244" s="169">
        <v>6.3380000000000005E-11</v>
      </c>
      <c r="E1244">
        <v>-10.023</v>
      </c>
      <c r="F1244">
        <v>-10.198</v>
      </c>
      <c r="G1244">
        <v>-0.17499999999999999</v>
      </c>
    </row>
    <row r="1245" spans="1:11" x14ac:dyDescent="0.15">
      <c r="B1245" t="s">
        <v>276</v>
      </c>
      <c r="C1245" s="169">
        <v>1.797E-11</v>
      </c>
      <c r="D1245" s="169">
        <v>1.642E-11</v>
      </c>
      <c r="E1245">
        <v>-10.744999999999999</v>
      </c>
      <c r="F1245">
        <v>-10.785</v>
      </c>
      <c r="G1245">
        <v>-3.9E-2</v>
      </c>
    </row>
    <row r="1246" spans="1:11" x14ac:dyDescent="0.15">
      <c r="B1246" t="s">
        <v>321</v>
      </c>
      <c r="C1246" s="169">
        <v>6.8299999999999998E-12</v>
      </c>
      <c r="D1246" s="169">
        <v>6.1749999999999998E-12</v>
      </c>
      <c r="E1246">
        <v>-11.166</v>
      </c>
      <c r="F1246">
        <v>-11.209</v>
      </c>
      <c r="G1246">
        <v>-4.3999999999999997E-2</v>
      </c>
    </row>
    <row r="1247" spans="1:11" x14ac:dyDescent="0.15">
      <c r="B1247" t="s">
        <v>322</v>
      </c>
      <c r="C1247" s="169">
        <v>2.9680000000000001E-13</v>
      </c>
      <c r="D1247" s="169">
        <v>1.982E-13</v>
      </c>
      <c r="E1247">
        <v>-12.528</v>
      </c>
      <c r="F1247">
        <v>-12.702999999999999</v>
      </c>
      <c r="G1247">
        <v>-0.17499999999999999</v>
      </c>
    </row>
    <row r="1248" spans="1:11" x14ac:dyDescent="0.15">
      <c r="B1248" t="s">
        <v>320</v>
      </c>
      <c r="C1248" s="169">
        <v>9.3959999999999998E-14</v>
      </c>
      <c r="D1248" s="169">
        <v>8.4940000000000002E-14</v>
      </c>
      <c r="E1248">
        <v>-13.026999999999999</v>
      </c>
      <c r="F1248">
        <v>-13.071</v>
      </c>
      <c r="G1248">
        <v>-4.3999999999999997E-2</v>
      </c>
    </row>
    <row r="1249" spans="1:7" x14ac:dyDescent="0.15">
      <c r="B1249" t="s">
        <v>278</v>
      </c>
      <c r="C1249" s="169">
        <v>2.9299999999999999E-15</v>
      </c>
      <c r="D1249" s="169">
        <v>2.9299999999999999E-15</v>
      </c>
      <c r="E1249">
        <v>-14.532999999999999</v>
      </c>
      <c r="F1249">
        <v>-14.532999999999999</v>
      </c>
      <c r="G1249">
        <v>0</v>
      </c>
    </row>
    <row r="1250" spans="1:7" x14ac:dyDescent="0.15">
      <c r="B1250" t="s">
        <v>323</v>
      </c>
      <c r="C1250" s="169">
        <v>1.1420000000000001E-16</v>
      </c>
      <c r="D1250" s="169">
        <v>1.1420000000000001E-16</v>
      </c>
      <c r="E1250">
        <v>-15.942</v>
      </c>
      <c r="F1250">
        <v>-15.942</v>
      </c>
      <c r="G1250">
        <v>0</v>
      </c>
    </row>
    <row r="1251" spans="1:7" x14ac:dyDescent="0.15">
      <c r="B1251" t="s">
        <v>324</v>
      </c>
      <c r="C1251" s="169">
        <v>1.807E-19</v>
      </c>
      <c r="D1251" s="169">
        <v>1.2070000000000001E-19</v>
      </c>
      <c r="E1251">
        <v>-18.742999999999999</v>
      </c>
      <c r="F1251">
        <v>-18.917999999999999</v>
      </c>
      <c r="G1251">
        <v>-0.17499999999999999</v>
      </c>
    </row>
    <row r="1252" spans="1:7" x14ac:dyDescent="0.15">
      <c r="B1252" t="s">
        <v>282</v>
      </c>
      <c r="C1252" s="169">
        <v>2.5080000000000001E-20</v>
      </c>
      <c r="D1252" s="169">
        <v>2.2910000000000001E-20</v>
      </c>
      <c r="E1252">
        <v>-19.600999999999999</v>
      </c>
      <c r="F1252">
        <v>-19.64</v>
      </c>
      <c r="G1252">
        <v>-3.9E-2</v>
      </c>
    </row>
    <row r="1253" spans="1:7" x14ac:dyDescent="0.15">
      <c r="B1253" t="s">
        <v>47</v>
      </c>
      <c r="C1253" s="169">
        <v>1.326E-23</v>
      </c>
      <c r="D1253" s="169">
        <v>1.1989999999999999E-23</v>
      </c>
      <c r="E1253">
        <v>-22.876999999999999</v>
      </c>
      <c r="F1253">
        <v>-22.920999999999999</v>
      </c>
      <c r="G1253">
        <v>-4.3999999999999997E-2</v>
      </c>
    </row>
    <row r="1254" spans="1:7" x14ac:dyDescent="0.15">
      <c r="B1254" t="s">
        <v>286</v>
      </c>
      <c r="C1254" s="169">
        <v>3.073E-25</v>
      </c>
      <c r="D1254" s="169">
        <v>2.1589999999999999E-25</v>
      </c>
      <c r="E1254">
        <v>-24.512</v>
      </c>
      <c r="F1254">
        <v>-24.666</v>
      </c>
      <c r="G1254">
        <v>-0.153</v>
      </c>
    </row>
    <row r="1255" spans="1:7" x14ac:dyDescent="0.15">
      <c r="B1255" t="s">
        <v>48</v>
      </c>
      <c r="C1255" s="169">
        <v>1.259E-39</v>
      </c>
      <c r="D1255" s="169">
        <v>1.259E-39</v>
      </c>
      <c r="E1255">
        <v>-38.9</v>
      </c>
      <c r="F1255">
        <v>-38.9</v>
      </c>
      <c r="G1255">
        <v>0</v>
      </c>
    </row>
    <row r="1256" spans="1:7" x14ac:dyDescent="0.15">
      <c r="B1256" t="s">
        <v>318</v>
      </c>
      <c r="C1256" s="169">
        <v>0</v>
      </c>
      <c r="D1256" s="169">
        <v>0</v>
      </c>
      <c r="E1256">
        <v>-70.903000000000006</v>
      </c>
      <c r="F1256">
        <v>-71.078000000000003</v>
      </c>
      <c r="G1256">
        <v>-0.17499999999999999</v>
      </c>
    </row>
    <row r="1257" spans="1:7" x14ac:dyDescent="0.15">
      <c r="B1257" t="s">
        <v>49</v>
      </c>
      <c r="C1257" s="169">
        <v>0</v>
      </c>
      <c r="D1257" s="169">
        <v>0</v>
      </c>
      <c r="E1257">
        <v>-431.82400000000001</v>
      </c>
      <c r="F1257">
        <v>-431.86799999999999</v>
      </c>
      <c r="G1257">
        <v>-4.3999999999999997E-2</v>
      </c>
    </row>
    <row r="1258" spans="1:7" x14ac:dyDescent="0.15">
      <c r="A1258" t="s">
        <v>325</v>
      </c>
      <c r="B1258" s="169">
        <v>0</v>
      </c>
    </row>
    <row r="1259" spans="1:7" x14ac:dyDescent="0.15">
      <c r="B1259" t="s">
        <v>326</v>
      </c>
      <c r="C1259" s="169">
        <v>0</v>
      </c>
      <c r="D1259" s="169">
        <v>0</v>
      </c>
      <c r="E1259">
        <v>-46.545999999999999</v>
      </c>
      <c r="F1259">
        <v>-46.545000000000002</v>
      </c>
      <c r="G1259">
        <v>1E-3</v>
      </c>
    </row>
    <row r="1260" spans="1:7" x14ac:dyDescent="0.15">
      <c r="A1260" t="s">
        <v>837</v>
      </c>
      <c r="B1260" s="169">
        <v>6.7329999999999995E-8</v>
      </c>
    </row>
    <row r="1261" spans="1:7" x14ac:dyDescent="0.15">
      <c r="B1261" t="s">
        <v>327</v>
      </c>
      <c r="C1261" s="169">
        <v>6.73E-8</v>
      </c>
      <c r="D1261" s="169">
        <v>4.6929999999999997E-8</v>
      </c>
      <c r="E1261">
        <v>-7.1719999999999997</v>
      </c>
      <c r="F1261">
        <v>-7.3289999999999997</v>
      </c>
      <c r="G1261">
        <v>-0.157</v>
      </c>
    </row>
    <row r="1262" spans="1:7" x14ac:dyDescent="0.15">
      <c r="B1262" t="s">
        <v>328</v>
      </c>
      <c r="C1262" s="169">
        <v>3.7580000000000001E-11</v>
      </c>
      <c r="D1262" s="169">
        <v>3.397E-11</v>
      </c>
      <c r="E1262">
        <v>-10.425000000000001</v>
      </c>
      <c r="F1262">
        <v>-10.468999999999999</v>
      </c>
      <c r="G1262">
        <v>-4.3999999999999997E-2</v>
      </c>
    </row>
    <row r="1263" spans="1:7" x14ac:dyDescent="0.15">
      <c r="B1263" t="s">
        <v>329</v>
      </c>
      <c r="C1263" s="169">
        <v>3.7090000000000003E-14</v>
      </c>
      <c r="D1263" s="169">
        <v>3.7090000000000003E-14</v>
      </c>
      <c r="E1263">
        <v>-13.430999999999999</v>
      </c>
      <c r="F1263">
        <v>-13.430999999999999</v>
      </c>
      <c r="G1263">
        <v>0</v>
      </c>
    </row>
    <row r="1264" spans="1:7" x14ac:dyDescent="0.15">
      <c r="B1264" t="s">
        <v>330</v>
      </c>
      <c r="C1264" s="169">
        <v>0</v>
      </c>
      <c r="D1264" s="169">
        <v>0</v>
      </c>
      <c r="E1264">
        <v>-52.643999999999998</v>
      </c>
      <c r="F1264">
        <v>-54.222000000000001</v>
      </c>
      <c r="G1264">
        <v>-1.5780000000000001</v>
      </c>
    </row>
    <row r="1265" spans="1:7" x14ac:dyDescent="0.15">
      <c r="B1265" t="s">
        <v>331</v>
      </c>
      <c r="C1265" s="169">
        <v>0</v>
      </c>
      <c r="D1265" s="169">
        <v>0</v>
      </c>
      <c r="E1265">
        <v>-54.085999999999999</v>
      </c>
      <c r="F1265">
        <v>-55.182000000000002</v>
      </c>
      <c r="G1265">
        <v>-1.0960000000000001</v>
      </c>
    </row>
    <row r="1266" spans="1:7" x14ac:dyDescent="0.15">
      <c r="B1266" t="s">
        <v>332</v>
      </c>
      <c r="C1266" s="169">
        <v>0</v>
      </c>
      <c r="D1266" s="169">
        <v>0</v>
      </c>
      <c r="E1266">
        <v>-56.978999999999999</v>
      </c>
      <c r="F1266">
        <v>-57.680999999999997</v>
      </c>
      <c r="G1266">
        <v>-0.70099999999999996</v>
      </c>
    </row>
    <row r="1267" spans="1:7" x14ac:dyDescent="0.15">
      <c r="B1267" t="s">
        <v>333</v>
      </c>
      <c r="C1267" s="169">
        <v>0</v>
      </c>
      <c r="D1267" s="169">
        <v>0</v>
      </c>
      <c r="E1267">
        <v>-61.274999999999999</v>
      </c>
      <c r="F1267">
        <v>-61.67</v>
      </c>
      <c r="G1267">
        <v>-0.39500000000000002</v>
      </c>
    </row>
    <row r="1268" spans="1:7" x14ac:dyDescent="0.15">
      <c r="A1268" t="s">
        <v>468</v>
      </c>
      <c r="B1268" s="169">
        <v>0</v>
      </c>
    </row>
    <row r="1269" spans="1:7" x14ac:dyDescent="0.15">
      <c r="B1269" t="s">
        <v>334</v>
      </c>
      <c r="C1269" s="169">
        <v>0</v>
      </c>
      <c r="D1269" s="169">
        <v>0</v>
      </c>
      <c r="E1269">
        <v>-65.772999999999996</v>
      </c>
      <c r="F1269">
        <v>-65.813999999999993</v>
      </c>
      <c r="G1269">
        <v>-4.1000000000000002E-2</v>
      </c>
    </row>
    <row r="1270" spans="1:7" x14ac:dyDescent="0.15">
      <c r="B1270" t="s">
        <v>335</v>
      </c>
      <c r="C1270" s="169">
        <v>0</v>
      </c>
      <c r="D1270" s="169">
        <v>0</v>
      </c>
      <c r="E1270">
        <v>-67.322000000000003</v>
      </c>
      <c r="F1270">
        <v>-67.322000000000003</v>
      </c>
      <c r="G1270">
        <v>0</v>
      </c>
    </row>
    <row r="1271" spans="1:7" x14ac:dyDescent="0.15">
      <c r="B1271" t="s">
        <v>336</v>
      </c>
      <c r="C1271" s="169">
        <v>0</v>
      </c>
      <c r="D1271" s="169">
        <v>0</v>
      </c>
      <c r="E1271">
        <v>-67.796000000000006</v>
      </c>
      <c r="F1271">
        <v>-67.834999999999994</v>
      </c>
      <c r="G1271">
        <v>-3.7999999999999999E-2</v>
      </c>
    </row>
    <row r="1272" spans="1:7" x14ac:dyDescent="0.15">
      <c r="B1272" t="s">
        <v>268</v>
      </c>
      <c r="C1272" s="169">
        <v>0</v>
      </c>
      <c r="D1272" s="169">
        <v>0</v>
      </c>
      <c r="E1272">
        <v>-70.52</v>
      </c>
      <c r="F1272">
        <v>-70.694999999999993</v>
      </c>
      <c r="G1272">
        <v>-0.17499999999999999</v>
      </c>
    </row>
    <row r="1273" spans="1:7" x14ac:dyDescent="0.15">
      <c r="B1273" t="s">
        <v>318</v>
      </c>
      <c r="C1273" s="169">
        <v>0</v>
      </c>
      <c r="D1273" s="169">
        <v>0</v>
      </c>
      <c r="E1273">
        <v>-70.903000000000006</v>
      </c>
      <c r="F1273">
        <v>-71.078000000000003</v>
      </c>
      <c r="G1273">
        <v>-0.17499999999999999</v>
      </c>
    </row>
    <row r="1274" spans="1:7" x14ac:dyDescent="0.15">
      <c r="B1274" t="s">
        <v>337</v>
      </c>
      <c r="C1274" s="169">
        <v>0</v>
      </c>
      <c r="D1274" s="169">
        <v>0</v>
      </c>
      <c r="E1274">
        <v>-72.748000000000005</v>
      </c>
      <c r="F1274">
        <v>-72.924000000000007</v>
      </c>
      <c r="G1274">
        <v>-0.17499999999999999</v>
      </c>
    </row>
    <row r="1275" spans="1:7" x14ac:dyDescent="0.15">
      <c r="B1275" t="s">
        <v>294</v>
      </c>
      <c r="C1275" s="169">
        <v>0</v>
      </c>
      <c r="D1275" s="169">
        <v>0</v>
      </c>
      <c r="E1275">
        <v>-73.460999999999999</v>
      </c>
      <c r="F1275">
        <v>-73.635999999999996</v>
      </c>
      <c r="G1275">
        <v>-0.17499999999999999</v>
      </c>
    </row>
    <row r="1276" spans="1:7" x14ac:dyDescent="0.15">
      <c r="B1276" t="s">
        <v>338</v>
      </c>
      <c r="C1276" s="169">
        <v>0</v>
      </c>
      <c r="D1276" s="169">
        <v>0</v>
      </c>
      <c r="E1276">
        <v>-137.97900000000001</v>
      </c>
      <c r="F1276">
        <v>-138.154</v>
      </c>
      <c r="G1276">
        <v>-0.17499999999999999</v>
      </c>
    </row>
    <row r="1277" spans="1:7" x14ac:dyDescent="0.15">
      <c r="B1277" t="s">
        <v>270</v>
      </c>
      <c r="C1277" s="169">
        <v>0</v>
      </c>
      <c r="D1277" s="169">
        <v>0</v>
      </c>
      <c r="E1277">
        <v>-138.72399999999999</v>
      </c>
      <c r="F1277">
        <v>-138.9</v>
      </c>
      <c r="G1277">
        <v>-0.17499999999999999</v>
      </c>
    </row>
    <row r="1278" spans="1:7" x14ac:dyDescent="0.15">
      <c r="B1278" t="s">
        <v>298</v>
      </c>
      <c r="C1278" s="169">
        <v>0</v>
      </c>
      <c r="D1278" s="169">
        <v>0</v>
      </c>
      <c r="E1278">
        <v>-140.238</v>
      </c>
      <c r="F1278">
        <v>-140.41300000000001</v>
      </c>
      <c r="G1278">
        <v>-0.17499999999999999</v>
      </c>
    </row>
    <row r="1279" spans="1:7" x14ac:dyDescent="0.15">
      <c r="B1279" t="s">
        <v>302</v>
      </c>
      <c r="C1279" s="169">
        <v>0</v>
      </c>
      <c r="D1279" s="169">
        <v>0</v>
      </c>
      <c r="E1279">
        <v>-206.94200000000001</v>
      </c>
      <c r="F1279">
        <v>-207.11799999999999</v>
      </c>
      <c r="G1279">
        <v>-0.17499999999999999</v>
      </c>
    </row>
    <row r="1280" spans="1:7" x14ac:dyDescent="0.15">
      <c r="B1280" t="s">
        <v>304</v>
      </c>
      <c r="C1280" s="169">
        <v>0</v>
      </c>
      <c r="D1280" s="169">
        <v>0</v>
      </c>
      <c r="E1280">
        <v>-274.02600000000001</v>
      </c>
      <c r="F1280">
        <v>-274.202</v>
      </c>
      <c r="G1280">
        <v>-0.17499999999999999</v>
      </c>
    </row>
    <row r="1281" spans="1:7" x14ac:dyDescent="0.15">
      <c r="B1281" t="s">
        <v>288</v>
      </c>
      <c r="C1281" s="169">
        <v>0</v>
      </c>
      <c r="D1281" s="169">
        <v>0</v>
      </c>
      <c r="E1281">
        <v>-341.029</v>
      </c>
      <c r="F1281">
        <v>-341.20400000000001</v>
      </c>
      <c r="G1281">
        <v>-0.17499999999999999</v>
      </c>
    </row>
    <row r="1282" spans="1:7" x14ac:dyDescent="0.15">
      <c r="B1282" t="s">
        <v>306</v>
      </c>
      <c r="C1282" s="169">
        <v>0</v>
      </c>
      <c r="D1282" s="169">
        <v>0</v>
      </c>
      <c r="E1282">
        <v>-341.61099999999999</v>
      </c>
      <c r="F1282">
        <v>-341.786</v>
      </c>
      <c r="G1282">
        <v>-0.17499999999999999</v>
      </c>
    </row>
    <row r="1283" spans="1:7" x14ac:dyDescent="0.15">
      <c r="B1283" t="s">
        <v>310</v>
      </c>
      <c r="C1283" s="169">
        <v>0</v>
      </c>
      <c r="D1283" s="169">
        <v>0</v>
      </c>
      <c r="E1283">
        <v>-410.95299999999997</v>
      </c>
      <c r="F1283">
        <v>-410.99700000000001</v>
      </c>
      <c r="G1283">
        <v>-4.3999999999999997E-2</v>
      </c>
    </row>
    <row r="1284" spans="1:7" x14ac:dyDescent="0.15">
      <c r="B1284" t="s">
        <v>311</v>
      </c>
      <c r="C1284" s="169">
        <v>0</v>
      </c>
      <c r="D1284" s="169">
        <v>0</v>
      </c>
      <c r="E1284">
        <v>-414.084</v>
      </c>
      <c r="F1284">
        <v>-414.25900000000001</v>
      </c>
      <c r="G1284">
        <v>-0.17499999999999999</v>
      </c>
    </row>
    <row r="1285" spans="1:7" x14ac:dyDescent="0.15">
      <c r="B1285" t="s">
        <v>289</v>
      </c>
      <c r="C1285" s="169">
        <v>0</v>
      </c>
      <c r="D1285" s="169">
        <v>0</v>
      </c>
      <c r="E1285">
        <v>-415.464</v>
      </c>
      <c r="F1285">
        <v>-415.64</v>
      </c>
      <c r="G1285">
        <v>-0.17499999999999999</v>
      </c>
    </row>
    <row r="1286" spans="1:7" x14ac:dyDescent="0.15">
      <c r="A1286" t="s">
        <v>50</v>
      </c>
      <c r="B1286" s="169">
        <v>1.126E-17</v>
      </c>
    </row>
    <row r="1287" spans="1:7" x14ac:dyDescent="0.15">
      <c r="B1287" t="s">
        <v>51</v>
      </c>
      <c r="C1287" s="169">
        <v>1.126E-17</v>
      </c>
      <c r="D1287" s="169">
        <v>1.0259999999999999E-17</v>
      </c>
      <c r="E1287">
        <v>-16.948</v>
      </c>
      <c r="F1287">
        <v>-16.989000000000001</v>
      </c>
      <c r="G1287">
        <v>-0.04</v>
      </c>
    </row>
    <row r="1288" spans="1:7" x14ac:dyDescent="0.15">
      <c r="B1288" t="s">
        <v>47</v>
      </c>
      <c r="C1288" s="169">
        <v>1.326E-23</v>
      </c>
      <c r="D1288" s="169">
        <v>1.1989999999999999E-23</v>
      </c>
      <c r="E1288">
        <v>-22.876999999999999</v>
      </c>
      <c r="F1288">
        <v>-22.920999999999999</v>
      </c>
      <c r="G1288">
        <v>-4.3999999999999997E-2</v>
      </c>
    </row>
    <row r="1289" spans="1:7" x14ac:dyDescent="0.15">
      <c r="B1289" t="s">
        <v>44</v>
      </c>
      <c r="C1289" s="169">
        <v>2.444E-25</v>
      </c>
      <c r="D1289" s="169">
        <v>2.2090000000000002E-25</v>
      </c>
      <c r="E1289">
        <v>-24.611999999999998</v>
      </c>
      <c r="F1289">
        <v>-24.655999999999999</v>
      </c>
      <c r="G1289">
        <v>-4.3999999999999997E-2</v>
      </c>
    </row>
    <row r="1290" spans="1:7" x14ac:dyDescent="0.15">
      <c r="B1290" t="s">
        <v>48</v>
      </c>
      <c r="C1290" s="169">
        <v>1.259E-39</v>
      </c>
      <c r="D1290" s="169">
        <v>1.259E-39</v>
      </c>
      <c r="E1290">
        <v>-38.9</v>
      </c>
      <c r="F1290">
        <v>-38.9</v>
      </c>
      <c r="G1290">
        <v>0</v>
      </c>
    </row>
    <row r="1291" spans="1:7" x14ac:dyDescent="0.15">
      <c r="A1291" t="s">
        <v>469</v>
      </c>
      <c r="B1291" s="169">
        <v>1.761E-4</v>
      </c>
    </row>
    <row r="1292" spans="1:7" x14ac:dyDescent="0.15">
      <c r="B1292" t="s">
        <v>339</v>
      </c>
      <c r="C1292" s="169">
        <v>1.7540000000000001E-4</v>
      </c>
      <c r="D1292" s="169">
        <v>1.6029999999999999E-4</v>
      </c>
      <c r="E1292">
        <v>-3.7559999999999998</v>
      </c>
      <c r="F1292">
        <v>-3.7949999999999999</v>
      </c>
      <c r="G1292">
        <v>-3.9E-2</v>
      </c>
    </row>
    <row r="1293" spans="1:7" x14ac:dyDescent="0.15">
      <c r="B1293" t="s">
        <v>267</v>
      </c>
      <c r="C1293" s="169">
        <v>6.4239999999999998E-7</v>
      </c>
      <c r="D1293" s="169">
        <v>5.8070000000000001E-7</v>
      </c>
      <c r="E1293">
        <v>-6.1920000000000002</v>
      </c>
      <c r="F1293">
        <v>-6.2359999999999998</v>
      </c>
      <c r="G1293">
        <v>-4.3999999999999997E-2</v>
      </c>
    </row>
    <row r="1294" spans="1:7" x14ac:dyDescent="0.15">
      <c r="B1294" t="s">
        <v>340</v>
      </c>
      <c r="C1294" s="169">
        <v>1.2820000000000001E-11</v>
      </c>
      <c r="D1294" s="169">
        <v>1.159E-11</v>
      </c>
      <c r="E1294">
        <v>-10.891999999999999</v>
      </c>
      <c r="F1294">
        <v>-10.936</v>
      </c>
      <c r="G1294">
        <v>-4.3999999999999997E-2</v>
      </c>
    </row>
    <row r="1295" spans="1:7" x14ac:dyDescent="0.15">
      <c r="B1295" t="s">
        <v>321</v>
      </c>
      <c r="C1295" s="169">
        <v>6.8299999999999998E-12</v>
      </c>
      <c r="D1295" s="169">
        <v>6.1749999999999998E-12</v>
      </c>
      <c r="E1295">
        <v>-11.166</v>
      </c>
      <c r="F1295">
        <v>-11.209</v>
      </c>
      <c r="G1295">
        <v>-4.3999999999999997E-2</v>
      </c>
    </row>
    <row r="1296" spans="1:7" x14ac:dyDescent="0.15">
      <c r="B1296" t="s">
        <v>341</v>
      </c>
      <c r="C1296" s="169">
        <v>1.5049999999999999E-12</v>
      </c>
      <c r="D1296" s="169">
        <v>1.361E-12</v>
      </c>
      <c r="E1296">
        <v>-11.821999999999999</v>
      </c>
      <c r="F1296">
        <v>-11.866</v>
      </c>
      <c r="G1296">
        <v>-4.3999999999999997E-2</v>
      </c>
    </row>
    <row r="1297" spans="1:7" x14ac:dyDescent="0.15">
      <c r="B1297" t="s">
        <v>296</v>
      </c>
      <c r="C1297" s="169">
        <v>8.5869999999999997E-13</v>
      </c>
      <c r="D1297" s="169">
        <v>7.7619999999999996E-13</v>
      </c>
      <c r="E1297">
        <v>-12.066000000000001</v>
      </c>
      <c r="F1297">
        <v>-12.11</v>
      </c>
      <c r="G1297">
        <v>-4.3999999999999997E-2</v>
      </c>
    </row>
    <row r="1298" spans="1:7" x14ac:dyDescent="0.15">
      <c r="B1298" t="s">
        <v>342</v>
      </c>
      <c r="C1298" s="169">
        <v>3.3599999999999999E-16</v>
      </c>
      <c r="D1298" s="169">
        <v>3.3599999999999999E-16</v>
      </c>
      <c r="E1298">
        <v>-15.474</v>
      </c>
      <c r="F1298">
        <v>-15.474</v>
      </c>
      <c r="G1298">
        <v>0</v>
      </c>
    </row>
    <row r="1299" spans="1:7" x14ac:dyDescent="0.15">
      <c r="B1299" t="s">
        <v>297</v>
      </c>
      <c r="C1299" s="169">
        <v>2.532E-16</v>
      </c>
      <c r="D1299" s="169">
        <v>2.532E-16</v>
      </c>
      <c r="E1299">
        <v>-15.597</v>
      </c>
      <c r="F1299">
        <v>-15.597</v>
      </c>
      <c r="G1299">
        <v>0</v>
      </c>
    </row>
    <row r="1300" spans="1:7" x14ac:dyDescent="0.15">
      <c r="B1300" t="s">
        <v>323</v>
      </c>
      <c r="C1300" s="169">
        <v>1.1420000000000001E-16</v>
      </c>
      <c r="D1300" s="169">
        <v>1.1420000000000001E-16</v>
      </c>
      <c r="E1300">
        <v>-15.942</v>
      </c>
      <c r="F1300">
        <v>-15.942</v>
      </c>
      <c r="G1300">
        <v>0</v>
      </c>
    </row>
    <row r="1301" spans="1:7" x14ac:dyDescent="0.15">
      <c r="A1301" t="s">
        <v>667</v>
      </c>
      <c r="B1301" s="169">
        <v>2.0830000000000002E-3</v>
      </c>
    </row>
    <row r="1302" spans="1:7" x14ac:dyDescent="0.15">
      <c r="B1302" t="s">
        <v>343</v>
      </c>
      <c r="C1302" s="169">
        <v>2.0720000000000001E-3</v>
      </c>
      <c r="D1302" s="169">
        <v>1.8929999999999999E-3</v>
      </c>
      <c r="E1302">
        <v>-2.6840000000000002</v>
      </c>
      <c r="F1302">
        <v>-2.7229999999999999</v>
      </c>
      <c r="G1302">
        <v>-3.9E-2</v>
      </c>
    </row>
    <row r="1303" spans="1:7" x14ac:dyDescent="0.15">
      <c r="B1303" t="s">
        <v>344</v>
      </c>
      <c r="C1303" s="169">
        <v>9.6600000000000007E-6</v>
      </c>
      <c r="D1303" s="169">
        <v>8.8510000000000005E-6</v>
      </c>
      <c r="E1303">
        <v>-5.0149999999999997</v>
      </c>
      <c r="F1303">
        <v>-5.0529999999999999</v>
      </c>
      <c r="G1303">
        <v>-3.7999999999999999E-2</v>
      </c>
    </row>
    <row r="1304" spans="1:7" x14ac:dyDescent="0.15">
      <c r="B1304" t="s">
        <v>522</v>
      </c>
      <c r="C1304" s="169">
        <v>1.389E-6</v>
      </c>
      <c r="D1304" s="169">
        <v>1.389E-6</v>
      </c>
      <c r="E1304">
        <v>-5.8570000000000002</v>
      </c>
      <c r="F1304">
        <v>-5.8570000000000002</v>
      </c>
      <c r="G1304">
        <v>0</v>
      </c>
    </row>
    <row r="1305" spans="1:7" x14ac:dyDescent="0.15">
      <c r="B1305" t="s">
        <v>255</v>
      </c>
      <c r="C1305" s="169">
        <v>3.5579999999999998E-8</v>
      </c>
      <c r="D1305" s="169">
        <v>3.2600000000000001E-8</v>
      </c>
      <c r="E1305">
        <v>-7.4489999999999998</v>
      </c>
      <c r="F1305">
        <v>-7.4870000000000001</v>
      </c>
      <c r="G1305">
        <v>-3.7999999999999999E-2</v>
      </c>
    </row>
    <row r="1306" spans="1:7" x14ac:dyDescent="0.15">
      <c r="B1306" t="s">
        <v>236</v>
      </c>
      <c r="C1306" s="169">
        <v>3.1850000000000001E-9</v>
      </c>
      <c r="D1306" s="169">
        <v>2.9189999999999999E-9</v>
      </c>
      <c r="E1306">
        <v>-8.4969999999999999</v>
      </c>
      <c r="F1306">
        <v>-8.5350000000000001</v>
      </c>
      <c r="G1306">
        <v>-3.7999999999999999E-2</v>
      </c>
    </row>
    <row r="1307" spans="1:7" x14ac:dyDescent="0.15">
      <c r="A1307" t="s">
        <v>838</v>
      </c>
      <c r="B1307" s="169">
        <v>5.7930000000000002E-9</v>
      </c>
    </row>
    <row r="1308" spans="1:7" x14ac:dyDescent="0.15">
      <c r="B1308" t="s">
        <v>345</v>
      </c>
      <c r="C1308" s="169">
        <v>4.8449999999999997E-9</v>
      </c>
      <c r="D1308" s="169">
        <v>3.379E-9</v>
      </c>
      <c r="E1308">
        <v>-8.3149999999999995</v>
      </c>
      <c r="F1308">
        <v>-8.4710000000000001</v>
      </c>
      <c r="G1308">
        <v>-0.157</v>
      </c>
    </row>
    <row r="1309" spans="1:7" x14ac:dyDescent="0.15">
      <c r="B1309" t="s">
        <v>104</v>
      </c>
      <c r="C1309" s="169">
        <v>5.2970000000000004E-10</v>
      </c>
      <c r="D1309" s="169">
        <v>5.2970000000000004E-10</v>
      </c>
      <c r="E1309">
        <v>-9.2759999999999998</v>
      </c>
      <c r="F1309">
        <v>-9.2759999999999998</v>
      </c>
      <c r="G1309">
        <v>0</v>
      </c>
    </row>
    <row r="1310" spans="1:7" x14ac:dyDescent="0.15">
      <c r="B1310" t="s">
        <v>260</v>
      </c>
      <c r="C1310" s="169">
        <v>3.2820000000000001E-10</v>
      </c>
      <c r="D1310" s="169">
        <v>2.9670000000000002E-10</v>
      </c>
      <c r="E1310">
        <v>-9.484</v>
      </c>
      <c r="F1310">
        <v>-9.5280000000000005</v>
      </c>
      <c r="G1310">
        <v>-4.3999999999999997E-2</v>
      </c>
    </row>
    <row r="1311" spans="1:7" x14ac:dyDescent="0.15">
      <c r="B1311" t="s">
        <v>258</v>
      </c>
      <c r="C1311" s="169">
        <v>7.5469999999999999E-11</v>
      </c>
      <c r="D1311" s="169">
        <v>7.5469999999999999E-11</v>
      </c>
      <c r="E1311">
        <v>-10.122</v>
      </c>
      <c r="F1311">
        <v>-10.122</v>
      </c>
      <c r="G1311">
        <v>0</v>
      </c>
    </row>
    <row r="1312" spans="1:7" x14ac:dyDescent="0.15">
      <c r="B1312" t="s">
        <v>275</v>
      </c>
      <c r="C1312" s="169">
        <v>1.016E-11</v>
      </c>
      <c r="D1312" s="169">
        <v>9.1809999999999998E-12</v>
      </c>
      <c r="E1312">
        <v>-10.993</v>
      </c>
      <c r="F1312">
        <v>-11.037000000000001</v>
      </c>
      <c r="G1312">
        <v>-4.3999999999999997E-2</v>
      </c>
    </row>
    <row r="1313" spans="1:7" x14ac:dyDescent="0.15">
      <c r="B1313" t="s">
        <v>105</v>
      </c>
      <c r="C1313" s="169">
        <v>2.8070000000000001E-12</v>
      </c>
      <c r="D1313" s="169">
        <v>2.5379999999999999E-12</v>
      </c>
      <c r="E1313">
        <v>-11.552</v>
      </c>
      <c r="F1313">
        <v>-11.596</v>
      </c>
      <c r="G1313">
        <v>-4.3999999999999997E-2</v>
      </c>
    </row>
    <row r="1314" spans="1:7" x14ac:dyDescent="0.15">
      <c r="B1314" t="s">
        <v>341</v>
      </c>
      <c r="C1314" s="169">
        <v>1.5049999999999999E-12</v>
      </c>
      <c r="D1314" s="169">
        <v>1.361E-12</v>
      </c>
      <c r="E1314">
        <v>-11.821999999999999</v>
      </c>
      <c r="F1314">
        <v>-11.866</v>
      </c>
      <c r="G1314">
        <v>-4.3999999999999997E-2</v>
      </c>
    </row>
    <row r="1315" spans="1:7" x14ac:dyDescent="0.15">
      <c r="B1315" t="s">
        <v>106</v>
      </c>
      <c r="C1315" s="169">
        <v>1.1010000000000001E-13</v>
      </c>
      <c r="D1315" s="169">
        <v>1.1010000000000001E-13</v>
      </c>
      <c r="E1315">
        <v>-12.958</v>
      </c>
      <c r="F1315">
        <v>-12.958</v>
      </c>
      <c r="G1315">
        <v>0</v>
      </c>
    </row>
    <row r="1316" spans="1:7" x14ac:dyDescent="0.15">
      <c r="B1316" t="s">
        <v>107</v>
      </c>
      <c r="C1316" s="169">
        <v>2.6439999999999999E-14</v>
      </c>
      <c r="D1316" s="169">
        <v>1.7660000000000001E-14</v>
      </c>
      <c r="E1316">
        <v>-13.577999999999999</v>
      </c>
      <c r="F1316">
        <v>-13.753</v>
      </c>
      <c r="G1316">
        <v>-0.17499999999999999</v>
      </c>
    </row>
    <row r="1317" spans="1:7" x14ac:dyDescent="0.15">
      <c r="B1317" t="s">
        <v>279</v>
      </c>
      <c r="C1317" s="169">
        <v>5.3470000000000003E-17</v>
      </c>
      <c r="D1317" s="169">
        <v>5.3470000000000003E-17</v>
      </c>
      <c r="E1317">
        <v>-16.271999999999998</v>
      </c>
      <c r="F1317">
        <v>-16.271999999999998</v>
      </c>
      <c r="G1317">
        <v>0</v>
      </c>
    </row>
    <row r="1318" spans="1:7" x14ac:dyDescent="0.15">
      <c r="B1318" t="s">
        <v>108</v>
      </c>
      <c r="C1318" s="169">
        <v>2.1979999999999999E-17</v>
      </c>
      <c r="D1318" s="169">
        <v>1.987E-17</v>
      </c>
      <c r="E1318">
        <v>-16.658000000000001</v>
      </c>
      <c r="F1318">
        <v>-16.702000000000002</v>
      </c>
      <c r="G1318">
        <v>-4.3999999999999997E-2</v>
      </c>
    </row>
    <row r="1319" spans="1:7" x14ac:dyDescent="0.15">
      <c r="B1319" t="s">
        <v>337</v>
      </c>
      <c r="C1319" s="169">
        <v>0</v>
      </c>
      <c r="D1319" s="169">
        <v>0</v>
      </c>
      <c r="E1319">
        <v>-72.748000000000005</v>
      </c>
      <c r="F1319">
        <v>-72.924000000000007</v>
      </c>
      <c r="G1319">
        <v>-0.17499999999999999</v>
      </c>
    </row>
    <row r="1320" spans="1:7" x14ac:dyDescent="0.15">
      <c r="B1320" t="s">
        <v>338</v>
      </c>
      <c r="C1320" s="169">
        <v>0</v>
      </c>
      <c r="D1320" s="169">
        <v>0</v>
      </c>
      <c r="E1320">
        <v>-137.97900000000001</v>
      </c>
      <c r="F1320">
        <v>-138.154</v>
      </c>
      <c r="G1320">
        <v>-0.17499999999999999</v>
      </c>
    </row>
    <row r="1321" spans="1:7" x14ac:dyDescent="0.15">
      <c r="A1321" t="s">
        <v>471</v>
      </c>
      <c r="B1321" s="169">
        <v>5.8500000000000002E-4</v>
      </c>
    </row>
    <row r="1322" spans="1:7" x14ac:dyDescent="0.15">
      <c r="B1322" t="s">
        <v>109</v>
      </c>
      <c r="C1322" s="169">
        <v>2.9250000000000001E-4</v>
      </c>
      <c r="D1322" s="169">
        <v>2.9300000000000002E-4</v>
      </c>
      <c r="E1322">
        <v>-3.5339999999999998</v>
      </c>
      <c r="F1322">
        <v>-3.5329999999999999</v>
      </c>
      <c r="G1322">
        <v>1E-3</v>
      </c>
    </row>
    <row r="1323" spans="1:7" x14ac:dyDescent="0.15">
      <c r="A1323" t="s">
        <v>547</v>
      </c>
      <c r="B1323" s="169">
        <v>5.1659999999999995E-7</v>
      </c>
    </row>
    <row r="1324" spans="1:7" x14ac:dyDescent="0.15">
      <c r="B1324" t="s">
        <v>237</v>
      </c>
      <c r="C1324" s="169">
        <v>2.5730000000000001E-7</v>
      </c>
      <c r="D1324" s="169">
        <v>1.808E-7</v>
      </c>
      <c r="E1324">
        <v>-6.59</v>
      </c>
      <c r="F1324">
        <v>-6.7430000000000003</v>
      </c>
      <c r="G1324">
        <v>-0.153</v>
      </c>
    </row>
    <row r="1325" spans="1:7" x14ac:dyDescent="0.15">
      <c r="B1325" t="s">
        <v>238</v>
      </c>
      <c r="C1325" s="169">
        <v>1.8510000000000001E-7</v>
      </c>
      <c r="D1325" s="169">
        <v>1.6960000000000001E-7</v>
      </c>
      <c r="E1325">
        <v>-6.7329999999999997</v>
      </c>
      <c r="F1325">
        <v>-6.7709999999999999</v>
      </c>
      <c r="G1325">
        <v>-3.7999999999999999E-2</v>
      </c>
    </row>
    <row r="1326" spans="1:7" x14ac:dyDescent="0.15">
      <c r="B1326" t="s">
        <v>232</v>
      </c>
      <c r="C1326" s="169">
        <v>6.5260000000000003E-8</v>
      </c>
      <c r="D1326" s="169">
        <v>6.5260000000000003E-8</v>
      </c>
      <c r="E1326">
        <v>-7.1849999999999996</v>
      </c>
      <c r="F1326">
        <v>-7.1849999999999996</v>
      </c>
      <c r="G1326">
        <v>0</v>
      </c>
    </row>
    <row r="1327" spans="1:7" x14ac:dyDescent="0.15">
      <c r="B1327" t="s">
        <v>234</v>
      </c>
      <c r="C1327" s="169">
        <v>3.2730000000000002E-9</v>
      </c>
      <c r="D1327" s="169">
        <v>2.9990000000000001E-9</v>
      </c>
      <c r="E1327">
        <v>-8.4849999999999994</v>
      </c>
      <c r="F1327">
        <v>-8.5229999999999997</v>
      </c>
      <c r="G1327">
        <v>-3.7999999999999999E-2</v>
      </c>
    </row>
    <row r="1328" spans="1:7" x14ac:dyDescent="0.15">
      <c r="B1328" t="s">
        <v>236</v>
      </c>
      <c r="C1328" s="169">
        <v>3.1850000000000001E-9</v>
      </c>
      <c r="D1328" s="169">
        <v>2.9189999999999999E-9</v>
      </c>
      <c r="E1328">
        <v>-8.4969999999999999</v>
      </c>
      <c r="F1328">
        <v>-8.5350000000000001</v>
      </c>
      <c r="G1328">
        <v>-3.7999999999999999E-2</v>
      </c>
    </row>
    <row r="1329" spans="1:7" x14ac:dyDescent="0.15">
      <c r="B1329" t="s">
        <v>233</v>
      </c>
      <c r="C1329" s="169">
        <v>2.415E-9</v>
      </c>
      <c r="D1329" s="169">
        <v>2.2130000000000001E-9</v>
      </c>
      <c r="E1329">
        <v>-8.6170000000000009</v>
      </c>
      <c r="F1329">
        <v>-8.6549999999999994</v>
      </c>
      <c r="G1329">
        <v>-3.7999999999999999E-2</v>
      </c>
    </row>
    <row r="1330" spans="1:7" x14ac:dyDescent="0.15">
      <c r="B1330" t="s">
        <v>239</v>
      </c>
      <c r="C1330" s="169">
        <v>2.2320000000000002E-12</v>
      </c>
      <c r="D1330" s="169">
        <v>9.9200000000000001E-13</v>
      </c>
      <c r="E1330">
        <v>-11.651</v>
      </c>
      <c r="F1330">
        <v>-12.003</v>
      </c>
      <c r="G1330">
        <v>-0.35199999999999998</v>
      </c>
    </row>
    <row r="1331" spans="1:7" x14ac:dyDescent="0.15">
      <c r="B1331" t="s">
        <v>240</v>
      </c>
      <c r="C1331" s="169">
        <v>1.123E-12</v>
      </c>
      <c r="D1331" s="169">
        <v>1.123E-12</v>
      </c>
      <c r="E1331">
        <v>-11.949</v>
      </c>
      <c r="F1331">
        <v>-11.949</v>
      </c>
      <c r="G1331">
        <v>0</v>
      </c>
    </row>
    <row r="1332" spans="1:7" x14ac:dyDescent="0.15">
      <c r="B1332" t="s">
        <v>235</v>
      </c>
      <c r="C1332" s="169">
        <v>4.3730000000000001E-13</v>
      </c>
      <c r="D1332" s="169">
        <v>4.3730000000000001E-13</v>
      </c>
      <c r="E1332">
        <v>-12.359</v>
      </c>
      <c r="F1332">
        <v>-12.359</v>
      </c>
      <c r="G1332">
        <v>0</v>
      </c>
    </row>
    <row r="1333" spans="1:7" x14ac:dyDescent="0.15">
      <c r="A1333" t="s">
        <v>52</v>
      </c>
      <c r="B1333" s="169">
        <v>0</v>
      </c>
    </row>
    <row r="1334" spans="1:7" x14ac:dyDescent="0.15">
      <c r="B1334" t="s">
        <v>53</v>
      </c>
      <c r="C1334" s="169">
        <v>0</v>
      </c>
      <c r="D1334" s="169">
        <v>0</v>
      </c>
      <c r="E1334">
        <v>-149.89400000000001</v>
      </c>
      <c r="F1334">
        <v>-149.93799999999999</v>
      </c>
      <c r="G1334">
        <v>-4.3999999999999997E-2</v>
      </c>
    </row>
    <row r="1335" spans="1:7" x14ac:dyDescent="0.15">
      <c r="B1335" t="s">
        <v>54</v>
      </c>
      <c r="C1335" s="169">
        <v>0</v>
      </c>
      <c r="D1335" s="169">
        <v>0</v>
      </c>
      <c r="E1335">
        <v>-149.96799999999999</v>
      </c>
      <c r="F1335">
        <v>-149.96799999999999</v>
      </c>
      <c r="G1335">
        <v>0</v>
      </c>
    </row>
    <row r="1336" spans="1:7" x14ac:dyDescent="0.15">
      <c r="B1336" t="s">
        <v>55</v>
      </c>
      <c r="C1336" s="169">
        <v>0</v>
      </c>
      <c r="D1336" s="169">
        <v>0</v>
      </c>
      <c r="E1336">
        <v>-152.22300000000001</v>
      </c>
      <c r="F1336">
        <v>-152.399</v>
      </c>
      <c r="G1336">
        <v>-0.17499999999999999</v>
      </c>
    </row>
    <row r="1337" spans="1:7" x14ac:dyDescent="0.15">
      <c r="B1337" t="s">
        <v>56</v>
      </c>
      <c r="C1337" s="169">
        <v>0</v>
      </c>
      <c r="D1337" s="169">
        <v>0</v>
      </c>
      <c r="E1337">
        <v>-152.38999999999999</v>
      </c>
      <c r="F1337">
        <v>-152.566</v>
      </c>
      <c r="G1337">
        <v>-0.17499999999999999</v>
      </c>
    </row>
    <row r="1338" spans="1:7" x14ac:dyDescent="0.15">
      <c r="B1338" t="s">
        <v>57</v>
      </c>
      <c r="C1338" s="169">
        <v>0</v>
      </c>
      <c r="D1338" s="169">
        <v>0</v>
      </c>
      <c r="E1338">
        <v>-152.83500000000001</v>
      </c>
      <c r="F1338">
        <v>-153.01</v>
      </c>
      <c r="G1338">
        <v>-0.17499999999999999</v>
      </c>
    </row>
    <row r="1339" spans="1:7" x14ac:dyDescent="0.15">
      <c r="B1339" t="s">
        <v>58</v>
      </c>
      <c r="C1339" s="169">
        <v>0</v>
      </c>
      <c r="D1339" s="169">
        <v>0</v>
      </c>
      <c r="E1339">
        <v>-153.66800000000001</v>
      </c>
      <c r="F1339">
        <v>-153.84299999999999</v>
      </c>
      <c r="G1339">
        <v>-0.17499999999999999</v>
      </c>
    </row>
    <row r="1340" spans="1:7" x14ac:dyDescent="0.15">
      <c r="B1340" t="s">
        <v>59</v>
      </c>
      <c r="C1340" s="169">
        <v>0</v>
      </c>
      <c r="D1340" s="169">
        <v>0</v>
      </c>
      <c r="E1340">
        <v>-154.72300000000001</v>
      </c>
      <c r="F1340">
        <v>-154.898</v>
      </c>
      <c r="G1340">
        <v>-0.17499999999999999</v>
      </c>
    </row>
    <row r="1341" spans="1:7" x14ac:dyDescent="0.15">
      <c r="B1341" t="s">
        <v>60</v>
      </c>
      <c r="C1341" s="169">
        <v>0</v>
      </c>
      <c r="D1341" s="169">
        <v>0</v>
      </c>
      <c r="E1341">
        <v>-160.29</v>
      </c>
      <c r="F1341">
        <v>-160.44300000000001</v>
      </c>
      <c r="G1341">
        <v>-0.153</v>
      </c>
    </row>
    <row r="1342" spans="1:7" x14ac:dyDescent="0.15">
      <c r="B1342" t="s">
        <v>61</v>
      </c>
      <c r="C1342" s="169">
        <v>0</v>
      </c>
      <c r="D1342" s="169">
        <v>0</v>
      </c>
      <c r="E1342">
        <v>-293.35300000000001</v>
      </c>
      <c r="F1342">
        <v>-293.39600000000002</v>
      </c>
      <c r="G1342">
        <v>-4.3999999999999997E-2</v>
      </c>
    </row>
    <row r="1343" spans="1:7" x14ac:dyDescent="0.15">
      <c r="B1343" t="s">
        <v>62</v>
      </c>
      <c r="C1343" s="169">
        <v>0</v>
      </c>
      <c r="D1343" s="169">
        <v>0</v>
      </c>
      <c r="E1343">
        <v>-294.64</v>
      </c>
      <c r="F1343">
        <v>-294.64</v>
      </c>
      <c r="G1343">
        <v>0</v>
      </c>
    </row>
    <row r="1344" spans="1:7" x14ac:dyDescent="0.15">
      <c r="B1344" t="s">
        <v>45</v>
      </c>
      <c r="C1344" s="169">
        <v>0</v>
      </c>
      <c r="D1344" s="169">
        <v>0</v>
      </c>
      <c r="E1344">
        <v>-301.54599999999999</v>
      </c>
      <c r="F1344">
        <v>-301.78399999999999</v>
      </c>
      <c r="G1344">
        <v>-0.23799999999999999</v>
      </c>
    </row>
    <row r="1345" spans="1:7" x14ac:dyDescent="0.15">
      <c r="B1345" t="s">
        <v>46</v>
      </c>
      <c r="C1345" s="169">
        <v>0</v>
      </c>
      <c r="D1345" s="169">
        <v>0</v>
      </c>
      <c r="E1345">
        <v>-302.28399999999999</v>
      </c>
      <c r="F1345">
        <v>-302.51400000000001</v>
      </c>
      <c r="G1345">
        <v>-0.23</v>
      </c>
    </row>
    <row r="1346" spans="1:7" x14ac:dyDescent="0.15">
      <c r="B1346" t="s">
        <v>49</v>
      </c>
      <c r="C1346" s="169">
        <v>0</v>
      </c>
      <c r="D1346" s="169">
        <v>0</v>
      </c>
      <c r="E1346">
        <v>-431.82400000000001</v>
      </c>
      <c r="F1346">
        <v>-431.86799999999999</v>
      </c>
      <c r="G1346">
        <v>-4.3999999999999997E-2</v>
      </c>
    </row>
    <row r="1347" spans="1:7" x14ac:dyDescent="0.15">
      <c r="B1347" t="s">
        <v>63</v>
      </c>
      <c r="C1347" s="169">
        <v>0</v>
      </c>
      <c r="D1347" s="169">
        <v>0</v>
      </c>
      <c r="E1347">
        <v>-441.25400000000002</v>
      </c>
      <c r="F1347">
        <v>-441.298</v>
      </c>
      <c r="G1347">
        <v>-4.3999999999999997E-2</v>
      </c>
    </row>
    <row r="1348" spans="1:7" x14ac:dyDescent="0.15">
      <c r="B1348" t="s">
        <v>64</v>
      </c>
      <c r="C1348" s="169">
        <v>0</v>
      </c>
      <c r="D1348" s="169">
        <v>0</v>
      </c>
      <c r="E1348">
        <v>-443.84899999999999</v>
      </c>
      <c r="F1348">
        <v>-444.02499999999998</v>
      </c>
      <c r="G1348">
        <v>-0.17499999999999999</v>
      </c>
    </row>
    <row r="1349" spans="1:7" x14ac:dyDescent="0.15">
      <c r="B1349" t="s">
        <v>65</v>
      </c>
      <c r="C1349" s="169">
        <v>0</v>
      </c>
      <c r="D1349" s="169">
        <v>0</v>
      </c>
      <c r="E1349">
        <v>-592.52099999999996</v>
      </c>
      <c r="F1349">
        <v>-592.697</v>
      </c>
      <c r="G1349">
        <v>-0.17499999999999999</v>
      </c>
    </row>
    <row r="1350" spans="1:7" x14ac:dyDescent="0.15">
      <c r="A1350" t="s">
        <v>472</v>
      </c>
      <c r="B1350" s="169">
        <v>1.464E-3</v>
      </c>
    </row>
    <row r="1351" spans="1:7" x14ac:dyDescent="0.15">
      <c r="B1351" t="s">
        <v>110</v>
      </c>
      <c r="C1351" s="169">
        <v>1.2750000000000001E-3</v>
      </c>
      <c r="D1351" s="169">
        <v>8.8929999999999999E-4</v>
      </c>
      <c r="E1351">
        <v>-2.8940000000000001</v>
      </c>
      <c r="F1351">
        <v>-3.0510000000000002</v>
      </c>
      <c r="G1351">
        <v>-0.157</v>
      </c>
    </row>
    <row r="1352" spans="1:7" x14ac:dyDescent="0.15">
      <c r="B1352" t="s">
        <v>266</v>
      </c>
      <c r="C1352" s="169">
        <v>1.7870000000000001E-4</v>
      </c>
      <c r="D1352" s="169">
        <v>1.7870000000000001E-4</v>
      </c>
      <c r="E1352">
        <v>-3.7480000000000002</v>
      </c>
      <c r="F1352">
        <v>-3.7480000000000002</v>
      </c>
      <c r="G1352">
        <v>0</v>
      </c>
    </row>
    <row r="1353" spans="1:7" x14ac:dyDescent="0.15">
      <c r="B1353" t="s">
        <v>344</v>
      </c>
      <c r="C1353" s="169">
        <v>9.6600000000000007E-6</v>
      </c>
      <c r="D1353" s="169">
        <v>8.8510000000000005E-6</v>
      </c>
      <c r="E1353">
        <v>-5.0149999999999997</v>
      </c>
      <c r="F1353">
        <v>-5.0529999999999999</v>
      </c>
      <c r="G1353">
        <v>-3.7999999999999999E-2</v>
      </c>
    </row>
    <row r="1354" spans="1:7" x14ac:dyDescent="0.15">
      <c r="B1354" t="s">
        <v>111</v>
      </c>
      <c r="C1354" s="169">
        <v>4.4459999999999997E-9</v>
      </c>
      <c r="D1354" s="169">
        <v>4.4459999999999997E-9</v>
      </c>
      <c r="E1354">
        <v>-8.3520000000000003</v>
      </c>
      <c r="F1354">
        <v>-8.3520000000000003</v>
      </c>
      <c r="G1354">
        <v>0</v>
      </c>
    </row>
    <row r="1355" spans="1:7" x14ac:dyDescent="0.15">
      <c r="B1355" t="s">
        <v>112</v>
      </c>
      <c r="C1355" s="169">
        <v>3.3120000000000001E-9</v>
      </c>
      <c r="D1355" s="169">
        <v>3.0290000000000002E-9</v>
      </c>
      <c r="E1355">
        <v>-8.48</v>
      </c>
      <c r="F1355">
        <v>-8.5190000000000001</v>
      </c>
      <c r="G1355">
        <v>-3.9E-2</v>
      </c>
    </row>
    <row r="1356" spans="1:7" x14ac:dyDescent="0.15">
      <c r="B1356" t="s">
        <v>319</v>
      </c>
      <c r="C1356" s="169">
        <v>1.8880000000000001E-9</v>
      </c>
      <c r="D1356" s="169">
        <v>1.8880000000000001E-9</v>
      </c>
      <c r="E1356">
        <v>-8.7240000000000002</v>
      </c>
      <c r="F1356">
        <v>-8.7240000000000002</v>
      </c>
      <c r="G1356">
        <v>0</v>
      </c>
    </row>
    <row r="1357" spans="1:7" x14ac:dyDescent="0.15">
      <c r="B1357" t="s">
        <v>104</v>
      </c>
      <c r="C1357" s="169">
        <v>5.2970000000000004E-10</v>
      </c>
      <c r="D1357" s="169">
        <v>5.2970000000000004E-10</v>
      </c>
      <c r="E1357">
        <v>-9.2759999999999998</v>
      </c>
      <c r="F1357">
        <v>-9.2759999999999998</v>
      </c>
      <c r="G1357">
        <v>0</v>
      </c>
    </row>
    <row r="1358" spans="1:7" x14ac:dyDescent="0.15">
      <c r="B1358" t="s">
        <v>292</v>
      </c>
      <c r="C1358" s="169">
        <v>4.7489999999999998E-10</v>
      </c>
      <c r="D1358" s="169">
        <v>4.7489999999999998E-10</v>
      </c>
      <c r="E1358">
        <v>-9.3230000000000004</v>
      </c>
      <c r="F1358">
        <v>-9.3230000000000004</v>
      </c>
      <c r="G1358">
        <v>0</v>
      </c>
    </row>
    <row r="1359" spans="1:7" x14ac:dyDescent="0.15">
      <c r="B1359" t="s">
        <v>113</v>
      </c>
      <c r="C1359" s="169">
        <v>5.8879999999999995E-11</v>
      </c>
      <c r="D1359" s="169">
        <v>3.932E-11</v>
      </c>
      <c r="E1359">
        <v>-10.23</v>
      </c>
      <c r="F1359">
        <v>-10.404999999999999</v>
      </c>
      <c r="G1359">
        <v>-0.17499999999999999</v>
      </c>
    </row>
    <row r="1360" spans="1:7" x14ac:dyDescent="0.15">
      <c r="B1360" t="s">
        <v>107</v>
      </c>
      <c r="C1360" s="169">
        <v>2.6439999999999999E-14</v>
      </c>
      <c r="D1360" s="169">
        <v>1.7660000000000001E-14</v>
      </c>
      <c r="E1360">
        <v>-13.577999999999999</v>
      </c>
      <c r="F1360">
        <v>-13.753</v>
      </c>
      <c r="G1360">
        <v>-0.17499999999999999</v>
      </c>
    </row>
    <row r="1361" spans="1:7" x14ac:dyDescent="0.15">
      <c r="B1361" t="s">
        <v>336</v>
      </c>
      <c r="C1361" s="169">
        <v>0</v>
      </c>
      <c r="D1361" s="169">
        <v>0</v>
      </c>
      <c r="E1361">
        <v>-67.796000000000006</v>
      </c>
      <c r="F1361">
        <v>-67.834999999999994</v>
      </c>
      <c r="G1361">
        <v>-3.7999999999999999E-2</v>
      </c>
    </row>
    <row r="1362" spans="1:7" x14ac:dyDescent="0.15">
      <c r="B1362" t="s">
        <v>310</v>
      </c>
      <c r="C1362" s="169">
        <v>0</v>
      </c>
      <c r="D1362" s="169">
        <v>0</v>
      </c>
      <c r="E1362">
        <v>-410.95299999999997</v>
      </c>
      <c r="F1362">
        <v>-410.99700000000001</v>
      </c>
      <c r="G1362">
        <v>-4.3999999999999997E-2</v>
      </c>
    </row>
    <row r="1363" spans="1:7" x14ac:dyDescent="0.15">
      <c r="A1363" t="s">
        <v>847</v>
      </c>
      <c r="B1363" s="169">
        <v>4.374E-8</v>
      </c>
    </row>
    <row r="1364" spans="1:7" x14ac:dyDescent="0.15">
      <c r="B1364" t="s">
        <v>114</v>
      </c>
      <c r="C1364" s="169">
        <v>3.7410000000000002E-8</v>
      </c>
      <c r="D1364" s="169">
        <v>2.6090000000000001E-8</v>
      </c>
      <c r="E1364">
        <v>-7.4269999999999996</v>
      </c>
      <c r="F1364">
        <v>-7.5839999999999996</v>
      </c>
      <c r="G1364">
        <v>-0.157</v>
      </c>
    </row>
    <row r="1365" spans="1:7" x14ac:dyDescent="0.15">
      <c r="B1365" t="s">
        <v>111</v>
      </c>
      <c r="C1365" s="169">
        <v>4.4459999999999997E-9</v>
      </c>
      <c r="D1365" s="169">
        <v>4.4459999999999997E-9</v>
      </c>
      <c r="E1365">
        <v>-8.3520000000000003</v>
      </c>
      <c r="F1365">
        <v>-8.3520000000000003</v>
      </c>
      <c r="G1365">
        <v>0</v>
      </c>
    </row>
    <row r="1366" spans="1:7" x14ac:dyDescent="0.15">
      <c r="B1366" t="s">
        <v>257</v>
      </c>
      <c r="C1366" s="169">
        <v>8.9880000000000004E-10</v>
      </c>
      <c r="D1366" s="169">
        <v>8.9880000000000004E-10</v>
      </c>
      <c r="E1366">
        <v>-9.0459999999999994</v>
      </c>
      <c r="F1366">
        <v>-9.0459999999999994</v>
      </c>
      <c r="G1366">
        <v>0</v>
      </c>
    </row>
    <row r="1367" spans="1:7" x14ac:dyDescent="0.15">
      <c r="B1367" t="s">
        <v>263</v>
      </c>
      <c r="C1367" s="169">
        <v>6.5000000000000003E-10</v>
      </c>
      <c r="D1367" s="169">
        <v>5.8760000000000002E-10</v>
      </c>
      <c r="E1367">
        <v>-9.1869999999999994</v>
      </c>
      <c r="F1367">
        <v>-9.2309999999999999</v>
      </c>
      <c r="G1367">
        <v>-4.3999999999999997E-2</v>
      </c>
    </row>
    <row r="1368" spans="1:7" x14ac:dyDescent="0.15">
      <c r="B1368" t="s">
        <v>115</v>
      </c>
      <c r="C1368" s="169">
        <v>1.581E-10</v>
      </c>
      <c r="D1368" s="169">
        <v>1.4289999999999999E-10</v>
      </c>
      <c r="E1368">
        <v>-9.8010000000000002</v>
      </c>
      <c r="F1368">
        <v>-9.8450000000000006</v>
      </c>
      <c r="G1368">
        <v>-4.3999999999999997E-2</v>
      </c>
    </row>
    <row r="1369" spans="1:7" x14ac:dyDescent="0.15">
      <c r="B1369" t="s">
        <v>274</v>
      </c>
      <c r="C1369" s="169">
        <v>7.0850000000000006E-11</v>
      </c>
      <c r="D1369" s="169">
        <v>6.4719999999999997E-11</v>
      </c>
      <c r="E1369">
        <v>-10.15</v>
      </c>
      <c r="F1369">
        <v>-10.189</v>
      </c>
      <c r="G1369">
        <v>-3.9E-2</v>
      </c>
    </row>
    <row r="1370" spans="1:7" x14ac:dyDescent="0.15">
      <c r="B1370" t="s">
        <v>113</v>
      </c>
      <c r="C1370" s="169">
        <v>5.8879999999999995E-11</v>
      </c>
      <c r="D1370" s="169">
        <v>3.932E-11</v>
      </c>
      <c r="E1370">
        <v>-10.23</v>
      </c>
      <c r="F1370">
        <v>-10.404999999999999</v>
      </c>
      <c r="G1370">
        <v>-0.17499999999999999</v>
      </c>
    </row>
    <row r="1371" spans="1:7" x14ac:dyDescent="0.15">
      <c r="B1371" t="s">
        <v>273</v>
      </c>
      <c r="C1371" s="169">
        <v>1.7170000000000001E-11</v>
      </c>
      <c r="D1371" s="169">
        <v>1.7170000000000001E-11</v>
      </c>
      <c r="E1371">
        <v>-10.765000000000001</v>
      </c>
      <c r="F1371">
        <v>-10.765000000000001</v>
      </c>
      <c r="G1371">
        <v>0</v>
      </c>
    </row>
    <row r="1372" spans="1:7" x14ac:dyDescent="0.15">
      <c r="B1372" t="s">
        <v>116</v>
      </c>
      <c r="C1372" s="169">
        <v>1.347E-11</v>
      </c>
      <c r="D1372" s="169">
        <v>1.347E-11</v>
      </c>
      <c r="E1372">
        <v>-10.871</v>
      </c>
      <c r="F1372">
        <v>-10.871</v>
      </c>
      <c r="G1372">
        <v>0</v>
      </c>
    </row>
    <row r="1373" spans="1:7" x14ac:dyDescent="0.15">
      <c r="B1373" t="s">
        <v>340</v>
      </c>
      <c r="C1373" s="169">
        <v>1.2820000000000001E-11</v>
      </c>
      <c r="D1373" s="169">
        <v>1.159E-11</v>
      </c>
      <c r="E1373">
        <v>-10.891999999999999</v>
      </c>
      <c r="F1373">
        <v>-10.936</v>
      </c>
      <c r="G1373">
        <v>-4.3999999999999997E-2</v>
      </c>
    </row>
    <row r="1374" spans="1:7" x14ac:dyDescent="0.15">
      <c r="B1374" t="s">
        <v>277</v>
      </c>
      <c r="C1374" s="169">
        <v>5.7869999999999997E-14</v>
      </c>
      <c r="D1374" s="169">
        <v>5.7869999999999997E-14</v>
      </c>
      <c r="E1374">
        <v>-13.238</v>
      </c>
      <c r="F1374">
        <v>-13.238</v>
      </c>
      <c r="G1374">
        <v>0</v>
      </c>
    </row>
    <row r="1375" spans="1:7" x14ac:dyDescent="0.15">
      <c r="B1375" t="s">
        <v>117</v>
      </c>
      <c r="C1375" s="169">
        <v>1.348E-14</v>
      </c>
      <c r="D1375" s="169">
        <v>1.219E-14</v>
      </c>
      <c r="E1375">
        <v>-13.87</v>
      </c>
      <c r="F1375">
        <v>-13.914</v>
      </c>
      <c r="G1375">
        <v>-4.3999999999999997E-2</v>
      </c>
    </row>
    <row r="1376" spans="1:7" x14ac:dyDescent="0.15">
      <c r="B1376" t="s">
        <v>342</v>
      </c>
      <c r="C1376" s="169">
        <v>3.3599999999999999E-16</v>
      </c>
      <c r="D1376" s="169">
        <v>3.3599999999999999E-16</v>
      </c>
      <c r="E1376">
        <v>-15.474</v>
      </c>
      <c r="F1376">
        <v>-15.474</v>
      </c>
      <c r="G1376">
        <v>0</v>
      </c>
    </row>
    <row r="1377" spans="1:10" x14ac:dyDescent="0.15">
      <c r="B1377" t="s">
        <v>280</v>
      </c>
      <c r="C1377" s="169">
        <v>5.2319999999999999E-17</v>
      </c>
      <c r="D1377" s="169">
        <v>4.7790000000000002E-17</v>
      </c>
      <c r="E1377">
        <v>-16.280999999999999</v>
      </c>
      <c r="F1377">
        <v>-16.321000000000002</v>
      </c>
      <c r="G1377">
        <v>-3.9E-2</v>
      </c>
    </row>
    <row r="1378" spans="1:10" x14ac:dyDescent="0.15">
      <c r="B1378" t="s">
        <v>118</v>
      </c>
      <c r="C1378" s="169">
        <v>1.312E-19</v>
      </c>
      <c r="D1378" s="169">
        <v>8.7590000000000002E-20</v>
      </c>
      <c r="E1378">
        <v>-18.882000000000001</v>
      </c>
      <c r="F1378">
        <v>-19.058</v>
      </c>
      <c r="G1378">
        <v>-0.17499999999999999</v>
      </c>
    </row>
    <row r="1379" spans="1:10" x14ac:dyDescent="0.15">
      <c r="B1379" t="s">
        <v>281</v>
      </c>
      <c r="C1379" s="169">
        <v>3.3260000000000002E-20</v>
      </c>
      <c r="D1379" s="169">
        <v>2.337E-20</v>
      </c>
      <c r="E1379">
        <v>-19.478000000000002</v>
      </c>
      <c r="F1379">
        <v>-19.631</v>
      </c>
      <c r="G1379">
        <v>-0.153</v>
      </c>
    </row>
    <row r="1380" spans="1:10" x14ac:dyDescent="0.15">
      <c r="B1380" t="s">
        <v>61</v>
      </c>
      <c r="C1380" s="169">
        <v>0</v>
      </c>
      <c r="D1380" s="169">
        <v>0</v>
      </c>
      <c r="E1380">
        <v>-293.35300000000001</v>
      </c>
      <c r="F1380">
        <v>-293.39600000000002</v>
      </c>
      <c r="G1380">
        <v>-4.3999999999999997E-2</v>
      </c>
    </row>
    <row r="1381" spans="1:10" x14ac:dyDescent="0.15">
      <c r="B1381" t="s">
        <v>62</v>
      </c>
      <c r="C1381" s="169">
        <v>0</v>
      </c>
      <c r="D1381" s="169">
        <v>0</v>
      </c>
      <c r="E1381">
        <v>-294.64</v>
      </c>
      <c r="F1381">
        <v>-294.64</v>
      </c>
      <c r="G1381">
        <v>0</v>
      </c>
    </row>
    <row r="1382" spans="1:10" x14ac:dyDescent="0.15">
      <c r="B1382" t="s">
        <v>63</v>
      </c>
      <c r="C1382" s="169">
        <v>0</v>
      </c>
      <c r="D1382" s="169">
        <v>0</v>
      </c>
      <c r="E1382">
        <v>-441.25400000000002</v>
      </c>
      <c r="F1382">
        <v>-441.298</v>
      </c>
      <c r="G1382">
        <v>-4.3999999999999997E-2</v>
      </c>
    </row>
    <row r="1383" spans="1:10" x14ac:dyDescent="0.15">
      <c r="B1383" t="s">
        <v>64</v>
      </c>
      <c r="C1383" s="169">
        <v>0</v>
      </c>
      <c r="D1383" s="169">
        <v>0</v>
      </c>
      <c r="E1383">
        <v>-443.84899999999999</v>
      </c>
      <c r="F1383">
        <v>-444.02499999999998</v>
      </c>
      <c r="G1383">
        <v>-0.17499999999999999</v>
      </c>
    </row>
    <row r="1384" spans="1:10" x14ac:dyDescent="0.15">
      <c r="B1384" t="s">
        <v>65</v>
      </c>
      <c r="C1384" s="169">
        <v>0</v>
      </c>
      <c r="D1384" s="169">
        <v>0</v>
      </c>
      <c r="E1384">
        <v>-592.52099999999996</v>
      </c>
      <c r="F1384">
        <v>-592.697</v>
      </c>
      <c r="G1384">
        <v>-0.17499999999999999</v>
      </c>
    </row>
    <row r="1386" spans="1:10" x14ac:dyDescent="0.15">
      <c r="A1386" t="e">
        <f>------------------------------Saturation</f>
        <v>#NAME?</v>
      </c>
      <c r="B1386" t="s">
        <v>119</v>
      </c>
    </row>
    <row r="1388" spans="1:10" x14ac:dyDescent="0.15">
      <c r="B1388" t="s">
        <v>120</v>
      </c>
      <c r="C1388" t="s">
        <v>121</v>
      </c>
      <c r="D1388" t="s">
        <v>122</v>
      </c>
      <c r="E1388" t="s">
        <v>123</v>
      </c>
      <c r="F1388" t="s">
        <v>122</v>
      </c>
      <c r="G1388" t="s">
        <v>124</v>
      </c>
      <c r="I1388">
        <v>1</v>
      </c>
      <c r="J1388" t="s">
        <v>126</v>
      </c>
    </row>
    <row r="1390" spans="1:10" x14ac:dyDescent="0.15">
      <c r="B1390" t="s">
        <v>66</v>
      </c>
      <c r="C1390">
        <v>-329.78</v>
      </c>
      <c r="D1390">
        <v>6.23</v>
      </c>
      <c r="E1390" t="s">
        <v>127</v>
      </c>
    </row>
    <row r="1391" spans="1:10" x14ac:dyDescent="0.15">
      <c r="B1391" t="s">
        <v>67</v>
      </c>
      <c r="C1391">
        <v>-328.1</v>
      </c>
      <c r="D1391">
        <v>4.6100000000000003</v>
      </c>
      <c r="E1391" t="s">
        <v>128</v>
      </c>
    </row>
    <row r="1392" spans="1:10" x14ac:dyDescent="0.15">
      <c r="B1392" t="s">
        <v>68</v>
      </c>
      <c r="C1392">
        <v>-328.1</v>
      </c>
      <c r="D1392">
        <v>11.97</v>
      </c>
      <c r="E1392" t="s">
        <v>129</v>
      </c>
    </row>
    <row r="1393" spans="2:6" x14ac:dyDescent="0.15">
      <c r="B1393" t="s">
        <v>69</v>
      </c>
      <c r="C1393">
        <v>-389.18</v>
      </c>
      <c r="D1393">
        <v>17.920000000000002</v>
      </c>
      <c r="E1393" t="s">
        <v>130</v>
      </c>
    </row>
    <row r="1394" spans="2:6" x14ac:dyDescent="0.15">
      <c r="B1394" t="s">
        <v>131</v>
      </c>
      <c r="C1394">
        <v>-407</v>
      </c>
      <c r="D1394">
        <v>-386.66</v>
      </c>
      <c r="E1394">
        <v>20.34</v>
      </c>
      <c r="F1394" t="s">
        <v>131</v>
      </c>
    </row>
    <row r="1395" spans="2:6" x14ac:dyDescent="0.15">
      <c r="B1395" t="s">
        <v>376</v>
      </c>
      <c r="C1395">
        <v>-1.75</v>
      </c>
      <c r="D1395">
        <v>-6.04</v>
      </c>
      <c r="E1395">
        <v>-4.29</v>
      </c>
      <c r="F1395" t="s">
        <v>266</v>
      </c>
    </row>
    <row r="1396" spans="2:6" x14ac:dyDescent="0.15">
      <c r="B1396" t="s">
        <v>70</v>
      </c>
      <c r="C1396">
        <v>-140.81</v>
      </c>
      <c r="D1396">
        <v>-174.38</v>
      </c>
      <c r="E1396">
        <v>-33.57</v>
      </c>
      <c r="F1396" t="s">
        <v>71</v>
      </c>
    </row>
    <row r="1397" spans="2:6" x14ac:dyDescent="0.15">
      <c r="B1397" t="s">
        <v>377</v>
      </c>
      <c r="C1397">
        <v>-6.68</v>
      </c>
      <c r="D1397">
        <v>2.11</v>
      </c>
      <c r="E1397">
        <v>8.7899999999999991</v>
      </c>
      <c r="F1397" t="s">
        <v>378</v>
      </c>
    </row>
    <row r="1398" spans="2:6" x14ac:dyDescent="0.15">
      <c r="B1398" t="s">
        <v>379</v>
      </c>
      <c r="C1398">
        <v>-1.03</v>
      </c>
      <c r="D1398">
        <v>-9.2100000000000009</v>
      </c>
      <c r="E1398">
        <v>-8.19</v>
      </c>
      <c r="F1398" t="s">
        <v>520</v>
      </c>
    </row>
    <row r="1399" spans="2:6" x14ac:dyDescent="0.15">
      <c r="B1399" t="s">
        <v>380</v>
      </c>
      <c r="C1399">
        <v>-5.36</v>
      </c>
      <c r="D1399">
        <v>2.9</v>
      </c>
      <c r="E1399">
        <v>8.26</v>
      </c>
      <c r="F1399" t="s">
        <v>381</v>
      </c>
    </row>
    <row r="1400" spans="2:6" x14ac:dyDescent="0.15">
      <c r="B1400" t="s">
        <v>382</v>
      </c>
      <c r="C1400">
        <v>-5.77</v>
      </c>
      <c r="D1400">
        <v>-21.8</v>
      </c>
      <c r="E1400">
        <v>-16.02</v>
      </c>
      <c r="F1400" t="s">
        <v>383</v>
      </c>
    </row>
    <row r="1401" spans="2:6" x14ac:dyDescent="0.15">
      <c r="B1401" t="s">
        <v>384</v>
      </c>
      <c r="C1401">
        <v>-8.8800000000000008</v>
      </c>
      <c r="D1401">
        <v>-10.63</v>
      </c>
      <c r="E1401">
        <v>-1.76</v>
      </c>
      <c r="F1401" t="s">
        <v>385</v>
      </c>
    </row>
    <row r="1402" spans="2:6" x14ac:dyDescent="0.15">
      <c r="B1402" t="s">
        <v>72</v>
      </c>
      <c r="C1402">
        <v>-129.63999999999999</v>
      </c>
      <c r="D1402">
        <v>-153.80000000000001</v>
      </c>
      <c r="E1402">
        <v>-24.16</v>
      </c>
      <c r="F1402" t="s">
        <v>73</v>
      </c>
    </row>
    <row r="1403" spans="2:6" x14ac:dyDescent="0.15">
      <c r="B1403" t="s">
        <v>74</v>
      </c>
      <c r="C1403">
        <v>-136.02000000000001</v>
      </c>
      <c r="D1403">
        <v>-163.30000000000001</v>
      </c>
      <c r="E1403">
        <v>-27.28</v>
      </c>
      <c r="F1403" t="s">
        <v>75</v>
      </c>
    </row>
    <row r="1404" spans="2:6" x14ac:dyDescent="0.15">
      <c r="B1404" t="s">
        <v>386</v>
      </c>
      <c r="C1404">
        <v>-8.44</v>
      </c>
      <c r="D1404">
        <v>8.66</v>
      </c>
      <c r="E1404">
        <v>17.100000000000001</v>
      </c>
      <c r="F1404" t="s">
        <v>387</v>
      </c>
    </row>
    <row r="1405" spans="2:6" x14ac:dyDescent="0.15">
      <c r="B1405" t="s">
        <v>388</v>
      </c>
      <c r="C1405">
        <v>-7.34</v>
      </c>
      <c r="D1405">
        <v>6.04</v>
      </c>
      <c r="E1405">
        <v>13.37</v>
      </c>
      <c r="F1405" t="s">
        <v>389</v>
      </c>
    </row>
    <row r="1406" spans="2:6" x14ac:dyDescent="0.15">
      <c r="B1406" t="s">
        <v>241</v>
      </c>
      <c r="C1406">
        <v>-3.56</v>
      </c>
      <c r="D1406">
        <v>-32.979999999999997</v>
      </c>
      <c r="E1406">
        <v>-29.42</v>
      </c>
      <c r="F1406" t="s">
        <v>242</v>
      </c>
    </row>
    <row r="1407" spans="2:6" x14ac:dyDescent="0.15">
      <c r="B1407" t="s">
        <v>243</v>
      </c>
      <c r="C1407">
        <v>-8.15</v>
      </c>
      <c r="D1407">
        <v>-55.23</v>
      </c>
      <c r="E1407">
        <v>-47.08</v>
      </c>
      <c r="F1407" t="s">
        <v>243</v>
      </c>
    </row>
    <row r="1408" spans="2:6" x14ac:dyDescent="0.15">
      <c r="B1408" t="s">
        <v>232</v>
      </c>
      <c r="C1408">
        <v>-2.69</v>
      </c>
      <c r="D1408">
        <v>-22.25</v>
      </c>
      <c r="E1408">
        <v>-19.559999999999999</v>
      </c>
      <c r="F1408" t="s">
        <v>232</v>
      </c>
    </row>
    <row r="1409" spans="2:6" x14ac:dyDescent="0.15">
      <c r="B1409" t="s">
        <v>244</v>
      </c>
      <c r="C1409">
        <v>-3.04</v>
      </c>
      <c r="D1409">
        <v>-22.25</v>
      </c>
      <c r="E1409">
        <v>-19.21</v>
      </c>
      <c r="F1409" t="s">
        <v>244</v>
      </c>
    </row>
    <row r="1410" spans="2:6" x14ac:dyDescent="0.15">
      <c r="B1410" t="s">
        <v>477</v>
      </c>
      <c r="C1410">
        <v>-0.81</v>
      </c>
      <c r="D1410">
        <v>-9.2100000000000009</v>
      </c>
      <c r="E1410">
        <v>-8.41</v>
      </c>
      <c r="F1410" t="s">
        <v>520</v>
      </c>
    </row>
    <row r="1411" spans="2:6" x14ac:dyDescent="0.15">
      <c r="B1411" t="s">
        <v>390</v>
      </c>
      <c r="C1411">
        <v>-2.39</v>
      </c>
      <c r="D1411">
        <v>-10.32</v>
      </c>
      <c r="E1411">
        <v>-7.93</v>
      </c>
      <c r="F1411" t="s">
        <v>390</v>
      </c>
    </row>
    <row r="1412" spans="2:6" x14ac:dyDescent="0.15">
      <c r="B1412" t="s">
        <v>391</v>
      </c>
      <c r="C1412">
        <v>-151.15</v>
      </c>
      <c r="D1412">
        <v>-194.58</v>
      </c>
      <c r="E1412">
        <v>-43.43</v>
      </c>
      <c r="F1412" t="s">
        <v>392</v>
      </c>
    </row>
    <row r="1413" spans="2:6" x14ac:dyDescent="0.15">
      <c r="B1413" t="s">
        <v>393</v>
      </c>
      <c r="C1413">
        <v>-8.31</v>
      </c>
      <c r="D1413">
        <v>-11</v>
      </c>
      <c r="E1413">
        <v>-2.7</v>
      </c>
      <c r="F1413" t="s">
        <v>394</v>
      </c>
    </row>
    <row r="1414" spans="2:6" x14ac:dyDescent="0.15">
      <c r="B1414" t="s">
        <v>76</v>
      </c>
      <c r="C1414">
        <v>-145.81</v>
      </c>
      <c r="D1414">
        <v>-182.29</v>
      </c>
      <c r="E1414">
        <v>-36.479999999999997</v>
      </c>
      <c r="F1414" t="s">
        <v>77</v>
      </c>
    </row>
    <row r="1415" spans="2:6" x14ac:dyDescent="0.15">
      <c r="B1415" t="s">
        <v>295</v>
      </c>
      <c r="C1415">
        <v>-7.1</v>
      </c>
      <c r="D1415">
        <v>5.99</v>
      </c>
      <c r="E1415">
        <v>13.09</v>
      </c>
      <c r="F1415" t="s">
        <v>295</v>
      </c>
    </row>
    <row r="1416" spans="2:6" x14ac:dyDescent="0.15">
      <c r="B1416" t="s">
        <v>395</v>
      </c>
      <c r="C1416">
        <v>-3.23</v>
      </c>
      <c r="D1416">
        <v>-4.68</v>
      </c>
      <c r="E1416">
        <v>-1.45</v>
      </c>
      <c r="F1416" t="s">
        <v>395</v>
      </c>
    </row>
    <row r="1417" spans="2:6" x14ac:dyDescent="0.15">
      <c r="B1417" t="s">
        <v>396</v>
      </c>
      <c r="C1417">
        <v>-2.5499999999999998</v>
      </c>
      <c r="D1417">
        <v>-20.73</v>
      </c>
      <c r="E1417">
        <v>-18.18</v>
      </c>
      <c r="F1417" t="s">
        <v>221</v>
      </c>
    </row>
    <row r="1418" spans="2:6" x14ac:dyDescent="0.15">
      <c r="B1418" t="s">
        <v>245</v>
      </c>
      <c r="C1418">
        <v>-14.86</v>
      </c>
      <c r="D1418">
        <v>-49.55</v>
      </c>
      <c r="E1418">
        <v>-34.69</v>
      </c>
      <c r="F1418" t="s">
        <v>245</v>
      </c>
    </row>
    <row r="1419" spans="2:6" x14ac:dyDescent="0.15">
      <c r="B1419" t="s">
        <v>397</v>
      </c>
      <c r="C1419">
        <v>6.14</v>
      </c>
      <c r="D1419">
        <v>-3.36</v>
      </c>
      <c r="E1419">
        <v>-9.5</v>
      </c>
      <c r="F1419" t="s">
        <v>397</v>
      </c>
    </row>
    <row r="1420" spans="2:6" x14ac:dyDescent="0.15">
      <c r="B1420" t="s">
        <v>398</v>
      </c>
      <c r="C1420">
        <v>-23.43</v>
      </c>
      <c r="D1420">
        <v>-14.43</v>
      </c>
      <c r="E1420">
        <v>9.01</v>
      </c>
      <c r="F1420" t="s">
        <v>398</v>
      </c>
    </row>
    <row r="1421" spans="2:6" x14ac:dyDescent="0.15">
      <c r="B1421" t="s">
        <v>399</v>
      </c>
      <c r="C1421">
        <v>-16.89</v>
      </c>
      <c r="D1421">
        <v>-14.43</v>
      </c>
      <c r="E1421">
        <v>2.46</v>
      </c>
      <c r="F1421" t="s">
        <v>399</v>
      </c>
    </row>
    <row r="1422" spans="2:6" x14ac:dyDescent="0.15">
      <c r="B1422" t="s">
        <v>259</v>
      </c>
      <c r="C1422">
        <v>-4.88</v>
      </c>
      <c r="D1422">
        <v>-14.74</v>
      </c>
      <c r="E1422">
        <v>-9.86</v>
      </c>
      <c r="F1422" t="s">
        <v>259</v>
      </c>
    </row>
    <row r="1423" spans="2:6" x14ac:dyDescent="0.15">
      <c r="B1423" t="s">
        <v>235</v>
      </c>
      <c r="C1423">
        <v>-8.7100000000000009</v>
      </c>
      <c r="D1423">
        <v>-27.77</v>
      </c>
      <c r="E1423">
        <v>-19.059999999999999</v>
      </c>
      <c r="F1423" t="s">
        <v>235</v>
      </c>
    </row>
    <row r="1424" spans="2:6" x14ac:dyDescent="0.15">
      <c r="B1424" t="s">
        <v>400</v>
      </c>
      <c r="C1424">
        <v>-8.3000000000000007</v>
      </c>
      <c r="D1424">
        <v>-15.84</v>
      </c>
      <c r="E1424">
        <v>-7.54</v>
      </c>
      <c r="F1424" t="s">
        <v>400</v>
      </c>
    </row>
    <row r="1425" spans="2:6" x14ac:dyDescent="0.15">
      <c r="B1425" t="s">
        <v>401</v>
      </c>
      <c r="C1425">
        <v>-8.58</v>
      </c>
      <c r="D1425">
        <v>5.99</v>
      </c>
      <c r="E1425">
        <v>14.57</v>
      </c>
      <c r="F1425" t="s">
        <v>401</v>
      </c>
    </row>
    <row r="1426" spans="2:6" x14ac:dyDescent="0.15">
      <c r="B1426" t="s">
        <v>78</v>
      </c>
      <c r="C1426">
        <v>-143.76</v>
      </c>
      <c r="D1426">
        <v>-151.19999999999999</v>
      </c>
      <c r="E1426">
        <v>-7.44</v>
      </c>
      <c r="F1426" t="s">
        <v>79</v>
      </c>
    </row>
    <row r="1427" spans="2:6" x14ac:dyDescent="0.15">
      <c r="B1427" t="s">
        <v>80</v>
      </c>
      <c r="C1427">
        <v>-140.13</v>
      </c>
      <c r="D1427">
        <v>-151.19999999999999</v>
      </c>
      <c r="E1427">
        <v>-11.07</v>
      </c>
      <c r="F1427" t="s">
        <v>79</v>
      </c>
    </row>
    <row r="1428" spans="2:6" x14ac:dyDescent="0.15">
      <c r="B1428" t="s">
        <v>292</v>
      </c>
      <c r="C1428">
        <v>-15.1</v>
      </c>
      <c r="D1428">
        <v>-11.57</v>
      </c>
      <c r="E1428">
        <v>3.54</v>
      </c>
      <c r="F1428" t="s">
        <v>292</v>
      </c>
    </row>
    <row r="1429" spans="2:6" x14ac:dyDescent="0.15">
      <c r="B1429" t="s">
        <v>402</v>
      </c>
      <c r="C1429">
        <v>-9.08</v>
      </c>
      <c r="D1429">
        <v>-11.57</v>
      </c>
      <c r="E1429">
        <v>-2.48</v>
      </c>
      <c r="F1429" t="s">
        <v>402</v>
      </c>
    </row>
    <row r="1430" spans="2:6" x14ac:dyDescent="0.15">
      <c r="B1430" t="s">
        <v>81</v>
      </c>
      <c r="C1430">
        <v>-127.44</v>
      </c>
      <c r="D1430">
        <v>-150.63999999999999</v>
      </c>
      <c r="E1430">
        <v>-23.2</v>
      </c>
      <c r="F1430" t="s">
        <v>82</v>
      </c>
    </row>
    <row r="1431" spans="2:6" x14ac:dyDescent="0.15">
      <c r="B1431" t="s">
        <v>317</v>
      </c>
      <c r="C1431">
        <v>-2.64</v>
      </c>
      <c r="D1431">
        <v>6.55</v>
      </c>
      <c r="E1431">
        <v>9.1999999999999993</v>
      </c>
      <c r="F1431" t="s">
        <v>317</v>
      </c>
    </row>
    <row r="1432" spans="2:6" x14ac:dyDescent="0.15">
      <c r="B1432" t="s">
        <v>403</v>
      </c>
      <c r="C1432">
        <v>-7.86</v>
      </c>
      <c r="D1432">
        <v>2.06</v>
      </c>
      <c r="E1432">
        <v>9.92</v>
      </c>
      <c r="F1432" t="s">
        <v>403</v>
      </c>
    </row>
    <row r="1433" spans="2:6" x14ac:dyDescent="0.15">
      <c r="B1433" t="s">
        <v>133</v>
      </c>
      <c r="C1433">
        <v>-40.89</v>
      </c>
      <c r="D1433">
        <v>-42.66</v>
      </c>
      <c r="E1433">
        <v>-1.77</v>
      </c>
      <c r="F1433" t="s">
        <v>133</v>
      </c>
    </row>
    <row r="1434" spans="2:6" x14ac:dyDescent="0.15">
      <c r="B1434" t="s">
        <v>246</v>
      </c>
      <c r="C1434">
        <v>-11.01</v>
      </c>
      <c r="D1434">
        <v>-47.86</v>
      </c>
      <c r="E1434">
        <v>-36.85</v>
      </c>
      <c r="F1434" t="s">
        <v>246</v>
      </c>
    </row>
    <row r="1435" spans="2:6" x14ac:dyDescent="0.15">
      <c r="B1435" t="s">
        <v>247</v>
      </c>
      <c r="C1435">
        <v>-12.74</v>
      </c>
      <c r="D1435">
        <v>-47.86</v>
      </c>
      <c r="E1435">
        <v>-35.119999999999997</v>
      </c>
      <c r="F1435" t="s">
        <v>247</v>
      </c>
    </row>
    <row r="1436" spans="2:6" x14ac:dyDescent="0.15">
      <c r="B1436" t="s">
        <v>256</v>
      </c>
      <c r="C1436">
        <v>-2.68</v>
      </c>
      <c r="D1436">
        <v>-14.18</v>
      </c>
      <c r="E1436">
        <v>-11.5</v>
      </c>
      <c r="F1436" t="s">
        <v>256</v>
      </c>
    </row>
    <row r="1437" spans="2:6" x14ac:dyDescent="0.15">
      <c r="B1437" t="s">
        <v>134</v>
      </c>
      <c r="C1437">
        <v>-24.86</v>
      </c>
      <c r="D1437">
        <v>-34.28</v>
      </c>
      <c r="E1437">
        <v>-9.42</v>
      </c>
      <c r="F1437" t="s">
        <v>836</v>
      </c>
    </row>
    <row r="1438" spans="2:6" x14ac:dyDescent="0.15">
      <c r="B1438" t="s">
        <v>135</v>
      </c>
      <c r="C1438">
        <v>-2.09</v>
      </c>
      <c r="D1438">
        <v>-15.28</v>
      </c>
      <c r="E1438">
        <v>-13.19</v>
      </c>
      <c r="F1438" t="s">
        <v>135</v>
      </c>
    </row>
    <row r="1439" spans="2:6" x14ac:dyDescent="0.15">
      <c r="B1439" t="s">
        <v>136</v>
      </c>
      <c r="C1439">
        <v>-16.03</v>
      </c>
      <c r="D1439">
        <v>-4.45</v>
      </c>
      <c r="E1439">
        <v>11.58</v>
      </c>
      <c r="F1439" t="s">
        <v>136</v>
      </c>
    </row>
    <row r="1440" spans="2:6" x14ac:dyDescent="0.15">
      <c r="B1440" t="s">
        <v>137</v>
      </c>
      <c r="C1440">
        <v>-24.85</v>
      </c>
      <c r="D1440">
        <v>-25.1</v>
      </c>
      <c r="E1440">
        <v>-0.26</v>
      </c>
      <c r="F1440" t="s">
        <v>138</v>
      </c>
    </row>
    <row r="1441" spans="2:6" x14ac:dyDescent="0.15">
      <c r="B1441" t="s">
        <v>319</v>
      </c>
      <c r="C1441">
        <v>-14.62</v>
      </c>
      <c r="D1441">
        <v>-11</v>
      </c>
      <c r="E1441">
        <v>3.62</v>
      </c>
      <c r="F1441" t="s">
        <v>319</v>
      </c>
    </row>
    <row r="1442" spans="2:6" x14ac:dyDescent="0.15">
      <c r="B1442" t="s">
        <v>83</v>
      </c>
      <c r="C1442">
        <v>-144.41999999999999</v>
      </c>
      <c r="D1442">
        <v>-180.2</v>
      </c>
      <c r="E1442">
        <v>-35.78</v>
      </c>
      <c r="F1442" t="s">
        <v>84</v>
      </c>
    </row>
    <row r="1443" spans="2:6" x14ac:dyDescent="0.15">
      <c r="B1443" t="s">
        <v>139</v>
      </c>
      <c r="C1443">
        <v>-8.49</v>
      </c>
      <c r="D1443">
        <v>-10.63</v>
      </c>
      <c r="E1443">
        <v>-2.14</v>
      </c>
      <c r="F1443" t="s">
        <v>140</v>
      </c>
    </row>
    <row r="1444" spans="2:6" x14ac:dyDescent="0.15">
      <c r="B1444" t="s">
        <v>141</v>
      </c>
      <c r="C1444">
        <v>-1.42</v>
      </c>
      <c r="D1444">
        <v>-6.04</v>
      </c>
      <c r="E1444">
        <v>-4.62</v>
      </c>
      <c r="F1444" t="s">
        <v>142</v>
      </c>
    </row>
    <row r="1445" spans="2:6" x14ac:dyDescent="0.15">
      <c r="B1445" t="s">
        <v>329</v>
      </c>
      <c r="C1445">
        <v>-8.5</v>
      </c>
      <c r="D1445">
        <v>-21.84</v>
      </c>
      <c r="E1445">
        <v>-13.33</v>
      </c>
      <c r="F1445" t="s">
        <v>329</v>
      </c>
    </row>
    <row r="1446" spans="2:6" x14ac:dyDescent="0.15">
      <c r="B1446" t="s">
        <v>85</v>
      </c>
      <c r="C1446">
        <v>-149.18</v>
      </c>
      <c r="D1446">
        <v>-157.19</v>
      </c>
      <c r="E1446">
        <v>-8.01</v>
      </c>
      <c r="F1446" t="s">
        <v>54</v>
      </c>
    </row>
    <row r="1447" spans="2:6" x14ac:dyDescent="0.15">
      <c r="B1447" t="s">
        <v>143</v>
      </c>
      <c r="C1447">
        <v>-7.25</v>
      </c>
      <c r="D1447">
        <v>-5.68</v>
      </c>
      <c r="E1447">
        <v>1.57</v>
      </c>
      <c r="F1447" t="s">
        <v>144</v>
      </c>
    </row>
    <row r="1448" spans="2:6" x14ac:dyDescent="0.15">
      <c r="B1448" t="s">
        <v>248</v>
      </c>
      <c r="C1448">
        <v>0.62</v>
      </c>
      <c r="D1448">
        <v>-43.71</v>
      </c>
      <c r="E1448">
        <v>-44.33</v>
      </c>
      <c r="F1448" t="s">
        <v>249</v>
      </c>
    </row>
    <row r="1449" spans="2:6" x14ac:dyDescent="0.15">
      <c r="B1449" t="s">
        <v>145</v>
      </c>
      <c r="C1449">
        <v>-10.36</v>
      </c>
      <c r="D1449">
        <v>8.66</v>
      </c>
      <c r="E1449">
        <v>19.03</v>
      </c>
      <c r="F1449" t="s">
        <v>146</v>
      </c>
    </row>
    <row r="1450" spans="2:6" x14ac:dyDescent="0.15">
      <c r="B1450" t="s">
        <v>147</v>
      </c>
      <c r="C1450">
        <v>-22.98</v>
      </c>
      <c r="D1450">
        <v>11.52</v>
      </c>
      <c r="E1450">
        <v>34.5</v>
      </c>
      <c r="F1450" t="s">
        <v>148</v>
      </c>
    </row>
    <row r="1451" spans="2:6" x14ac:dyDescent="0.15">
      <c r="B1451" t="s">
        <v>149</v>
      </c>
      <c r="C1451">
        <v>-1.61</v>
      </c>
      <c r="D1451">
        <v>-7.62</v>
      </c>
      <c r="E1451">
        <v>-6.01</v>
      </c>
      <c r="F1451" t="s">
        <v>150</v>
      </c>
    </row>
    <row r="1452" spans="2:6" x14ac:dyDescent="0.15">
      <c r="B1452" t="s">
        <v>151</v>
      </c>
      <c r="C1452">
        <v>-20.71</v>
      </c>
      <c r="D1452">
        <v>-13.86</v>
      </c>
      <c r="E1452">
        <v>6.85</v>
      </c>
      <c r="F1452" t="s">
        <v>278</v>
      </c>
    </row>
    <row r="1453" spans="2:6" x14ac:dyDescent="0.15">
      <c r="B1453" t="s">
        <v>152</v>
      </c>
      <c r="C1453">
        <v>-6.65</v>
      </c>
      <c r="D1453">
        <v>-8.5</v>
      </c>
      <c r="E1453">
        <v>-1.85</v>
      </c>
      <c r="F1453" t="s">
        <v>153</v>
      </c>
    </row>
    <row r="1454" spans="2:6" x14ac:dyDescent="0.15">
      <c r="B1454" t="s">
        <v>154</v>
      </c>
      <c r="C1454">
        <v>-13.84</v>
      </c>
      <c r="D1454">
        <v>-21.84</v>
      </c>
      <c r="E1454">
        <v>-8</v>
      </c>
      <c r="F1454" t="s">
        <v>154</v>
      </c>
    </row>
    <row r="1455" spans="2:6" x14ac:dyDescent="0.15">
      <c r="B1455" t="s">
        <v>155</v>
      </c>
      <c r="C1455">
        <v>-9.26</v>
      </c>
      <c r="D1455">
        <v>-11.52</v>
      </c>
      <c r="E1455">
        <v>-2.2599999999999998</v>
      </c>
      <c r="F1455" t="s">
        <v>156</v>
      </c>
    </row>
    <row r="1456" spans="2:6" x14ac:dyDescent="0.15">
      <c r="B1456" t="s">
        <v>86</v>
      </c>
      <c r="C1456">
        <v>-305.81</v>
      </c>
      <c r="D1456">
        <v>-379.68</v>
      </c>
      <c r="E1456">
        <v>-73.87</v>
      </c>
      <c r="F1456" t="s">
        <v>86</v>
      </c>
    </row>
    <row r="1457" spans="2:6" x14ac:dyDescent="0.15">
      <c r="B1457" t="s">
        <v>157</v>
      </c>
      <c r="C1457">
        <v>-17.489999999999998</v>
      </c>
      <c r="D1457">
        <v>-34.61</v>
      </c>
      <c r="E1457">
        <v>-17.12</v>
      </c>
      <c r="F1457" t="s">
        <v>157</v>
      </c>
    </row>
    <row r="1458" spans="2:6" x14ac:dyDescent="0.15">
      <c r="B1458" t="s">
        <v>158</v>
      </c>
      <c r="C1458">
        <v>-14.36</v>
      </c>
      <c r="D1458">
        <v>-12.77</v>
      </c>
      <c r="E1458">
        <v>1.58</v>
      </c>
      <c r="F1458" t="s">
        <v>158</v>
      </c>
    </row>
    <row r="1459" spans="2:6" x14ac:dyDescent="0.15">
      <c r="B1459" t="s">
        <v>159</v>
      </c>
      <c r="C1459">
        <v>-14</v>
      </c>
      <c r="D1459">
        <v>-12.77</v>
      </c>
      <c r="E1459">
        <v>1.22</v>
      </c>
      <c r="F1459" t="s">
        <v>159</v>
      </c>
    </row>
    <row r="1460" spans="2:6" x14ac:dyDescent="0.15">
      <c r="B1460" t="s">
        <v>160</v>
      </c>
      <c r="C1460">
        <v>-15.63</v>
      </c>
      <c r="D1460">
        <v>-22.76</v>
      </c>
      <c r="E1460">
        <v>-7.13</v>
      </c>
      <c r="F1460" t="s">
        <v>284</v>
      </c>
    </row>
    <row r="1461" spans="2:6" x14ac:dyDescent="0.15">
      <c r="B1461" t="s">
        <v>161</v>
      </c>
      <c r="C1461">
        <v>-9.75</v>
      </c>
      <c r="D1461">
        <v>-11.67</v>
      </c>
      <c r="E1461">
        <v>-1.92</v>
      </c>
      <c r="F1461" t="s">
        <v>162</v>
      </c>
    </row>
    <row r="1462" spans="2:6" x14ac:dyDescent="0.15">
      <c r="B1462" t="s">
        <v>106</v>
      </c>
      <c r="C1462">
        <v>-7.65</v>
      </c>
      <c r="D1462">
        <v>6.04</v>
      </c>
      <c r="E1462">
        <v>13.68</v>
      </c>
      <c r="F1462" t="s">
        <v>106</v>
      </c>
    </row>
    <row r="1463" spans="2:6" x14ac:dyDescent="0.15">
      <c r="B1463" t="s">
        <v>250</v>
      </c>
      <c r="C1463">
        <v>-18.12</v>
      </c>
      <c r="D1463">
        <v>-49.42</v>
      </c>
      <c r="E1463">
        <v>-31.3</v>
      </c>
      <c r="F1463" t="s">
        <v>250</v>
      </c>
    </row>
    <row r="1464" spans="2:6" x14ac:dyDescent="0.15">
      <c r="B1464" t="s">
        <v>163</v>
      </c>
      <c r="C1464">
        <v>-25.41</v>
      </c>
      <c r="D1464">
        <v>6.59</v>
      </c>
      <c r="E1464">
        <v>32</v>
      </c>
      <c r="F1464" t="s">
        <v>163</v>
      </c>
    </row>
    <row r="1465" spans="2:6" x14ac:dyDescent="0.15">
      <c r="B1465" t="s">
        <v>258</v>
      </c>
      <c r="C1465">
        <v>-8.2100000000000009</v>
      </c>
      <c r="D1465">
        <v>-14.69</v>
      </c>
      <c r="E1465">
        <v>-6.48</v>
      </c>
      <c r="F1465" t="s">
        <v>258</v>
      </c>
    </row>
    <row r="1466" spans="2:6" x14ac:dyDescent="0.15">
      <c r="B1466" t="s">
        <v>164</v>
      </c>
      <c r="C1466">
        <v>-4.6500000000000004</v>
      </c>
      <c r="D1466">
        <v>-15.8</v>
      </c>
      <c r="E1466">
        <v>-11.15</v>
      </c>
      <c r="F1466" t="s">
        <v>164</v>
      </c>
    </row>
    <row r="1467" spans="2:6" x14ac:dyDescent="0.15">
      <c r="B1467" t="s">
        <v>87</v>
      </c>
      <c r="C1467">
        <v>-145.56</v>
      </c>
      <c r="D1467">
        <v>-151.16</v>
      </c>
      <c r="E1467">
        <v>-5.6</v>
      </c>
      <c r="F1467" t="s">
        <v>88</v>
      </c>
    </row>
    <row r="1468" spans="2:6" x14ac:dyDescent="0.15">
      <c r="B1468" t="s">
        <v>89</v>
      </c>
      <c r="C1468">
        <v>-140.06</v>
      </c>
      <c r="D1468">
        <v>-151.16</v>
      </c>
      <c r="E1468">
        <v>-11.1</v>
      </c>
      <c r="F1468" t="s">
        <v>88</v>
      </c>
    </row>
    <row r="1469" spans="2:6" x14ac:dyDescent="0.15">
      <c r="B1469" t="s">
        <v>90</v>
      </c>
      <c r="C1469">
        <v>-138.36000000000001</v>
      </c>
      <c r="D1469">
        <v>-151.16</v>
      </c>
      <c r="E1469">
        <v>-12.8</v>
      </c>
      <c r="F1469" t="s">
        <v>88</v>
      </c>
    </row>
    <row r="1470" spans="2:6" x14ac:dyDescent="0.15">
      <c r="B1470" t="s">
        <v>461</v>
      </c>
      <c r="C1470">
        <v>-1.47</v>
      </c>
      <c r="D1470">
        <v>86.93</v>
      </c>
      <c r="E1470">
        <v>88.39</v>
      </c>
      <c r="F1470" t="s">
        <v>109</v>
      </c>
    </row>
    <row r="1471" spans="2:6" x14ac:dyDescent="0.15">
      <c r="B1471" t="s">
        <v>165</v>
      </c>
      <c r="C1471">
        <v>-12.48</v>
      </c>
      <c r="D1471">
        <v>11.52</v>
      </c>
      <c r="E1471">
        <v>24</v>
      </c>
      <c r="F1471" t="s">
        <v>166</v>
      </c>
    </row>
    <row r="1472" spans="2:6" x14ac:dyDescent="0.15">
      <c r="B1472" t="s">
        <v>167</v>
      </c>
      <c r="C1472">
        <v>-9.44</v>
      </c>
      <c r="D1472">
        <v>-11.52</v>
      </c>
      <c r="E1472">
        <v>-2.08</v>
      </c>
      <c r="F1472" t="s">
        <v>168</v>
      </c>
    </row>
    <row r="1473" spans="2:6" x14ac:dyDescent="0.15">
      <c r="B1473" t="s">
        <v>169</v>
      </c>
      <c r="C1473">
        <v>-3.95</v>
      </c>
      <c r="D1473">
        <v>-13.81</v>
      </c>
      <c r="E1473">
        <v>-9.85</v>
      </c>
      <c r="F1473" t="s">
        <v>257</v>
      </c>
    </row>
    <row r="1474" spans="2:6" x14ac:dyDescent="0.15">
      <c r="B1474" t="s">
        <v>91</v>
      </c>
      <c r="C1474">
        <v>-138.54</v>
      </c>
      <c r="D1474">
        <v>-150.27000000000001</v>
      </c>
      <c r="E1474">
        <v>-11.73</v>
      </c>
      <c r="F1474" t="s">
        <v>92</v>
      </c>
    </row>
    <row r="1475" spans="2:6" x14ac:dyDescent="0.15">
      <c r="B1475" t="s">
        <v>93</v>
      </c>
      <c r="C1475">
        <v>-111.74</v>
      </c>
      <c r="D1475">
        <v>-113.73</v>
      </c>
      <c r="E1475">
        <v>-1.99</v>
      </c>
      <c r="F1475" t="s">
        <v>581</v>
      </c>
    </row>
    <row r="1476" spans="2:6" x14ac:dyDescent="0.15">
      <c r="B1476" t="s">
        <v>170</v>
      </c>
      <c r="C1476">
        <v>-1.69</v>
      </c>
      <c r="D1476">
        <v>6.55</v>
      </c>
      <c r="E1476">
        <v>8.25</v>
      </c>
      <c r="F1476" t="s">
        <v>171</v>
      </c>
    </row>
    <row r="1477" spans="2:6" x14ac:dyDescent="0.15">
      <c r="B1477" t="s">
        <v>172</v>
      </c>
      <c r="C1477">
        <v>-8.9</v>
      </c>
      <c r="D1477">
        <v>-8.5</v>
      </c>
      <c r="E1477">
        <v>0.41</v>
      </c>
      <c r="F1477" t="s">
        <v>173</v>
      </c>
    </row>
    <row r="1478" spans="2:6" x14ac:dyDescent="0.15">
      <c r="B1478" t="s">
        <v>174</v>
      </c>
      <c r="C1478">
        <v>-12.4</v>
      </c>
      <c r="D1478">
        <v>-11.67</v>
      </c>
      <c r="E1478">
        <v>0.73</v>
      </c>
      <c r="F1478" t="s">
        <v>175</v>
      </c>
    </row>
    <row r="1479" spans="2:6" x14ac:dyDescent="0.15">
      <c r="B1479" t="s">
        <v>94</v>
      </c>
      <c r="C1479">
        <v>-141.12</v>
      </c>
      <c r="D1479">
        <v>-150.27000000000001</v>
      </c>
      <c r="E1479">
        <v>-9.15</v>
      </c>
      <c r="F1479" t="s">
        <v>92</v>
      </c>
    </row>
    <row r="1480" spans="2:6" x14ac:dyDescent="0.15">
      <c r="B1480" t="s">
        <v>176</v>
      </c>
      <c r="C1480">
        <v>-5.24</v>
      </c>
      <c r="D1480">
        <v>6.92</v>
      </c>
      <c r="E1480">
        <v>12.17</v>
      </c>
      <c r="F1480" t="s">
        <v>177</v>
      </c>
    </row>
    <row r="1481" spans="2:6" x14ac:dyDescent="0.15">
      <c r="B1481" t="s">
        <v>178</v>
      </c>
      <c r="C1481">
        <v>-15.33</v>
      </c>
      <c r="D1481">
        <v>-10.63</v>
      </c>
      <c r="E1481">
        <v>4.7</v>
      </c>
      <c r="F1481" t="s">
        <v>111</v>
      </c>
    </row>
    <row r="1482" spans="2:6" x14ac:dyDescent="0.15">
      <c r="B1482" t="s">
        <v>179</v>
      </c>
      <c r="C1482">
        <v>-18.260000000000002</v>
      </c>
      <c r="D1482">
        <v>-15.17</v>
      </c>
      <c r="E1482">
        <v>3.09</v>
      </c>
      <c r="F1482" t="s">
        <v>179</v>
      </c>
    </row>
    <row r="1483" spans="2:6" x14ac:dyDescent="0.15">
      <c r="B1483" t="s">
        <v>116</v>
      </c>
      <c r="C1483">
        <v>-5.28</v>
      </c>
      <c r="D1483">
        <v>6.92</v>
      </c>
      <c r="E1483">
        <v>12.2</v>
      </c>
      <c r="F1483" t="s">
        <v>116</v>
      </c>
    </row>
    <row r="1484" spans="2:6" x14ac:dyDescent="0.15">
      <c r="B1484" t="s">
        <v>180</v>
      </c>
      <c r="C1484">
        <v>-6.3</v>
      </c>
      <c r="D1484">
        <v>6.92</v>
      </c>
      <c r="E1484">
        <v>13.22</v>
      </c>
      <c r="F1484" t="s">
        <v>116</v>
      </c>
    </row>
    <row r="1485" spans="2:6" x14ac:dyDescent="0.15">
      <c r="B1485" t="s">
        <v>181</v>
      </c>
      <c r="C1485">
        <v>-5.6</v>
      </c>
      <c r="D1485">
        <v>6.92</v>
      </c>
      <c r="E1485">
        <v>12.53</v>
      </c>
      <c r="F1485" t="s">
        <v>116</v>
      </c>
    </row>
    <row r="1486" spans="2:6" x14ac:dyDescent="0.15">
      <c r="B1486" t="s">
        <v>182</v>
      </c>
      <c r="C1486">
        <v>-5.37</v>
      </c>
      <c r="D1486">
        <v>6.92</v>
      </c>
      <c r="E1486">
        <v>12.29</v>
      </c>
      <c r="F1486" t="s">
        <v>116</v>
      </c>
    </row>
    <row r="1487" spans="2:6" x14ac:dyDescent="0.15">
      <c r="B1487" t="s">
        <v>183</v>
      </c>
      <c r="C1487">
        <v>-4.8099999999999996</v>
      </c>
      <c r="D1487">
        <v>6.92</v>
      </c>
      <c r="E1487">
        <v>11.73</v>
      </c>
      <c r="F1487" t="s">
        <v>116</v>
      </c>
    </row>
    <row r="1488" spans="2:6" x14ac:dyDescent="0.15">
      <c r="B1488" t="s">
        <v>184</v>
      </c>
      <c r="C1488">
        <v>-11.21</v>
      </c>
      <c r="D1488">
        <v>-3.71</v>
      </c>
      <c r="E1488">
        <v>7.5</v>
      </c>
      <c r="F1488" t="s">
        <v>184</v>
      </c>
    </row>
    <row r="1489" spans="1:6" x14ac:dyDescent="0.15">
      <c r="B1489" t="s">
        <v>185</v>
      </c>
      <c r="C1489">
        <v>-11.55</v>
      </c>
      <c r="D1489">
        <v>3.64</v>
      </c>
      <c r="E1489">
        <v>15.19</v>
      </c>
      <c r="F1489" t="s">
        <v>185</v>
      </c>
    </row>
    <row r="1490" spans="1:6" x14ac:dyDescent="0.15">
      <c r="B1490" t="s">
        <v>251</v>
      </c>
      <c r="C1490">
        <v>-11.34</v>
      </c>
      <c r="D1490">
        <v>-46.76</v>
      </c>
      <c r="E1490">
        <v>-35.42</v>
      </c>
      <c r="F1490" t="s">
        <v>251</v>
      </c>
    </row>
    <row r="1491" spans="1:6" x14ac:dyDescent="0.15">
      <c r="B1491" t="s">
        <v>186</v>
      </c>
      <c r="C1491">
        <v>-35.65</v>
      </c>
      <c r="D1491">
        <v>-14.35</v>
      </c>
      <c r="E1491">
        <v>21.31</v>
      </c>
      <c r="F1491" t="s">
        <v>186</v>
      </c>
    </row>
    <row r="1492" spans="1:6" x14ac:dyDescent="0.15">
      <c r="B1492" t="s">
        <v>187</v>
      </c>
      <c r="C1492">
        <v>-18.260000000000002</v>
      </c>
      <c r="D1492">
        <v>10.14</v>
      </c>
      <c r="E1492">
        <v>28.4</v>
      </c>
      <c r="F1492" t="s">
        <v>187</v>
      </c>
    </row>
    <row r="1493" spans="1:6" x14ac:dyDescent="0.15">
      <c r="B1493" t="s">
        <v>188</v>
      </c>
      <c r="C1493">
        <v>-24.3</v>
      </c>
      <c r="D1493">
        <v>14.2</v>
      </c>
      <c r="E1493">
        <v>38.5</v>
      </c>
      <c r="F1493" t="s">
        <v>188</v>
      </c>
    </row>
    <row r="1494" spans="1:6" x14ac:dyDescent="0.15">
      <c r="B1494" t="s">
        <v>277</v>
      </c>
      <c r="C1494">
        <v>-21.22</v>
      </c>
      <c r="D1494">
        <v>-13.49</v>
      </c>
      <c r="E1494">
        <v>7.72</v>
      </c>
      <c r="F1494" t="s">
        <v>277</v>
      </c>
    </row>
    <row r="1495" spans="1:6" x14ac:dyDescent="0.15">
      <c r="B1495" t="s">
        <v>189</v>
      </c>
      <c r="C1495">
        <v>-3.55</v>
      </c>
      <c r="D1495">
        <v>-13.81</v>
      </c>
      <c r="E1495">
        <v>-10.26</v>
      </c>
      <c r="F1495" t="s">
        <v>189</v>
      </c>
    </row>
    <row r="1496" spans="1:6" x14ac:dyDescent="0.15">
      <c r="B1496" t="s">
        <v>190</v>
      </c>
      <c r="C1496">
        <v>-63.75</v>
      </c>
      <c r="D1496">
        <v>-36.54</v>
      </c>
      <c r="E1496">
        <v>27.21</v>
      </c>
      <c r="F1496" t="s">
        <v>847</v>
      </c>
    </row>
    <row r="1497" spans="1:6" x14ac:dyDescent="0.15">
      <c r="B1497" t="s">
        <v>191</v>
      </c>
      <c r="C1497">
        <v>-4.8899999999999997</v>
      </c>
      <c r="D1497">
        <v>-14.91</v>
      </c>
      <c r="E1497">
        <v>-10.029999999999999</v>
      </c>
      <c r="F1497" t="s">
        <v>191</v>
      </c>
    </row>
    <row r="1498" spans="1:6" x14ac:dyDescent="0.15">
      <c r="B1498" t="s">
        <v>192</v>
      </c>
      <c r="C1498">
        <v>-5.09</v>
      </c>
      <c r="D1498">
        <v>6.92</v>
      </c>
      <c r="E1498">
        <v>12.01</v>
      </c>
      <c r="F1498" t="s">
        <v>177</v>
      </c>
    </row>
    <row r="1499" spans="1:6" x14ac:dyDescent="0.15">
      <c r="B1499" t="s">
        <v>95</v>
      </c>
      <c r="C1499">
        <v>-141.07</v>
      </c>
      <c r="D1499">
        <v>-150.27000000000001</v>
      </c>
      <c r="E1499">
        <v>-9.19</v>
      </c>
      <c r="F1499" t="s">
        <v>92</v>
      </c>
    </row>
    <row r="1500" spans="1:6" x14ac:dyDescent="0.15">
      <c r="B1500" t="s">
        <v>193</v>
      </c>
      <c r="C1500">
        <v>-10.41</v>
      </c>
      <c r="D1500">
        <v>-10.63</v>
      </c>
      <c r="E1500">
        <v>-0.23</v>
      </c>
      <c r="F1500" t="s">
        <v>193</v>
      </c>
    </row>
    <row r="1503" spans="1:6" x14ac:dyDescent="0.15">
      <c r="A1503" t="s">
        <v>441</v>
      </c>
    </row>
    <row r="1504" spans="1:6" x14ac:dyDescent="0.15">
      <c r="A1504" t="s">
        <v>194</v>
      </c>
      <c r="B1504" t="s">
        <v>480</v>
      </c>
      <c r="C1504" t="s">
        <v>195</v>
      </c>
    </row>
    <row r="1505" spans="1:6" x14ac:dyDescent="0.15">
      <c r="A1505" t="s">
        <v>441</v>
      </c>
    </row>
    <row r="1507" spans="1:6" x14ac:dyDescent="0.15">
      <c r="A1507" t="s">
        <v>451</v>
      </c>
    </row>
    <row r="1508" spans="1:6" x14ac:dyDescent="0.15">
      <c r="A1508" t="s">
        <v>442</v>
      </c>
      <c r="B1508" t="s">
        <v>452</v>
      </c>
      <c r="C1508" t="s">
        <v>443</v>
      </c>
      <c r="D1508" t="s">
        <v>453</v>
      </c>
      <c r="E1508" t="s">
        <v>454</v>
      </c>
      <c r="F1508">
        <v>2</v>
      </c>
    </row>
    <row r="1509" spans="1:6" x14ac:dyDescent="0.15">
      <c r="A1509" t="s">
        <v>451</v>
      </c>
    </row>
    <row r="1511" spans="1:6" x14ac:dyDescent="0.15">
      <c r="A1511" t="s">
        <v>96</v>
      </c>
    </row>
    <row r="1512" spans="1:6" x14ac:dyDescent="0.15">
      <c r="A1512" t="s">
        <v>194</v>
      </c>
      <c r="B1512" t="s">
        <v>480</v>
      </c>
      <c r="C1512" t="s">
        <v>197</v>
      </c>
      <c r="D1512" t="s">
        <v>198</v>
      </c>
      <c r="E1512">
        <v>1.03</v>
      </c>
      <c r="F1512" t="s">
        <v>199</v>
      </c>
    </row>
    <row r="1513" spans="1:6" x14ac:dyDescent="0.15">
      <c r="A1513" t="s">
        <v>96</v>
      </c>
    </row>
  </sheetData>
  <phoneticPr fontId="8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6"/>
  <sheetViews>
    <sheetView topLeftCell="A224" zoomScale="150" workbookViewId="0">
      <selection activeCell="C205" sqref="C205"/>
    </sheetView>
  </sheetViews>
  <sheetFormatPr baseColWidth="10" defaultRowHeight="13" x14ac:dyDescent="0.15"/>
  <cols>
    <col min="1" max="1" width="14.6640625" customWidth="1"/>
    <col min="4" max="4" width="7" customWidth="1"/>
    <col min="5" max="5" width="4.5" customWidth="1"/>
    <col min="6" max="8" width="2.33203125" customWidth="1"/>
  </cols>
  <sheetData>
    <row r="1" spans="1:9" x14ac:dyDescent="0.15">
      <c r="A1" t="s">
        <v>1245</v>
      </c>
    </row>
    <row r="2" spans="1:9" x14ac:dyDescent="0.15">
      <c r="A2" t="s">
        <v>1136</v>
      </c>
      <c r="I2" t="s">
        <v>1245</v>
      </c>
    </row>
    <row r="3" spans="1:9" x14ac:dyDescent="0.15">
      <c r="A3" t="s">
        <v>1137</v>
      </c>
      <c r="I3" t="s">
        <v>1136</v>
      </c>
    </row>
    <row r="4" spans="1:9" x14ac:dyDescent="0.15">
      <c r="A4" t="s">
        <v>1138</v>
      </c>
      <c r="I4" t="s">
        <v>1137</v>
      </c>
    </row>
    <row r="5" spans="1:9" x14ac:dyDescent="0.15">
      <c r="A5" t="s">
        <v>1139</v>
      </c>
      <c r="I5" t="s">
        <v>1138</v>
      </c>
    </row>
    <row r="6" spans="1:9" x14ac:dyDescent="0.15">
      <c r="A6" t="s">
        <v>1140</v>
      </c>
      <c r="I6" t="s">
        <v>1139</v>
      </c>
    </row>
    <row r="7" spans="1:9" x14ac:dyDescent="0.15">
      <c r="A7" t="s">
        <v>1141</v>
      </c>
      <c r="I7" t="s">
        <v>1140</v>
      </c>
    </row>
    <row r="8" spans="1:9" x14ac:dyDescent="0.15">
      <c r="A8" t="s">
        <v>1142</v>
      </c>
      <c r="I8" t="s">
        <v>1141</v>
      </c>
    </row>
    <row r="9" spans="1:9" x14ac:dyDescent="0.15">
      <c r="A9" t="s">
        <v>1251</v>
      </c>
      <c r="I9" t="s">
        <v>1142</v>
      </c>
    </row>
    <row r="10" spans="1:9" x14ac:dyDescent="0.15">
      <c r="A10" t="s">
        <v>1252</v>
      </c>
      <c r="I10" t="s">
        <v>1251</v>
      </c>
    </row>
    <row r="11" spans="1:9" x14ac:dyDescent="0.15">
      <c r="A11" t="s">
        <v>1253</v>
      </c>
      <c r="I11" t="s">
        <v>1252</v>
      </c>
    </row>
    <row r="12" spans="1:9" x14ac:dyDescent="0.15">
      <c r="A12" t="s">
        <v>1254</v>
      </c>
      <c r="I12" t="s">
        <v>1253</v>
      </c>
    </row>
    <row r="13" spans="1:9" x14ac:dyDescent="0.15">
      <c r="A13" t="s">
        <v>1255</v>
      </c>
      <c r="I13" t="s">
        <v>1254</v>
      </c>
    </row>
    <row r="14" spans="1:9" x14ac:dyDescent="0.15">
      <c r="A14" t="s">
        <v>1256</v>
      </c>
      <c r="I14" t="s">
        <v>1255</v>
      </c>
    </row>
    <row r="15" spans="1:9" x14ac:dyDescent="0.15">
      <c r="A15" t="s">
        <v>1153</v>
      </c>
      <c r="I15" t="s">
        <v>1256</v>
      </c>
    </row>
    <row r="16" spans="1:9" x14ac:dyDescent="0.15">
      <c r="A16" t="s">
        <v>1154</v>
      </c>
      <c r="I16" t="s">
        <v>1153</v>
      </c>
    </row>
    <row r="17" spans="1:9" x14ac:dyDescent="0.15">
      <c r="A17" t="s">
        <v>1155</v>
      </c>
      <c r="I17" t="s">
        <v>1154</v>
      </c>
    </row>
    <row r="18" spans="1:9" x14ac:dyDescent="0.15">
      <c r="I18" t="s">
        <v>1155</v>
      </c>
    </row>
    <row r="19" spans="1:9" x14ac:dyDescent="0.15">
      <c r="A19" t="s">
        <v>1156</v>
      </c>
    </row>
    <row r="20" spans="1:9" x14ac:dyDescent="0.15">
      <c r="A20" t="s">
        <v>1157</v>
      </c>
      <c r="I20" t="s">
        <v>1156</v>
      </c>
    </row>
    <row r="21" spans="1:9" x14ac:dyDescent="0.15">
      <c r="A21" t="s">
        <v>1158</v>
      </c>
      <c r="I21" t="s">
        <v>1157</v>
      </c>
    </row>
    <row r="22" spans="1:9" x14ac:dyDescent="0.15">
      <c r="A22" t="s">
        <v>1268</v>
      </c>
      <c r="I22" t="s">
        <v>1158</v>
      </c>
    </row>
    <row r="23" spans="1:9" x14ac:dyDescent="0.15">
      <c r="I23" t="s">
        <v>1268</v>
      </c>
    </row>
    <row r="24" spans="1:9" x14ac:dyDescent="0.15">
      <c r="I24" t="s">
        <v>1269</v>
      </c>
    </row>
    <row r="25" spans="1:9" x14ac:dyDescent="0.15">
      <c r="I25" t="s">
        <v>1270</v>
      </c>
    </row>
    <row r="27" spans="1:9" x14ac:dyDescent="0.15">
      <c r="I27" t="s">
        <v>1415</v>
      </c>
    </row>
    <row r="28" spans="1:9" x14ac:dyDescent="0.15">
      <c r="A28" t="s">
        <v>1416</v>
      </c>
      <c r="B28" t="s">
        <v>1417</v>
      </c>
      <c r="C28" t="s">
        <v>1418</v>
      </c>
      <c r="I28" t="s">
        <v>1271</v>
      </c>
    </row>
    <row r="29" spans="1:9" x14ac:dyDescent="0.15">
      <c r="A29" t="s">
        <v>1400</v>
      </c>
      <c r="B29">
        <v>2.3180000000000002E-3</v>
      </c>
      <c r="C29">
        <v>53.26</v>
      </c>
      <c r="I29" t="s">
        <v>1399</v>
      </c>
    </row>
    <row r="30" spans="1:9" x14ac:dyDescent="0.15">
      <c r="A30" t="s">
        <v>1401</v>
      </c>
      <c r="B30">
        <v>1.8649999999999999E-3</v>
      </c>
      <c r="C30">
        <v>113.8</v>
      </c>
      <c r="I30" t="s">
        <v>1401</v>
      </c>
    </row>
    <row r="31" spans="1:9" x14ac:dyDescent="0.15">
      <c r="A31" t="s">
        <v>1403</v>
      </c>
      <c r="B31">
        <v>1.6620000000000001E-3</v>
      </c>
      <c r="C31">
        <v>58.89</v>
      </c>
      <c r="I31" t="s">
        <v>1402</v>
      </c>
    </row>
    <row r="32" spans="1:9" x14ac:dyDescent="0.15">
      <c r="A32" t="s">
        <v>1405</v>
      </c>
      <c r="B32">
        <v>1.503E-3</v>
      </c>
      <c r="C32">
        <v>144.30000000000001</v>
      </c>
      <c r="I32" t="s">
        <v>1404</v>
      </c>
    </row>
    <row r="33" spans="1:9" x14ac:dyDescent="0.15">
      <c r="A33" t="s">
        <v>1406</v>
      </c>
      <c r="B33">
        <v>1.4660000000000001E-3</v>
      </c>
      <c r="C33">
        <v>58.74</v>
      </c>
      <c r="I33" t="s">
        <v>1459</v>
      </c>
    </row>
    <row r="34" spans="1:9" x14ac:dyDescent="0.15">
      <c r="A34" t="s">
        <v>1407</v>
      </c>
      <c r="B34">
        <v>7.1630000000000001E-4</v>
      </c>
      <c r="C34">
        <v>17.399999999999999</v>
      </c>
      <c r="I34" t="s">
        <v>1195</v>
      </c>
    </row>
    <row r="35" spans="1:9" x14ac:dyDescent="0.15">
      <c r="A35" t="s">
        <v>1408</v>
      </c>
      <c r="B35">
        <v>3.0860000000000002E-4</v>
      </c>
      <c r="C35">
        <v>9.8699999999999992</v>
      </c>
      <c r="I35" t="s">
        <v>1196</v>
      </c>
    </row>
    <row r="36" spans="1:9" x14ac:dyDescent="0.15">
      <c r="A36" t="s">
        <v>1409</v>
      </c>
      <c r="B36">
        <v>2.029E-4</v>
      </c>
      <c r="C36">
        <v>27.61</v>
      </c>
      <c r="I36" t="s">
        <v>1197</v>
      </c>
    </row>
    <row r="37" spans="1:9" x14ac:dyDescent="0.15">
      <c r="A37" t="s">
        <v>1460</v>
      </c>
      <c r="B37">
        <v>1.5799999999999999E-4</v>
      </c>
      <c r="C37">
        <v>9.7940000000000005</v>
      </c>
      <c r="I37" t="s">
        <v>1198</v>
      </c>
    </row>
    <row r="38" spans="1:9" x14ac:dyDescent="0.15">
      <c r="A38" t="s">
        <v>1461</v>
      </c>
      <c r="B38" s="169">
        <v>8.1840000000000002E-5</v>
      </c>
      <c r="C38">
        <v>9.8450000000000006</v>
      </c>
      <c r="I38" t="s">
        <v>1199</v>
      </c>
    </row>
    <row r="39" spans="1:9" x14ac:dyDescent="0.15">
      <c r="A39" t="s">
        <v>1462</v>
      </c>
      <c r="B39" s="169">
        <v>3.1050000000000003E-5</v>
      </c>
      <c r="C39">
        <v>1.3660000000000001</v>
      </c>
      <c r="I39" t="s">
        <v>1277</v>
      </c>
    </row>
    <row r="40" spans="1:9" x14ac:dyDescent="0.15">
      <c r="A40" t="s">
        <v>1463</v>
      </c>
      <c r="B40" s="169">
        <v>3.057E-5</v>
      </c>
      <c r="C40">
        <v>3.089</v>
      </c>
      <c r="I40" t="s">
        <v>1278</v>
      </c>
    </row>
    <row r="41" spans="1:9" x14ac:dyDescent="0.15">
      <c r="A41" t="s">
        <v>1464</v>
      </c>
      <c r="B41" s="169">
        <v>1.554E-5</v>
      </c>
      <c r="C41">
        <v>1.5549999999999999</v>
      </c>
      <c r="I41" t="s">
        <v>1279</v>
      </c>
    </row>
    <row r="42" spans="1:9" x14ac:dyDescent="0.15">
      <c r="A42" t="s">
        <v>1465</v>
      </c>
      <c r="B42" s="169">
        <v>1.454E-5</v>
      </c>
      <c r="C42">
        <v>0.87190000000000001</v>
      </c>
      <c r="I42" t="s">
        <v>1280</v>
      </c>
    </row>
    <row r="43" spans="1:9" x14ac:dyDescent="0.15">
      <c r="A43" t="s">
        <v>1466</v>
      </c>
      <c r="B43" s="169">
        <v>1.129E-5</v>
      </c>
      <c r="C43">
        <v>1.3440000000000001</v>
      </c>
      <c r="I43" t="s">
        <v>1281</v>
      </c>
    </row>
    <row r="44" spans="1:9" x14ac:dyDescent="0.15">
      <c r="A44" t="s">
        <v>1467</v>
      </c>
      <c r="B44" s="169">
        <v>9.397E-6</v>
      </c>
      <c r="C44">
        <v>0.8014</v>
      </c>
      <c r="I44" t="s">
        <v>1210</v>
      </c>
    </row>
    <row r="45" spans="1:9" x14ac:dyDescent="0.15">
      <c r="A45" t="s">
        <v>1468</v>
      </c>
      <c r="B45" s="169">
        <v>8.1790000000000008E-6</v>
      </c>
      <c r="C45">
        <v>0.61750000000000005</v>
      </c>
      <c r="I45" t="s">
        <v>1211</v>
      </c>
    </row>
    <row r="46" spans="1:9" x14ac:dyDescent="0.15">
      <c r="A46" t="s">
        <v>1469</v>
      </c>
      <c r="B46" s="169">
        <v>4.7269999999999998E-6</v>
      </c>
      <c r="C46">
        <v>0.39689999999999998</v>
      </c>
      <c r="I46" t="s">
        <v>1212</v>
      </c>
    </row>
    <row r="47" spans="1:9" x14ac:dyDescent="0.15">
      <c r="A47" t="s">
        <v>1470</v>
      </c>
      <c r="B47" s="169">
        <v>3.8979999999999998E-6</v>
      </c>
      <c r="C47">
        <v>0.32850000000000001</v>
      </c>
      <c r="I47" t="s">
        <v>1213</v>
      </c>
    </row>
    <row r="48" spans="1:9" x14ac:dyDescent="0.15">
      <c r="A48" t="s">
        <v>1471</v>
      </c>
      <c r="B48" s="169">
        <v>1.443E-6</v>
      </c>
      <c r="C48">
        <v>2.453E-2</v>
      </c>
      <c r="I48" t="s">
        <v>1214</v>
      </c>
    </row>
    <row r="49" spans="1:9" x14ac:dyDescent="0.15">
      <c r="A49" t="s">
        <v>1472</v>
      </c>
      <c r="B49" s="169">
        <v>1.237E-6</v>
      </c>
      <c r="C49">
        <v>0.12620000000000001</v>
      </c>
      <c r="I49" t="s">
        <v>1293</v>
      </c>
    </row>
    <row r="50" spans="1:9" x14ac:dyDescent="0.15">
      <c r="A50" t="s">
        <v>1473</v>
      </c>
      <c r="B50" s="169">
        <v>1.1510000000000001E-6</v>
      </c>
      <c r="C50">
        <v>6.8729999999999999E-2</v>
      </c>
      <c r="I50" t="s">
        <v>1294</v>
      </c>
    </row>
    <row r="51" spans="1:9" x14ac:dyDescent="0.15">
      <c r="A51" t="s">
        <v>1474</v>
      </c>
      <c r="B51" s="169">
        <v>1.112E-7</v>
      </c>
      <c r="C51">
        <v>4.5909999999999996E-3</v>
      </c>
      <c r="I51" t="s">
        <v>1295</v>
      </c>
    </row>
    <row r="52" spans="1:9" x14ac:dyDescent="0.15">
      <c r="A52" t="s">
        <v>1475</v>
      </c>
      <c r="B52" s="169">
        <v>9.0789999999999994E-8</v>
      </c>
      <c r="C52">
        <v>7.3099999999999997E-3</v>
      </c>
      <c r="I52" t="s">
        <v>1296</v>
      </c>
    </row>
    <row r="53" spans="1:9" x14ac:dyDescent="0.15">
      <c r="A53" t="s">
        <v>1476</v>
      </c>
      <c r="B53" s="169">
        <v>7.8349999999999997E-8</v>
      </c>
      <c r="C53">
        <v>4.5760000000000002E-3</v>
      </c>
      <c r="I53" t="s">
        <v>1246</v>
      </c>
    </row>
    <row r="54" spans="1:9" x14ac:dyDescent="0.15">
      <c r="A54" t="s">
        <v>1477</v>
      </c>
      <c r="B54" s="169">
        <v>7.1029999999999995E-8</v>
      </c>
      <c r="C54">
        <v>5.8929999999999998E-3</v>
      </c>
      <c r="I54" t="s">
        <v>1247</v>
      </c>
    </row>
    <row r="55" spans="1:9" x14ac:dyDescent="0.15">
      <c r="A55" t="s">
        <v>1478</v>
      </c>
      <c r="B55" s="169">
        <v>2.8200000000000001E-8</v>
      </c>
      <c r="C55">
        <v>1.609E-3</v>
      </c>
      <c r="I55" t="s">
        <v>1248</v>
      </c>
    </row>
    <row r="56" spans="1:9" x14ac:dyDescent="0.15">
      <c r="A56" t="s">
        <v>1479</v>
      </c>
      <c r="B56" s="169">
        <v>1.006E-8</v>
      </c>
      <c r="C56">
        <v>1.0920000000000001E-3</v>
      </c>
      <c r="I56" t="s">
        <v>1249</v>
      </c>
    </row>
    <row r="57" spans="1:9" x14ac:dyDescent="0.15">
      <c r="A57" t="s">
        <v>1480</v>
      </c>
      <c r="B57" s="169">
        <v>8.7000000000000001E-9</v>
      </c>
      <c r="C57" s="169">
        <v>8.7639999999999994E-6</v>
      </c>
      <c r="I57" t="s">
        <v>1250</v>
      </c>
    </row>
    <row r="58" spans="1:9" x14ac:dyDescent="0.15">
      <c r="A58" t="s">
        <v>1481</v>
      </c>
      <c r="B58" s="169">
        <v>4.42E-9</v>
      </c>
      <c r="C58">
        <v>2.8069999999999999E-4</v>
      </c>
      <c r="I58" t="s">
        <v>1302</v>
      </c>
    </row>
    <row r="59" spans="1:9" x14ac:dyDescent="0.15">
      <c r="A59" t="s">
        <v>1482</v>
      </c>
      <c r="B59" s="169">
        <v>1.6999999999999999E-9</v>
      </c>
      <c r="C59" s="169">
        <v>6.7970000000000001E-5</v>
      </c>
      <c r="I59" t="s">
        <v>1303</v>
      </c>
    </row>
    <row r="60" spans="1:9" x14ac:dyDescent="0.15">
      <c r="A60" t="s">
        <v>1483</v>
      </c>
      <c r="B60" s="169">
        <v>8.5590000000000001E-10</v>
      </c>
      <c r="C60" s="169">
        <v>8.3040000000000005E-5</v>
      </c>
      <c r="I60" t="s">
        <v>1304</v>
      </c>
    </row>
    <row r="61" spans="1:9" x14ac:dyDescent="0.15">
      <c r="A61" t="s">
        <v>1484</v>
      </c>
      <c r="B61" s="169">
        <v>3.5709999999999999E-10</v>
      </c>
      <c r="C61" s="169">
        <v>3.4260000000000001E-5</v>
      </c>
      <c r="I61" t="s">
        <v>1305</v>
      </c>
    </row>
    <row r="62" spans="1:9" x14ac:dyDescent="0.15">
      <c r="A62" t="s">
        <v>1485</v>
      </c>
      <c r="B62" s="169">
        <v>1.2679999999999999E-10</v>
      </c>
      <c r="C62" s="169">
        <v>1.7249999999999999E-5</v>
      </c>
      <c r="I62" t="s">
        <v>1306</v>
      </c>
    </row>
    <row r="63" spans="1:9" x14ac:dyDescent="0.15">
      <c r="A63" t="s">
        <v>1486</v>
      </c>
      <c r="B63" s="169">
        <v>9.3580000000000002E-11</v>
      </c>
      <c r="C63" s="169">
        <v>1.1250000000000001E-5</v>
      </c>
      <c r="I63" t="s">
        <v>1257</v>
      </c>
    </row>
    <row r="64" spans="1:9" x14ac:dyDescent="0.15">
      <c r="A64" t="s">
        <v>1487</v>
      </c>
      <c r="B64" s="169">
        <v>4.5590000000000001E-11</v>
      </c>
      <c r="C64" s="169">
        <v>6.1530000000000002E-6</v>
      </c>
      <c r="I64" t="s">
        <v>1258</v>
      </c>
    </row>
    <row r="65" spans="1:9" x14ac:dyDescent="0.15">
      <c r="A65" t="s">
        <v>1488</v>
      </c>
      <c r="B65" s="169">
        <v>3.3159999999999998E-11</v>
      </c>
      <c r="C65" s="169">
        <v>3.2140000000000001E-6</v>
      </c>
      <c r="I65" t="s">
        <v>1259</v>
      </c>
    </row>
    <row r="66" spans="1:9" x14ac:dyDescent="0.15">
      <c r="A66" t="s">
        <v>1489</v>
      </c>
      <c r="B66" s="169">
        <v>2.274E-11</v>
      </c>
      <c r="C66" s="169">
        <v>2.7099999999999999E-6</v>
      </c>
      <c r="I66" t="s">
        <v>1260</v>
      </c>
    </row>
    <row r="67" spans="1:9" x14ac:dyDescent="0.15">
      <c r="A67" t="s">
        <v>1490</v>
      </c>
      <c r="B67" s="169">
        <v>7.6729999999999993E-12</v>
      </c>
      <c r="C67" s="169">
        <v>9.1240000000000004E-7</v>
      </c>
      <c r="I67" t="s">
        <v>1261</v>
      </c>
    </row>
    <row r="68" spans="1:9" x14ac:dyDescent="0.15">
      <c r="A68" t="s">
        <v>1491</v>
      </c>
      <c r="B68" s="169">
        <v>5.0330000000000001E-12</v>
      </c>
      <c r="C68" s="169">
        <v>4.9800000000000004E-7</v>
      </c>
      <c r="I68" t="s">
        <v>1262</v>
      </c>
    </row>
    <row r="69" spans="1:9" x14ac:dyDescent="0.15">
      <c r="A69" t="s">
        <v>1378</v>
      </c>
      <c r="B69" s="169">
        <v>3.065E-12</v>
      </c>
      <c r="C69" s="169">
        <v>2.0100000000000001E-7</v>
      </c>
      <c r="I69" t="s">
        <v>1263</v>
      </c>
    </row>
    <row r="70" spans="1:9" x14ac:dyDescent="0.15">
      <c r="A70" t="s">
        <v>1379</v>
      </c>
      <c r="B70" s="169">
        <v>5.1479999999999999E-13</v>
      </c>
      <c r="C70" s="169">
        <v>6.2410000000000001E-8</v>
      </c>
      <c r="I70" t="s">
        <v>1264</v>
      </c>
    </row>
    <row r="71" spans="1:9" x14ac:dyDescent="0.15">
      <c r="A71" t="s">
        <v>1380</v>
      </c>
      <c r="B71" s="169">
        <v>3.742E-14</v>
      </c>
      <c r="C71" s="169">
        <v>3.5520000000000001E-9</v>
      </c>
      <c r="I71" t="s">
        <v>1265</v>
      </c>
    </row>
    <row r="72" spans="1:9" x14ac:dyDescent="0.15">
      <c r="A72" t="s">
        <v>1381</v>
      </c>
      <c r="B72" s="169">
        <v>1.6090000000000001E-14</v>
      </c>
      <c r="C72" s="169">
        <v>2.5669999999999999E-9</v>
      </c>
      <c r="I72" t="s">
        <v>1266</v>
      </c>
    </row>
    <row r="73" spans="1:9" x14ac:dyDescent="0.15">
      <c r="A73" t="s">
        <v>1382</v>
      </c>
      <c r="B73" s="169">
        <v>8.5459999999999996E-15</v>
      </c>
      <c r="C73" s="169">
        <v>1.3629999999999999E-9</v>
      </c>
      <c r="I73" t="s">
        <v>1267</v>
      </c>
    </row>
    <row r="74" spans="1:9" x14ac:dyDescent="0.15">
      <c r="A74" t="s">
        <v>1383</v>
      </c>
      <c r="B74" s="169">
        <v>1.35E-15</v>
      </c>
      <c r="C74" s="169">
        <v>1.8139999999999999E-10</v>
      </c>
      <c r="I74" t="s">
        <v>1318</v>
      </c>
    </row>
    <row r="75" spans="1:9" x14ac:dyDescent="0.15">
      <c r="A75" t="s">
        <v>1384</v>
      </c>
      <c r="B75" s="169">
        <v>1.1960000000000001E-16</v>
      </c>
      <c r="C75" s="169">
        <v>1.8960000000000002E-11</v>
      </c>
      <c r="I75" t="s">
        <v>1319</v>
      </c>
    </row>
    <row r="76" spans="1:9" x14ac:dyDescent="0.15">
      <c r="A76" t="s">
        <v>1385</v>
      </c>
      <c r="B76" s="169">
        <v>3.3319999999999998E-17</v>
      </c>
      <c r="C76" s="169">
        <v>3.2639999999999998E-12</v>
      </c>
      <c r="I76" t="s">
        <v>1320</v>
      </c>
    </row>
    <row r="77" spans="1:9" x14ac:dyDescent="0.15">
      <c r="A77" t="s">
        <v>1386</v>
      </c>
      <c r="B77" s="169">
        <v>9.4149999999999996E-18</v>
      </c>
      <c r="C77" s="169">
        <v>3.4310000000000002E-13</v>
      </c>
      <c r="I77" t="s">
        <v>1321</v>
      </c>
    </row>
    <row r="78" spans="1:9" x14ac:dyDescent="0.15">
      <c r="A78" t="s">
        <v>1387</v>
      </c>
      <c r="B78" s="169">
        <v>4.3960000000000003E-18</v>
      </c>
      <c r="C78" s="169">
        <v>7.054E-13</v>
      </c>
      <c r="I78" t="s">
        <v>1272</v>
      </c>
    </row>
    <row r="79" spans="1:9" x14ac:dyDescent="0.15">
      <c r="A79" t="s">
        <v>1457</v>
      </c>
      <c r="B79" s="169">
        <v>4.3680000000000002E-18</v>
      </c>
      <c r="C79" s="169">
        <v>2.0079999999999999E-13</v>
      </c>
      <c r="I79" t="s">
        <v>1273</v>
      </c>
    </row>
    <row r="80" spans="1:9" x14ac:dyDescent="0.15">
      <c r="A80" t="s">
        <v>1458</v>
      </c>
      <c r="B80" s="169">
        <v>5.135E-19</v>
      </c>
      <c r="C80" s="169">
        <v>3.2609999999999999E-14</v>
      </c>
      <c r="I80" t="s">
        <v>1274</v>
      </c>
    </row>
    <row r="81" spans="2:9" x14ac:dyDescent="0.15">
      <c r="B81" s="169"/>
      <c r="I81" t="s">
        <v>1275</v>
      </c>
    </row>
    <row r="82" spans="2:9" x14ac:dyDescent="0.15">
      <c r="I82" t="s">
        <v>1276</v>
      </c>
    </row>
    <row r="83" spans="2:9" x14ac:dyDescent="0.15">
      <c r="I83" t="s">
        <v>1327</v>
      </c>
    </row>
    <row r="84" spans="2:9" x14ac:dyDescent="0.15">
      <c r="I84" t="s">
        <v>1328</v>
      </c>
    </row>
    <row r="85" spans="2:9" x14ac:dyDescent="0.15">
      <c r="I85" t="s">
        <v>1329</v>
      </c>
    </row>
    <row r="86" spans="2:9" x14ac:dyDescent="0.15">
      <c r="I86" t="s">
        <v>1330</v>
      </c>
    </row>
    <row r="87" spans="2:9" x14ac:dyDescent="0.15">
      <c r="I87" t="s">
        <v>1331</v>
      </c>
    </row>
    <row r="88" spans="2:9" x14ac:dyDescent="0.15">
      <c r="I88" t="s">
        <v>1282</v>
      </c>
    </row>
    <row r="89" spans="2:9" x14ac:dyDescent="0.15">
      <c r="I89" t="s">
        <v>1283</v>
      </c>
    </row>
    <row r="90" spans="2:9" x14ac:dyDescent="0.15">
      <c r="I90" t="s">
        <v>1284</v>
      </c>
    </row>
    <row r="91" spans="2:9" x14ac:dyDescent="0.15">
      <c r="I91" t="s">
        <v>1285</v>
      </c>
    </row>
    <row r="92" spans="2:9" x14ac:dyDescent="0.15">
      <c r="I92" t="s">
        <v>1286</v>
      </c>
    </row>
    <row r="93" spans="2:9" x14ac:dyDescent="0.15">
      <c r="I93" t="s">
        <v>1287</v>
      </c>
    </row>
    <row r="94" spans="2:9" x14ac:dyDescent="0.15">
      <c r="I94" t="s">
        <v>1288</v>
      </c>
    </row>
    <row r="95" spans="2:9" x14ac:dyDescent="0.15">
      <c r="I95" t="s">
        <v>1289</v>
      </c>
    </row>
    <row r="96" spans="2:9" x14ac:dyDescent="0.15">
      <c r="I96" t="s">
        <v>1290</v>
      </c>
    </row>
    <row r="97" spans="9:9" x14ac:dyDescent="0.15">
      <c r="I97" t="s">
        <v>1291</v>
      </c>
    </row>
    <row r="98" spans="9:9" x14ac:dyDescent="0.15">
      <c r="I98" t="s">
        <v>1292</v>
      </c>
    </row>
    <row r="99" spans="9:9" x14ac:dyDescent="0.15">
      <c r="I99" t="s">
        <v>1344</v>
      </c>
    </row>
    <row r="100" spans="9:9" x14ac:dyDescent="0.15">
      <c r="I100" t="s">
        <v>1345</v>
      </c>
    </row>
    <row r="101" spans="9:9" x14ac:dyDescent="0.15">
      <c r="I101" t="s">
        <v>1346</v>
      </c>
    </row>
    <row r="102" spans="9:9" x14ac:dyDescent="0.15">
      <c r="I102" t="s">
        <v>1347</v>
      </c>
    </row>
    <row r="103" spans="9:9" x14ac:dyDescent="0.15">
      <c r="I103" t="s">
        <v>1297</v>
      </c>
    </row>
    <row r="104" spans="9:9" x14ac:dyDescent="0.15">
      <c r="I104" t="s">
        <v>1298</v>
      </c>
    </row>
    <row r="105" spans="9:9" x14ac:dyDescent="0.15">
      <c r="I105" t="s">
        <v>1299</v>
      </c>
    </row>
    <row r="106" spans="9:9" x14ac:dyDescent="0.15">
      <c r="I106" t="s">
        <v>1300</v>
      </c>
    </row>
    <row r="107" spans="9:9" x14ac:dyDescent="0.15">
      <c r="I107" t="s">
        <v>1301</v>
      </c>
    </row>
    <row r="108" spans="9:9" x14ac:dyDescent="0.15">
      <c r="I108" t="s">
        <v>1354</v>
      </c>
    </row>
    <row r="109" spans="9:9" x14ac:dyDescent="0.15">
      <c r="I109" t="s">
        <v>1355</v>
      </c>
    </row>
    <row r="110" spans="9:9" x14ac:dyDescent="0.15">
      <c r="I110" t="s">
        <v>1356</v>
      </c>
    </row>
    <row r="111" spans="9:9" x14ac:dyDescent="0.15">
      <c r="I111" t="s">
        <v>1357</v>
      </c>
    </row>
    <row r="112" spans="9:9" x14ac:dyDescent="0.15">
      <c r="I112" t="s">
        <v>1358</v>
      </c>
    </row>
    <row r="113" spans="9:9" x14ac:dyDescent="0.15">
      <c r="I113" t="s">
        <v>1307</v>
      </c>
    </row>
    <row r="114" spans="9:9" x14ac:dyDescent="0.15">
      <c r="I114" t="s">
        <v>1308</v>
      </c>
    </row>
    <row r="115" spans="9:9" x14ac:dyDescent="0.15">
      <c r="I115" t="s">
        <v>1309</v>
      </c>
    </row>
    <row r="116" spans="9:9" x14ac:dyDescent="0.15">
      <c r="I116" t="s">
        <v>1310</v>
      </c>
    </row>
    <row r="117" spans="9:9" x14ac:dyDescent="0.15">
      <c r="I117" t="s">
        <v>1311</v>
      </c>
    </row>
    <row r="118" spans="9:9" x14ac:dyDescent="0.15">
      <c r="I118" t="s">
        <v>1312</v>
      </c>
    </row>
    <row r="119" spans="9:9" x14ac:dyDescent="0.15">
      <c r="I119" t="s">
        <v>1313</v>
      </c>
    </row>
    <row r="120" spans="9:9" x14ac:dyDescent="0.15">
      <c r="I120" t="s">
        <v>1314</v>
      </c>
    </row>
    <row r="121" spans="9:9" x14ac:dyDescent="0.15">
      <c r="I121" t="s">
        <v>1315</v>
      </c>
    </row>
    <row r="122" spans="9:9" x14ac:dyDescent="0.15">
      <c r="I122" t="s">
        <v>1316</v>
      </c>
    </row>
    <row r="123" spans="9:9" x14ac:dyDescent="0.15">
      <c r="I123" t="s">
        <v>1317</v>
      </c>
    </row>
    <row r="124" spans="9:9" x14ac:dyDescent="0.15">
      <c r="I124" t="s">
        <v>1373</v>
      </c>
    </row>
    <row r="126" spans="9:9" x14ac:dyDescent="0.15">
      <c r="I126" t="s">
        <v>1374</v>
      </c>
    </row>
    <row r="127" spans="9:9" x14ac:dyDescent="0.15">
      <c r="I127" t="s">
        <v>1375</v>
      </c>
    </row>
    <row r="128" spans="9:9" x14ac:dyDescent="0.15">
      <c r="I128" t="s">
        <v>1376</v>
      </c>
    </row>
    <row r="129" spans="9:9" x14ac:dyDescent="0.15">
      <c r="I129" t="s">
        <v>1377</v>
      </c>
    </row>
    <row r="130" spans="9:9" x14ac:dyDescent="0.15">
      <c r="I130" t="s">
        <v>1322</v>
      </c>
    </row>
    <row r="131" spans="9:9" x14ac:dyDescent="0.15">
      <c r="I131" t="s">
        <v>1323</v>
      </c>
    </row>
    <row r="132" spans="9:9" x14ac:dyDescent="0.15">
      <c r="I132" t="s">
        <v>1324</v>
      </c>
    </row>
    <row r="133" spans="9:9" x14ac:dyDescent="0.15">
      <c r="I133" t="s">
        <v>1325</v>
      </c>
    </row>
    <row r="134" spans="9:9" x14ac:dyDescent="0.15">
      <c r="I134" t="s">
        <v>1326</v>
      </c>
    </row>
    <row r="135" spans="9:9" x14ac:dyDescent="0.15">
      <c r="I135" t="s">
        <v>1390</v>
      </c>
    </row>
    <row r="136" spans="9:9" x14ac:dyDescent="0.15">
      <c r="I136" t="s">
        <v>1391</v>
      </c>
    </row>
    <row r="137" spans="9:9" x14ac:dyDescent="0.15">
      <c r="I137" t="s">
        <v>1392</v>
      </c>
    </row>
    <row r="138" spans="9:9" x14ac:dyDescent="0.15">
      <c r="I138" t="s">
        <v>1393</v>
      </c>
    </row>
    <row r="139" spans="9:9" x14ac:dyDescent="0.15">
      <c r="I139" t="s">
        <v>1394</v>
      </c>
    </row>
    <row r="140" spans="9:9" x14ac:dyDescent="0.15">
      <c r="I140" t="s">
        <v>1395</v>
      </c>
    </row>
    <row r="141" spans="9:9" x14ac:dyDescent="0.15">
      <c r="I141" t="s">
        <v>1332</v>
      </c>
    </row>
    <row r="142" spans="9:9" x14ac:dyDescent="0.15">
      <c r="I142" t="s">
        <v>1333</v>
      </c>
    </row>
    <row r="143" spans="9:9" x14ac:dyDescent="0.15">
      <c r="I143" t="s">
        <v>1334</v>
      </c>
    </row>
    <row r="144" spans="9:9" x14ac:dyDescent="0.15">
      <c r="I144" t="s">
        <v>1335</v>
      </c>
    </row>
    <row r="145" spans="9:9" x14ac:dyDescent="0.15">
      <c r="I145" t="s">
        <v>1336</v>
      </c>
    </row>
    <row r="146" spans="9:9" x14ac:dyDescent="0.15">
      <c r="I146" t="s">
        <v>1337</v>
      </c>
    </row>
    <row r="147" spans="9:9" x14ac:dyDescent="0.15">
      <c r="I147" t="s">
        <v>1338</v>
      </c>
    </row>
    <row r="148" spans="9:9" x14ac:dyDescent="0.15">
      <c r="I148" t="s">
        <v>1339</v>
      </c>
    </row>
    <row r="149" spans="9:9" x14ac:dyDescent="0.15">
      <c r="I149" t="s">
        <v>1340</v>
      </c>
    </row>
    <row r="150" spans="9:9" x14ac:dyDescent="0.15">
      <c r="I150" t="s">
        <v>1341</v>
      </c>
    </row>
    <row r="151" spans="9:9" x14ac:dyDescent="0.15">
      <c r="I151" t="s">
        <v>1342</v>
      </c>
    </row>
    <row r="152" spans="9:9" x14ac:dyDescent="0.15">
      <c r="I152" t="s">
        <v>1343</v>
      </c>
    </row>
    <row r="153" spans="9:9" x14ac:dyDescent="0.15">
      <c r="I153" t="s">
        <v>1410</v>
      </c>
    </row>
    <row r="154" spans="9:9" x14ac:dyDescent="0.15">
      <c r="I154" t="s">
        <v>1411</v>
      </c>
    </row>
    <row r="155" spans="9:9" x14ac:dyDescent="0.15">
      <c r="I155" t="s">
        <v>1412</v>
      </c>
    </row>
    <row r="156" spans="9:9" x14ac:dyDescent="0.15">
      <c r="I156" t="s">
        <v>1413</v>
      </c>
    </row>
    <row r="157" spans="9:9" x14ac:dyDescent="0.15">
      <c r="I157" t="s">
        <v>1414</v>
      </c>
    </row>
    <row r="158" spans="9:9" x14ac:dyDescent="0.15">
      <c r="I158" t="s">
        <v>1348</v>
      </c>
    </row>
    <row r="159" spans="9:9" x14ac:dyDescent="0.15">
      <c r="I159" t="s">
        <v>1349</v>
      </c>
    </row>
    <row r="160" spans="9:9" x14ac:dyDescent="0.15">
      <c r="I160" t="s">
        <v>1350</v>
      </c>
    </row>
    <row r="162" spans="9:9" x14ac:dyDescent="0.15">
      <c r="I162" t="s">
        <v>1351</v>
      </c>
    </row>
    <row r="163" spans="9:9" x14ac:dyDescent="0.15">
      <c r="I163" t="s">
        <v>1352</v>
      </c>
    </row>
    <row r="164" spans="9:9" x14ac:dyDescent="0.15">
      <c r="I164" t="s">
        <v>1353</v>
      </c>
    </row>
    <row r="165" spans="9:9" x14ac:dyDescent="0.15">
      <c r="I165" t="s">
        <v>1430</v>
      </c>
    </row>
    <row r="166" spans="9:9" x14ac:dyDescent="0.15">
      <c r="I166" t="s">
        <v>1431</v>
      </c>
    </row>
    <row r="167" spans="9:9" x14ac:dyDescent="0.15">
      <c r="I167" t="s">
        <v>1432</v>
      </c>
    </row>
    <row r="168" spans="9:9" x14ac:dyDescent="0.15">
      <c r="I168" t="s">
        <v>1433</v>
      </c>
    </row>
    <row r="169" spans="9:9" x14ac:dyDescent="0.15">
      <c r="I169" t="s">
        <v>1434</v>
      </c>
    </row>
    <row r="170" spans="9:9" x14ac:dyDescent="0.15">
      <c r="I170" t="s">
        <v>1435</v>
      </c>
    </row>
    <row r="171" spans="9:9" x14ac:dyDescent="0.15">
      <c r="I171" t="s">
        <v>1436</v>
      </c>
    </row>
    <row r="173" spans="9:9" x14ac:dyDescent="0.15">
      <c r="I173" t="s">
        <v>1437</v>
      </c>
    </row>
    <row r="174" spans="9:9" x14ac:dyDescent="0.15">
      <c r="I174" t="s">
        <v>1359</v>
      </c>
    </row>
    <row r="175" spans="9:9" x14ac:dyDescent="0.15">
      <c r="I175" t="s">
        <v>1360</v>
      </c>
    </row>
    <row r="176" spans="9:9" x14ac:dyDescent="0.15">
      <c r="I176" t="s">
        <v>1361</v>
      </c>
    </row>
    <row r="177" spans="9:9" x14ac:dyDescent="0.15">
      <c r="I177" t="s">
        <v>1362</v>
      </c>
    </row>
    <row r="178" spans="9:9" x14ac:dyDescent="0.15">
      <c r="I178" t="s">
        <v>1363</v>
      </c>
    </row>
    <row r="179" spans="9:9" x14ac:dyDescent="0.15">
      <c r="I179" t="s">
        <v>1364</v>
      </c>
    </row>
    <row r="180" spans="9:9" x14ac:dyDescent="0.15">
      <c r="I180" t="s">
        <v>1365</v>
      </c>
    </row>
    <row r="181" spans="9:9" x14ac:dyDescent="0.15">
      <c r="I181" t="s">
        <v>1366</v>
      </c>
    </row>
    <row r="182" spans="9:9" x14ac:dyDescent="0.15">
      <c r="I182" t="s">
        <v>1367</v>
      </c>
    </row>
    <row r="183" spans="9:9" x14ac:dyDescent="0.15">
      <c r="I183" t="s">
        <v>1368</v>
      </c>
    </row>
    <row r="184" spans="9:9" x14ac:dyDescent="0.15">
      <c r="I184" t="s">
        <v>1369</v>
      </c>
    </row>
    <row r="185" spans="9:9" x14ac:dyDescent="0.15">
      <c r="I185" t="s">
        <v>1370</v>
      </c>
    </row>
    <row r="186" spans="9:9" x14ac:dyDescent="0.15">
      <c r="I186" t="s">
        <v>1371</v>
      </c>
    </row>
    <row r="187" spans="9:9" x14ac:dyDescent="0.15">
      <c r="I187" t="s">
        <v>1372</v>
      </c>
    </row>
    <row r="189" spans="9:9" x14ac:dyDescent="0.15">
      <c r="I189" t="s">
        <v>1388</v>
      </c>
    </row>
    <row r="190" spans="9:9" x14ac:dyDescent="0.15">
      <c r="I190" t="s">
        <v>1389</v>
      </c>
    </row>
    <row r="191" spans="9:9" x14ac:dyDescent="0.15">
      <c r="I191" t="s">
        <v>1360</v>
      </c>
    </row>
    <row r="192" spans="9:9" x14ac:dyDescent="0.15">
      <c r="I192" t="s">
        <v>1492</v>
      </c>
    </row>
    <row r="193" spans="1:9" x14ac:dyDescent="0.15">
      <c r="I193" t="s">
        <v>1493</v>
      </c>
    </row>
    <row r="194" spans="1:9" x14ac:dyDescent="0.15">
      <c r="I194" t="s">
        <v>1494</v>
      </c>
    </row>
    <row r="195" spans="1:9" x14ac:dyDescent="0.15">
      <c r="I195" t="s">
        <v>1495</v>
      </c>
    </row>
    <row r="196" spans="1:9" x14ac:dyDescent="0.15">
      <c r="I196" t="s">
        <v>1496</v>
      </c>
    </row>
    <row r="197" spans="1:9" x14ac:dyDescent="0.15">
      <c r="I197" t="s">
        <v>1497</v>
      </c>
    </row>
    <row r="198" spans="1:9" x14ac:dyDescent="0.15">
      <c r="I198" t="s">
        <v>1498</v>
      </c>
    </row>
    <row r="199" spans="1:9" x14ac:dyDescent="0.15">
      <c r="I199" t="s">
        <v>1499</v>
      </c>
    </row>
    <row r="200" spans="1:9" x14ac:dyDescent="0.15">
      <c r="I200" t="s">
        <v>1396</v>
      </c>
    </row>
    <row r="201" spans="1:9" x14ac:dyDescent="0.15">
      <c r="I201" t="s">
        <v>1397</v>
      </c>
    </row>
    <row r="202" spans="1:9" x14ac:dyDescent="0.15">
      <c r="I202" t="s">
        <v>1398</v>
      </c>
    </row>
    <row r="207" spans="1:9" x14ac:dyDescent="0.15">
      <c r="A207" t="s">
        <v>1416</v>
      </c>
      <c r="B207" t="s">
        <v>1417</v>
      </c>
      <c r="C207" t="s">
        <v>1418</v>
      </c>
    </row>
    <row r="208" spans="1:9" ht="15" x14ac:dyDescent="0.15">
      <c r="A208" t="s">
        <v>1419</v>
      </c>
      <c r="B208" s="169">
        <v>9.0789999999999994E-8</v>
      </c>
      <c r="C208">
        <v>7.31</v>
      </c>
    </row>
    <row r="209" spans="1:3" ht="15" x14ac:dyDescent="0.15">
      <c r="A209" t="s">
        <v>1420</v>
      </c>
      <c r="B209" s="169">
        <v>4.42E-9</v>
      </c>
      <c r="C209">
        <v>0.28070000000000001</v>
      </c>
    </row>
    <row r="210" spans="1:3" ht="15" x14ac:dyDescent="0.15">
      <c r="A210" t="s">
        <v>1421</v>
      </c>
      <c r="B210" s="169">
        <v>5.0330000000000001E-12</v>
      </c>
      <c r="C210" s="169">
        <v>4.9799999999999996E-4</v>
      </c>
    </row>
    <row r="211" spans="1:3" ht="15" x14ac:dyDescent="0.2">
      <c r="A211" t="s">
        <v>1425</v>
      </c>
      <c r="B211" s="169">
        <v>1.6090000000000001E-14</v>
      </c>
      <c r="C211" s="169">
        <v>2.5670000000000002E-6</v>
      </c>
    </row>
    <row r="212" spans="1:3" x14ac:dyDescent="0.15">
      <c r="A212" t="s">
        <v>1422</v>
      </c>
      <c r="B212" s="169">
        <v>8.5459999999999996E-15</v>
      </c>
      <c r="C212" s="169">
        <v>1.3629999999999999E-6</v>
      </c>
    </row>
    <row r="213" spans="1:3" x14ac:dyDescent="0.15">
      <c r="A213" t="s">
        <v>1383</v>
      </c>
      <c r="B213" s="169">
        <v>1.35E-15</v>
      </c>
      <c r="C213" s="169">
        <v>1.814E-7</v>
      </c>
    </row>
    <row r="214" spans="1:3" x14ac:dyDescent="0.15">
      <c r="A214" t="s">
        <v>1423</v>
      </c>
      <c r="B214" s="169">
        <v>1.1960000000000001E-16</v>
      </c>
      <c r="C214" s="169">
        <v>1.8959999999999999E-8</v>
      </c>
    </row>
    <row r="215" spans="1:3" x14ac:dyDescent="0.15">
      <c r="A215" t="s">
        <v>1424</v>
      </c>
      <c r="B215" s="169">
        <v>4.3960000000000003E-18</v>
      </c>
      <c r="C215" s="169">
        <v>7.0539999999999996E-10</v>
      </c>
    </row>
    <row r="216" spans="1:3" x14ac:dyDescent="0.15">
      <c r="A216" t="s">
        <v>1458</v>
      </c>
      <c r="B216" s="169">
        <v>5.135E-19</v>
      </c>
      <c r="C216" s="169">
        <v>3.2609999999999998E-11</v>
      </c>
    </row>
  </sheetData>
  <phoneticPr fontId="8" type="noConversion"/>
  <pageMargins left="0.78740157499999996" right="0.78740157499999996" top="1" bottom="1" header="0" footer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37"/>
  <sheetViews>
    <sheetView topLeftCell="E2" workbookViewId="0">
      <selection activeCell="I20" sqref="I20"/>
    </sheetView>
  </sheetViews>
  <sheetFormatPr baseColWidth="10" defaultRowHeight="13" x14ac:dyDescent="0.15"/>
  <cols>
    <col min="1" max="1" width="5.6640625" customWidth="1"/>
    <col min="2" max="2" width="2.6640625" customWidth="1"/>
  </cols>
  <sheetData>
    <row r="2" spans="1:3" ht="16" x14ac:dyDescent="0.2">
      <c r="A2" s="2">
        <v>0</v>
      </c>
      <c r="B2" s="3" t="s">
        <v>715</v>
      </c>
      <c r="C2" s="4"/>
    </row>
    <row r="3" spans="1:3" ht="16" x14ac:dyDescent="0.2">
      <c r="A3" s="2">
        <v>0.1</v>
      </c>
      <c r="B3" s="4" t="s">
        <v>1143</v>
      </c>
      <c r="C3" s="4"/>
    </row>
    <row r="4" spans="1:3" ht="16" x14ac:dyDescent="0.2">
      <c r="A4" s="2" t="s">
        <v>716</v>
      </c>
      <c r="B4" s="5"/>
      <c r="C4" s="4" t="s">
        <v>809</v>
      </c>
    </row>
    <row r="5" spans="1:3" ht="16" x14ac:dyDescent="0.2">
      <c r="A5" s="2" t="s">
        <v>803</v>
      </c>
      <c r="B5" s="4"/>
      <c r="C5" s="4" t="s">
        <v>804</v>
      </c>
    </row>
    <row r="6" spans="1:3" ht="16" x14ac:dyDescent="0.2">
      <c r="A6" s="2"/>
      <c r="B6" s="4"/>
      <c r="C6" s="4"/>
    </row>
    <row r="7" spans="1:3" ht="16" x14ac:dyDescent="0.2">
      <c r="A7" s="2">
        <v>1</v>
      </c>
      <c r="B7" s="3" t="s">
        <v>491</v>
      </c>
      <c r="C7" s="4"/>
    </row>
    <row r="8" spans="1:3" ht="16" x14ac:dyDescent="0.2">
      <c r="A8" s="2">
        <v>1.1000000000000001</v>
      </c>
      <c r="B8" s="4" t="s">
        <v>1014</v>
      </c>
      <c r="C8" s="4"/>
    </row>
    <row r="9" spans="1:3" ht="16" x14ac:dyDescent="0.2">
      <c r="A9" s="2" t="s">
        <v>805</v>
      </c>
      <c r="B9" s="5" t="s">
        <v>717</v>
      </c>
      <c r="C9" s="4" t="s">
        <v>880</v>
      </c>
    </row>
    <row r="10" spans="1:3" ht="16" x14ac:dyDescent="0.2">
      <c r="A10" s="2" t="s">
        <v>806</v>
      </c>
      <c r="B10" s="5" t="s">
        <v>807</v>
      </c>
      <c r="C10" s="4" t="s">
        <v>808</v>
      </c>
    </row>
    <row r="11" spans="1:3" ht="16" x14ac:dyDescent="0.2">
      <c r="A11" s="2">
        <v>1.2</v>
      </c>
      <c r="B11" s="4" t="s">
        <v>899</v>
      </c>
      <c r="C11" s="4"/>
    </row>
    <row r="12" spans="1:3" ht="16" x14ac:dyDescent="0.2">
      <c r="A12" s="4"/>
      <c r="B12" s="4"/>
      <c r="C12" s="4"/>
    </row>
    <row r="13" spans="1:3" ht="16" x14ac:dyDescent="0.2">
      <c r="A13" s="4" t="s">
        <v>955</v>
      </c>
      <c r="B13" s="6" t="s">
        <v>490</v>
      </c>
      <c r="C13" s="4"/>
    </row>
    <row r="14" spans="1:3" ht="16" x14ac:dyDescent="0.2">
      <c r="A14" s="4" t="s">
        <v>951</v>
      </c>
      <c r="B14" s="4" t="s">
        <v>1014</v>
      </c>
      <c r="C14" s="4"/>
    </row>
    <row r="15" spans="1:3" ht="16" x14ac:dyDescent="0.2">
      <c r="A15" s="4" t="s">
        <v>952</v>
      </c>
      <c r="B15" s="5" t="s">
        <v>717</v>
      </c>
      <c r="C15" s="4" t="s">
        <v>880</v>
      </c>
    </row>
    <row r="16" spans="1:3" ht="16" x14ac:dyDescent="0.2">
      <c r="A16" s="4" t="s">
        <v>953</v>
      </c>
      <c r="B16" s="5" t="s">
        <v>1095</v>
      </c>
      <c r="C16" s="4" t="s">
        <v>1096</v>
      </c>
    </row>
    <row r="17" spans="1:3" ht="16" x14ac:dyDescent="0.2">
      <c r="A17" s="4" t="s">
        <v>1097</v>
      </c>
      <c r="B17" s="4" t="s">
        <v>1098</v>
      </c>
      <c r="C17" s="4"/>
    </row>
    <row r="18" spans="1:3" ht="16" x14ac:dyDescent="0.2">
      <c r="A18" s="4" t="s">
        <v>1099</v>
      </c>
      <c r="B18" s="4" t="s">
        <v>487</v>
      </c>
      <c r="C18" s="4"/>
    </row>
    <row r="19" spans="1:3" ht="16" x14ac:dyDescent="0.2">
      <c r="A19" s="4" t="s">
        <v>1100</v>
      </c>
      <c r="B19" s="4" t="s">
        <v>855</v>
      </c>
      <c r="C19" s="4"/>
    </row>
    <row r="20" spans="1:3" ht="16" x14ac:dyDescent="0.2">
      <c r="A20" s="4"/>
      <c r="B20" s="4"/>
      <c r="C20" s="4"/>
    </row>
    <row r="21" spans="1:3" ht="16" x14ac:dyDescent="0.2">
      <c r="A21" s="4" t="s">
        <v>856</v>
      </c>
      <c r="B21" s="6" t="s">
        <v>489</v>
      </c>
      <c r="C21" s="4"/>
    </row>
    <row r="22" spans="1:3" ht="16" x14ac:dyDescent="0.2">
      <c r="A22" s="4" t="s">
        <v>857</v>
      </c>
      <c r="B22" s="4" t="s">
        <v>1014</v>
      </c>
      <c r="C22" s="4"/>
    </row>
    <row r="23" spans="1:3" ht="16" x14ac:dyDescent="0.2">
      <c r="A23" s="4" t="s">
        <v>858</v>
      </c>
      <c r="B23" s="5" t="s">
        <v>717</v>
      </c>
      <c r="C23" s="4" t="s">
        <v>880</v>
      </c>
    </row>
    <row r="24" spans="1:3" ht="16" x14ac:dyDescent="0.2">
      <c r="A24" s="4" t="s">
        <v>859</v>
      </c>
      <c r="B24" s="5" t="s">
        <v>979</v>
      </c>
      <c r="C24" s="4" t="s">
        <v>860</v>
      </c>
    </row>
    <row r="25" spans="1:3" ht="16" x14ac:dyDescent="0.2">
      <c r="A25" s="4" t="s">
        <v>861</v>
      </c>
      <c r="B25" s="4" t="s">
        <v>962</v>
      </c>
      <c r="C25" s="4"/>
    </row>
    <row r="26" spans="1:3" ht="16" x14ac:dyDescent="0.2">
      <c r="A26" s="4" t="s">
        <v>702</v>
      </c>
      <c r="B26" s="4" t="s">
        <v>703</v>
      </c>
      <c r="C26" s="4"/>
    </row>
    <row r="27" spans="1:3" ht="16" x14ac:dyDescent="0.2">
      <c r="A27" s="4" t="s">
        <v>704</v>
      </c>
      <c r="B27" s="4" t="s">
        <v>486</v>
      </c>
      <c r="C27" s="4"/>
    </row>
    <row r="28" spans="1:3" ht="16" x14ac:dyDescent="0.2">
      <c r="A28" s="4" t="s">
        <v>549</v>
      </c>
      <c r="B28" s="4" t="s">
        <v>706</v>
      </c>
      <c r="C28" s="4"/>
    </row>
    <row r="29" spans="1:3" ht="16" x14ac:dyDescent="0.2">
      <c r="A29" s="4"/>
      <c r="B29" s="4"/>
      <c r="C29" s="4"/>
    </row>
    <row r="30" spans="1:3" ht="16" x14ac:dyDescent="0.2">
      <c r="A30" s="2">
        <v>3</v>
      </c>
      <c r="B30" s="6" t="s">
        <v>488</v>
      </c>
      <c r="C30" s="4"/>
    </row>
    <row r="31" spans="1:3" ht="16" x14ac:dyDescent="0.2">
      <c r="A31" s="2">
        <v>3.1</v>
      </c>
      <c r="B31" s="4" t="s">
        <v>1014</v>
      </c>
      <c r="C31" s="4"/>
    </row>
    <row r="32" spans="1:3" ht="16" x14ac:dyDescent="0.2">
      <c r="A32" s="2" t="s">
        <v>707</v>
      </c>
      <c r="B32" s="5" t="s">
        <v>717</v>
      </c>
      <c r="C32" s="4" t="s">
        <v>880</v>
      </c>
    </row>
    <row r="33" spans="1:3" ht="16" x14ac:dyDescent="0.2">
      <c r="A33" s="2" t="s">
        <v>708</v>
      </c>
      <c r="B33" s="5" t="s">
        <v>709</v>
      </c>
      <c r="C33" s="4" t="s">
        <v>710</v>
      </c>
    </row>
    <row r="34" spans="1:3" ht="16" x14ac:dyDescent="0.2">
      <c r="A34" s="2">
        <v>3.2</v>
      </c>
      <c r="B34" s="4" t="s">
        <v>788</v>
      </c>
      <c r="C34" s="4"/>
    </row>
    <row r="35" spans="1:3" ht="16" x14ac:dyDescent="0.2">
      <c r="A35" s="2">
        <v>3.3</v>
      </c>
      <c r="B35" s="4" t="s">
        <v>637</v>
      </c>
      <c r="C35" s="4"/>
    </row>
    <row r="36" spans="1:3" ht="16" x14ac:dyDescent="0.2">
      <c r="A36" s="2">
        <v>3.4</v>
      </c>
      <c r="B36" s="4" t="s">
        <v>638</v>
      </c>
      <c r="C36" s="4"/>
    </row>
    <row r="37" spans="1:3" ht="16" x14ac:dyDescent="0.2">
      <c r="A37" s="2">
        <v>3.5</v>
      </c>
      <c r="B37" s="4" t="s">
        <v>639</v>
      </c>
    </row>
  </sheetData>
  <phoneticPr fontId="8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6"/>
  <sheetViews>
    <sheetView topLeftCell="A69" workbookViewId="0">
      <selection activeCell="D37" sqref="D37"/>
    </sheetView>
  </sheetViews>
  <sheetFormatPr baseColWidth="10" defaultRowHeight="13" x14ac:dyDescent="0.15"/>
  <cols>
    <col min="1" max="1" width="6.83203125" customWidth="1"/>
    <col min="2" max="2" width="6" customWidth="1"/>
    <col min="3" max="3" width="10.1640625" customWidth="1"/>
    <col min="6" max="6" width="11.6640625" customWidth="1"/>
  </cols>
  <sheetData>
    <row r="1" spans="1:6" x14ac:dyDescent="0.15">
      <c r="A1" t="s">
        <v>485</v>
      </c>
    </row>
    <row r="2" spans="1:6" ht="16" x14ac:dyDescent="0.2">
      <c r="A2" s="2">
        <v>0</v>
      </c>
      <c r="B2" s="3" t="s">
        <v>715</v>
      </c>
      <c r="C2" s="4"/>
    </row>
    <row r="3" spans="1:6" ht="16" x14ac:dyDescent="0.2">
      <c r="A3" s="2">
        <v>0.1</v>
      </c>
      <c r="B3" s="4" t="s">
        <v>1143</v>
      </c>
      <c r="C3" s="4"/>
    </row>
    <row r="4" spans="1:6" ht="16" x14ac:dyDescent="0.2">
      <c r="A4" s="2" t="s">
        <v>716</v>
      </c>
      <c r="B4" s="5"/>
      <c r="C4" s="4" t="s">
        <v>809</v>
      </c>
    </row>
    <row r="5" spans="1:6" ht="16" x14ac:dyDescent="0.2">
      <c r="A5" s="2" t="s">
        <v>803</v>
      </c>
      <c r="B5" s="4"/>
      <c r="C5" s="4" t="s">
        <v>804</v>
      </c>
    </row>
    <row r="7" spans="1:6" x14ac:dyDescent="0.15">
      <c r="A7" s="1" t="s">
        <v>821</v>
      </c>
    </row>
    <row r="8" spans="1:6" x14ac:dyDescent="0.15">
      <c r="A8" s="1" t="s">
        <v>822</v>
      </c>
    </row>
    <row r="9" spans="1:6" x14ac:dyDescent="0.15">
      <c r="B9" t="s">
        <v>901</v>
      </c>
      <c r="C9" s="7">
        <v>290466</v>
      </c>
    </row>
    <row r="11" spans="1:6" x14ac:dyDescent="0.15">
      <c r="A11" s="1" t="s">
        <v>820</v>
      </c>
      <c r="B11" s="1"/>
      <c r="C11" s="1"/>
      <c r="D11" s="1"/>
      <c r="E11" s="1" t="s">
        <v>636</v>
      </c>
      <c r="F11" s="1" t="s">
        <v>1028</v>
      </c>
    </row>
    <row r="12" spans="1:6" x14ac:dyDescent="0.15">
      <c r="A12" t="s">
        <v>640</v>
      </c>
    </row>
    <row r="13" spans="1:6" x14ac:dyDescent="0.15">
      <c r="A13" t="s">
        <v>812</v>
      </c>
      <c r="C13">
        <v>5.5</v>
      </c>
    </row>
    <row r="14" spans="1:6" x14ac:dyDescent="0.15">
      <c r="A14" t="s">
        <v>813</v>
      </c>
      <c r="B14" t="s">
        <v>634</v>
      </c>
      <c r="C14">
        <v>0</v>
      </c>
    </row>
    <row r="15" spans="1:6" x14ac:dyDescent="0.15">
      <c r="A15" t="s">
        <v>814</v>
      </c>
      <c r="B15" t="s">
        <v>634</v>
      </c>
      <c r="C15">
        <v>0</v>
      </c>
    </row>
    <row r="16" spans="1:6" x14ac:dyDescent="0.15">
      <c r="A16" t="s">
        <v>815</v>
      </c>
      <c r="B16" t="s">
        <v>635</v>
      </c>
      <c r="C16">
        <v>0</v>
      </c>
    </row>
    <row r="17" spans="1:3" x14ac:dyDescent="0.15">
      <c r="A17" t="s">
        <v>816</v>
      </c>
      <c r="B17" t="s">
        <v>635</v>
      </c>
      <c r="C17">
        <v>0</v>
      </c>
    </row>
    <row r="18" spans="1:3" x14ac:dyDescent="0.15">
      <c r="A18" t="s">
        <v>817</v>
      </c>
      <c r="B18" t="s">
        <v>635</v>
      </c>
      <c r="C18">
        <v>0</v>
      </c>
    </row>
    <row r="19" spans="1:3" x14ac:dyDescent="0.15">
      <c r="A19" t="s">
        <v>818</v>
      </c>
      <c r="B19" t="s">
        <v>635</v>
      </c>
      <c r="C19">
        <v>0</v>
      </c>
    </row>
    <row r="20" spans="1:3" x14ac:dyDescent="0.15">
      <c r="A20" t="s">
        <v>819</v>
      </c>
      <c r="B20" t="s">
        <v>635</v>
      </c>
      <c r="C20">
        <v>0</v>
      </c>
    </row>
    <row r="25" spans="1:3" x14ac:dyDescent="0.15">
      <c r="A25" s="1" t="s">
        <v>900</v>
      </c>
    </row>
    <row r="27" spans="1:3" x14ac:dyDescent="0.15">
      <c r="A27" s="1" t="s">
        <v>633</v>
      </c>
    </row>
    <row r="28" spans="1:3" x14ac:dyDescent="0.15">
      <c r="A28" t="s">
        <v>1030</v>
      </c>
    </row>
    <row r="29" spans="1:3" x14ac:dyDescent="0.15">
      <c r="A29">
        <v>1</v>
      </c>
      <c r="B29" t="s">
        <v>901</v>
      </c>
      <c r="C29">
        <v>6044400</v>
      </c>
    </row>
    <row r="30" spans="1:3" x14ac:dyDescent="0.15">
      <c r="A30">
        <v>2</v>
      </c>
      <c r="C30">
        <v>6044400</v>
      </c>
    </row>
    <row r="31" spans="1:3" x14ac:dyDescent="0.15">
      <c r="A31">
        <v>3</v>
      </c>
      <c r="C31">
        <v>6044400</v>
      </c>
    </row>
    <row r="32" spans="1:3" x14ac:dyDescent="0.15">
      <c r="A32">
        <v>4</v>
      </c>
      <c r="C32">
        <v>6044400</v>
      </c>
    </row>
    <row r="33" spans="1:3" x14ac:dyDescent="0.15">
      <c r="A33">
        <v>5</v>
      </c>
      <c r="C33">
        <v>6044400</v>
      </c>
    </row>
    <row r="34" spans="1:3" x14ac:dyDescent="0.15">
      <c r="A34">
        <v>6</v>
      </c>
      <c r="C34">
        <v>6044400</v>
      </c>
    </row>
    <row r="35" spans="1:3" x14ac:dyDescent="0.15">
      <c r="A35">
        <v>7</v>
      </c>
      <c r="C35">
        <v>6044400</v>
      </c>
    </row>
    <row r="36" spans="1:3" x14ac:dyDescent="0.15">
      <c r="A36">
        <v>8</v>
      </c>
      <c r="C36">
        <v>6044400</v>
      </c>
    </row>
    <row r="37" spans="1:3" x14ac:dyDescent="0.15">
      <c r="A37">
        <v>9</v>
      </c>
      <c r="C37">
        <v>6044400</v>
      </c>
    </row>
    <row r="38" spans="1:3" x14ac:dyDescent="0.15">
      <c r="A38">
        <v>10</v>
      </c>
      <c r="C38">
        <v>6044400</v>
      </c>
    </row>
    <row r="39" spans="1:3" x14ac:dyDescent="0.15">
      <c r="A39">
        <v>11</v>
      </c>
      <c r="C39">
        <v>6044400</v>
      </c>
    </row>
    <row r="40" spans="1:3" x14ac:dyDescent="0.15">
      <c r="A40">
        <v>12</v>
      </c>
      <c r="C40">
        <v>6044400</v>
      </c>
    </row>
    <row r="41" spans="1:3" x14ac:dyDescent="0.15">
      <c r="A41">
        <v>13</v>
      </c>
      <c r="C41">
        <v>6044400</v>
      </c>
    </row>
    <row r="42" spans="1:3" x14ac:dyDescent="0.15">
      <c r="A42">
        <v>14</v>
      </c>
      <c r="C42">
        <v>6044400</v>
      </c>
    </row>
    <row r="43" spans="1:3" x14ac:dyDescent="0.15">
      <c r="A43">
        <v>15</v>
      </c>
      <c r="C43">
        <v>6044400</v>
      </c>
    </row>
    <row r="44" spans="1:3" x14ac:dyDescent="0.15">
      <c r="A44">
        <v>16</v>
      </c>
      <c r="C44">
        <v>6044400</v>
      </c>
    </row>
    <row r="45" spans="1:3" x14ac:dyDescent="0.15">
      <c r="A45">
        <v>17</v>
      </c>
      <c r="C45">
        <v>6044400</v>
      </c>
    </row>
    <row r="46" spans="1:3" x14ac:dyDescent="0.15">
      <c r="A46">
        <v>18</v>
      </c>
      <c r="C46">
        <v>6044400</v>
      </c>
    </row>
    <row r="47" spans="1:3" x14ac:dyDescent="0.15">
      <c r="A47">
        <v>19</v>
      </c>
      <c r="C47">
        <v>6044400</v>
      </c>
    </row>
    <row r="48" spans="1:3" x14ac:dyDescent="0.15">
      <c r="A48">
        <v>20</v>
      </c>
      <c r="C48">
        <v>6044400</v>
      </c>
    </row>
    <row r="50" spans="1:2" x14ac:dyDescent="0.15">
      <c r="A50" s="1" t="s">
        <v>655</v>
      </c>
    </row>
    <row r="51" spans="1:2" x14ac:dyDescent="0.15">
      <c r="A51" t="s">
        <v>640</v>
      </c>
    </row>
    <row r="52" spans="1:2" x14ac:dyDescent="0.15">
      <c r="A52" t="s">
        <v>812</v>
      </c>
    </row>
    <row r="53" spans="1:2" x14ac:dyDescent="0.15">
      <c r="A53" t="s">
        <v>813</v>
      </c>
    </row>
    <row r="54" spans="1:2" x14ac:dyDescent="0.15">
      <c r="A54" t="s">
        <v>814</v>
      </c>
    </row>
    <row r="55" spans="1:2" x14ac:dyDescent="0.15">
      <c r="A55" t="s">
        <v>815</v>
      </c>
    </row>
    <row r="56" spans="1:2" x14ac:dyDescent="0.15">
      <c r="A56" t="s">
        <v>816</v>
      </c>
    </row>
    <row r="57" spans="1:2" x14ac:dyDescent="0.15">
      <c r="A57" t="s">
        <v>817</v>
      </c>
    </row>
    <row r="58" spans="1:2" x14ac:dyDescent="0.15">
      <c r="A58" t="s">
        <v>818</v>
      </c>
    </row>
    <row r="59" spans="1:2" x14ac:dyDescent="0.15">
      <c r="A59" t="s">
        <v>819</v>
      </c>
    </row>
    <row r="62" spans="1:2" x14ac:dyDescent="0.15">
      <c r="A62" s="1" t="s">
        <v>823</v>
      </c>
    </row>
    <row r="63" spans="1:2" x14ac:dyDescent="0.15">
      <c r="A63" t="s">
        <v>1030</v>
      </c>
    </row>
    <row r="64" spans="1:2" x14ac:dyDescent="0.15">
      <c r="A64">
        <v>1</v>
      </c>
      <c r="B64" t="s">
        <v>1029</v>
      </c>
    </row>
    <row r="65" spans="1:1" x14ac:dyDescent="0.15">
      <c r="A65">
        <v>2</v>
      </c>
    </row>
    <row r="66" spans="1:1" x14ac:dyDescent="0.15">
      <c r="A66">
        <v>3</v>
      </c>
    </row>
    <row r="67" spans="1:1" x14ac:dyDescent="0.15">
      <c r="A67">
        <v>4</v>
      </c>
    </row>
    <row r="68" spans="1:1" x14ac:dyDescent="0.15">
      <c r="A68">
        <v>5</v>
      </c>
    </row>
    <row r="69" spans="1:1" x14ac:dyDescent="0.15">
      <c r="A69">
        <v>6</v>
      </c>
    </row>
    <row r="70" spans="1:1" x14ac:dyDescent="0.15">
      <c r="A70">
        <v>7</v>
      </c>
    </row>
    <row r="71" spans="1:1" x14ac:dyDescent="0.15">
      <c r="A71">
        <v>8</v>
      </c>
    </row>
    <row r="72" spans="1:1" x14ac:dyDescent="0.15">
      <c r="A72">
        <v>9</v>
      </c>
    </row>
    <row r="73" spans="1:1" x14ac:dyDescent="0.15">
      <c r="A73">
        <v>10</v>
      </c>
    </row>
    <row r="74" spans="1:1" x14ac:dyDescent="0.15">
      <c r="A74">
        <v>11</v>
      </c>
    </row>
    <row r="75" spans="1:1" x14ac:dyDescent="0.15">
      <c r="A75">
        <v>12</v>
      </c>
    </row>
    <row r="76" spans="1:1" x14ac:dyDescent="0.15">
      <c r="A76">
        <v>13</v>
      </c>
    </row>
    <row r="77" spans="1:1" x14ac:dyDescent="0.15">
      <c r="A77">
        <v>14</v>
      </c>
    </row>
    <row r="78" spans="1:1" x14ac:dyDescent="0.15">
      <c r="A78">
        <v>15</v>
      </c>
    </row>
    <row r="79" spans="1:1" x14ac:dyDescent="0.15">
      <c r="A79">
        <v>16</v>
      </c>
    </row>
    <row r="80" spans="1:1" x14ac:dyDescent="0.15">
      <c r="A80">
        <v>17</v>
      </c>
    </row>
    <row r="81" spans="1:1" x14ac:dyDescent="0.15">
      <c r="A81">
        <v>18</v>
      </c>
    </row>
    <row r="82" spans="1:1" x14ac:dyDescent="0.15">
      <c r="A82">
        <v>19</v>
      </c>
    </row>
    <row r="83" spans="1:1" x14ac:dyDescent="0.15">
      <c r="A83">
        <v>20</v>
      </c>
    </row>
    <row r="86" spans="1:1" x14ac:dyDescent="0.15">
      <c r="A86" s="1" t="s">
        <v>654</v>
      </c>
    </row>
  </sheetData>
  <phoneticPr fontId="8" type="noConversion"/>
  <pageMargins left="0.78740157499999996" right="0.78740157499999996" top="1" bottom="1" header="0" footer="0"/>
  <legacy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9"/>
  <sheetViews>
    <sheetView workbookViewId="0">
      <selection sqref="A1:G9"/>
    </sheetView>
  </sheetViews>
  <sheetFormatPr baseColWidth="10" defaultRowHeight="13" x14ac:dyDescent="0.15"/>
  <cols>
    <col min="1" max="1" width="5.6640625" customWidth="1"/>
    <col min="2" max="2" width="3.83203125" customWidth="1"/>
  </cols>
  <sheetData>
    <row r="2" spans="1:3" ht="16" x14ac:dyDescent="0.2">
      <c r="A2" s="2">
        <v>3</v>
      </c>
      <c r="B2" s="6" t="s">
        <v>488</v>
      </c>
      <c r="C2" s="4"/>
    </row>
    <row r="3" spans="1:3" ht="16" x14ac:dyDescent="0.2">
      <c r="A3" s="2">
        <v>3.1</v>
      </c>
      <c r="B3" s="4" t="s">
        <v>1014</v>
      </c>
      <c r="C3" s="4"/>
    </row>
    <row r="4" spans="1:3" ht="16" x14ac:dyDescent="0.2">
      <c r="A4" s="2" t="s">
        <v>707</v>
      </c>
      <c r="B4" s="5" t="s">
        <v>717</v>
      </c>
      <c r="C4" s="4" t="s">
        <v>880</v>
      </c>
    </row>
    <row r="5" spans="1:3" ht="16" x14ac:dyDescent="0.2">
      <c r="A5" s="2" t="s">
        <v>708</v>
      </c>
      <c r="B5" s="5" t="s">
        <v>709</v>
      </c>
      <c r="C5" s="4" t="s">
        <v>710</v>
      </c>
    </row>
    <row r="6" spans="1:3" ht="16" x14ac:dyDescent="0.2">
      <c r="A6" s="2">
        <v>3.2</v>
      </c>
      <c r="B6" s="4" t="s">
        <v>788</v>
      </c>
      <c r="C6" s="4"/>
    </row>
    <row r="7" spans="1:3" ht="16" x14ac:dyDescent="0.2">
      <c r="A7" s="2">
        <v>3.3</v>
      </c>
      <c r="B7" s="4" t="s">
        <v>637</v>
      </c>
      <c r="C7" s="4"/>
    </row>
    <row r="8" spans="1:3" ht="16" x14ac:dyDescent="0.2">
      <c r="A8" s="2">
        <v>3.4</v>
      </c>
      <c r="B8" s="4" t="s">
        <v>638</v>
      </c>
      <c r="C8" s="4"/>
    </row>
    <row r="9" spans="1:3" ht="16" x14ac:dyDescent="0.2">
      <c r="A9" s="2">
        <v>3.5</v>
      </c>
      <c r="B9" s="4" t="s">
        <v>639</v>
      </c>
    </row>
  </sheetData>
  <phoneticPr fontId="8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C9"/>
  <sheetViews>
    <sheetView workbookViewId="0">
      <selection activeCell="A2" sqref="A2:C9"/>
    </sheetView>
  </sheetViews>
  <sheetFormatPr baseColWidth="10" defaultRowHeight="13" x14ac:dyDescent="0.15"/>
  <cols>
    <col min="1" max="1" width="6.83203125" customWidth="1"/>
    <col min="2" max="2" width="4" customWidth="1"/>
  </cols>
  <sheetData>
    <row r="2" spans="1:3" ht="16" x14ac:dyDescent="0.2">
      <c r="A2" s="4" t="s">
        <v>856</v>
      </c>
      <c r="B2" s="6" t="s">
        <v>489</v>
      </c>
      <c r="C2" s="4"/>
    </row>
    <row r="3" spans="1:3" ht="16" x14ac:dyDescent="0.2">
      <c r="A3" s="4" t="s">
        <v>857</v>
      </c>
      <c r="B3" s="4" t="s">
        <v>1014</v>
      </c>
      <c r="C3" s="4"/>
    </row>
    <row r="4" spans="1:3" ht="16" x14ac:dyDescent="0.2">
      <c r="A4" s="4" t="s">
        <v>858</v>
      </c>
      <c r="B4" s="5" t="s">
        <v>717</v>
      </c>
      <c r="C4" s="4" t="s">
        <v>880</v>
      </c>
    </row>
    <row r="5" spans="1:3" ht="16" x14ac:dyDescent="0.2">
      <c r="A5" s="4" t="s">
        <v>859</v>
      </c>
      <c r="B5" s="5" t="s">
        <v>979</v>
      </c>
      <c r="C5" s="4" t="s">
        <v>860</v>
      </c>
    </row>
    <row r="6" spans="1:3" ht="16" x14ac:dyDescent="0.2">
      <c r="A6" s="4" t="s">
        <v>861</v>
      </c>
      <c r="B6" s="4" t="s">
        <v>701</v>
      </c>
      <c r="C6" s="4"/>
    </row>
    <row r="7" spans="1:3" ht="16" x14ac:dyDescent="0.2">
      <c r="A7" s="4" t="s">
        <v>702</v>
      </c>
      <c r="B7" s="4" t="s">
        <v>703</v>
      </c>
      <c r="C7" s="4"/>
    </row>
    <row r="8" spans="1:3" ht="16" x14ac:dyDescent="0.2">
      <c r="A8" s="4" t="s">
        <v>704</v>
      </c>
      <c r="B8" s="4" t="s">
        <v>486</v>
      </c>
      <c r="C8" s="4"/>
    </row>
    <row r="9" spans="1:3" ht="16" x14ac:dyDescent="0.2">
      <c r="A9" s="4" t="s">
        <v>549</v>
      </c>
      <c r="B9" s="4" t="s">
        <v>706</v>
      </c>
      <c r="C9" s="4"/>
    </row>
  </sheetData>
  <phoneticPr fontId="8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C8"/>
  <sheetViews>
    <sheetView workbookViewId="0">
      <selection activeCell="B6" sqref="B6:B8"/>
    </sheetView>
  </sheetViews>
  <sheetFormatPr baseColWidth="10" defaultRowHeight="13" x14ac:dyDescent="0.15"/>
  <cols>
    <col min="1" max="1" width="6.1640625" customWidth="1"/>
    <col min="2" max="2" width="3.5" customWidth="1"/>
  </cols>
  <sheetData>
    <row r="2" spans="1:3" ht="16" x14ac:dyDescent="0.2">
      <c r="A2" s="4" t="s">
        <v>955</v>
      </c>
      <c r="B2" s="6" t="s">
        <v>490</v>
      </c>
      <c r="C2" s="4"/>
    </row>
    <row r="3" spans="1:3" ht="16" x14ac:dyDescent="0.2">
      <c r="A3" s="4" t="s">
        <v>951</v>
      </c>
      <c r="B3" s="4" t="s">
        <v>1014</v>
      </c>
      <c r="C3" s="4"/>
    </row>
    <row r="4" spans="1:3" ht="16" x14ac:dyDescent="0.2">
      <c r="A4" s="4" t="s">
        <v>952</v>
      </c>
      <c r="B4" s="5" t="s">
        <v>717</v>
      </c>
      <c r="C4" s="4" t="s">
        <v>880</v>
      </c>
    </row>
    <row r="5" spans="1:3" ht="16" x14ac:dyDescent="0.2">
      <c r="A5" s="4" t="s">
        <v>953</v>
      </c>
      <c r="B5" s="5" t="s">
        <v>1095</v>
      </c>
      <c r="C5" s="4" t="s">
        <v>1096</v>
      </c>
    </row>
    <row r="6" spans="1:3" ht="16" x14ac:dyDescent="0.2">
      <c r="A6" s="4" t="s">
        <v>1097</v>
      </c>
      <c r="B6" s="4" t="s">
        <v>1098</v>
      </c>
      <c r="C6" s="4"/>
    </row>
    <row r="7" spans="1:3" ht="16" x14ac:dyDescent="0.2">
      <c r="A7" s="4" t="s">
        <v>1099</v>
      </c>
      <c r="B7" s="4" t="s">
        <v>487</v>
      </c>
      <c r="C7" s="4"/>
    </row>
    <row r="8" spans="1:3" ht="16" x14ac:dyDescent="0.2">
      <c r="A8" s="4" t="s">
        <v>1100</v>
      </c>
      <c r="B8" s="4" t="s">
        <v>855</v>
      </c>
      <c r="C8" s="4"/>
    </row>
  </sheetData>
  <phoneticPr fontId="8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C6"/>
  <sheetViews>
    <sheetView workbookViewId="0">
      <selection activeCell="A2" sqref="A2:C6"/>
    </sheetView>
  </sheetViews>
  <sheetFormatPr baseColWidth="10" defaultRowHeight="13" x14ac:dyDescent="0.15"/>
  <cols>
    <col min="1" max="1" width="6.1640625" customWidth="1"/>
    <col min="2" max="2" width="3.83203125" customWidth="1"/>
  </cols>
  <sheetData>
    <row r="2" spans="1:3" ht="16" x14ac:dyDescent="0.2">
      <c r="A2" s="2">
        <v>1</v>
      </c>
      <c r="B2" s="3" t="s">
        <v>491</v>
      </c>
      <c r="C2" s="4"/>
    </row>
    <row r="3" spans="1:3" ht="16" x14ac:dyDescent="0.2">
      <c r="A3" s="2">
        <v>1.1000000000000001</v>
      </c>
      <c r="B3" s="4" t="s">
        <v>1014</v>
      </c>
      <c r="C3" s="4"/>
    </row>
    <row r="4" spans="1:3" ht="16" x14ac:dyDescent="0.2">
      <c r="A4" s="2" t="s">
        <v>805</v>
      </c>
      <c r="B4" s="5" t="s">
        <v>717</v>
      </c>
      <c r="C4" s="4" t="s">
        <v>880</v>
      </c>
    </row>
    <row r="5" spans="1:3" ht="16" x14ac:dyDescent="0.2">
      <c r="A5" s="2" t="s">
        <v>806</v>
      </c>
      <c r="B5" s="5" t="s">
        <v>807</v>
      </c>
      <c r="C5" s="4" t="s">
        <v>808</v>
      </c>
    </row>
    <row r="6" spans="1:3" ht="16" x14ac:dyDescent="0.2">
      <c r="A6" s="2">
        <v>1.2</v>
      </c>
      <c r="B6" s="4" t="s">
        <v>954</v>
      </c>
      <c r="C6" s="4"/>
    </row>
  </sheetData>
  <phoneticPr fontId="8" type="noConversion"/>
  <pageMargins left="0.78740157499999996" right="0.78740157499999996" top="1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Back Data Lenvean Pit Lake</vt:lpstr>
      <vt:lpstr>Hist modellering</vt:lpstr>
      <vt:lpstr>Modell During mining</vt:lpstr>
      <vt:lpstr>Mod after closure</vt:lpstr>
      <vt:lpstr>Nitrogen</vt:lpstr>
      <vt:lpstr>Process water</vt:lpstr>
      <vt:lpstr>Flow-Production</vt:lpstr>
      <vt:lpstr>ore-tail leach calc</vt:lpstr>
      <vt:lpstr>Lev-GW</vt:lpstr>
      <vt:lpstr>PhreeC-InputPW</vt:lpstr>
      <vt:lpstr>PhreeC-outputPW</vt:lpstr>
      <vt:lpstr>Copper</vt:lpstr>
      <vt:lpstr>Base Alternatives</vt:lpstr>
      <vt:lpstr>Alt 0</vt:lpstr>
      <vt:lpstr>Alt 3</vt:lpstr>
      <vt:lpstr>Alt 2B</vt:lpstr>
      <vt:lpstr>Alt 2A</vt:lpstr>
      <vt:lpstr>Alt 1</vt:lpstr>
      <vt:lpstr>'Lev-GW'!Print_Area</vt:lpstr>
      <vt:lpstr>'PhreeC-outputPW'!Print_Area</vt:lpstr>
    </vt:vector>
  </TitlesOfParts>
  <Manager/>
  <Company>KREC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Ingar Walder</dc:creator>
  <cp:keywords/>
  <dc:description/>
  <cp:lastModifiedBy>Ingar Walder</cp:lastModifiedBy>
  <cp:lastPrinted>2013-12-18T10:15:03Z</cp:lastPrinted>
  <dcterms:created xsi:type="dcterms:W3CDTF">2013-01-05T10:47:31Z</dcterms:created>
  <dcterms:modified xsi:type="dcterms:W3CDTF">2026-02-27T08:07:03Z</dcterms:modified>
  <cp:category/>
</cp:coreProperties>
</file>